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标题</t>
        </is>
      </c>
      <c r="B1" s="1" t="inlineStr">
        <is>
          <t>简述</t>
        </is>
      </c>
      <c r="C1" s="1" t="inlineStr">
        <is>
          <t>案例源链接</t>
        </is>
      </c>
      <c r="D1" s="1" t="inlineStr">
        <is>
          <t>案例帖子数据（点赞、转发多少）</t>
        </is>
      </c>
      <c r="E1" s="1" t="inlineStr">
        <is>
          <t>案例主角</t>
        </is>
      </c>
      <c r="F1" s="1" t="inlineStr">
        <is>
          <t>文章链接</t>
        </is>
      </c>
    </row>
    <row r="2" ht="25.5" customHeight="1">
      <c r="A2" t="inlineStr">
        <is>
          <t>How I Used Reddit to Hit $17K MRR (With ZERO Audience)</t>
        </is>
      </c>
      <c r="B2" t="inlineStr">
        <is>
          <t>创始人讲述仅靠 Reddit 获得百万曝光并做到 $17K MRR 的完整路径。</t>
        </is>
      </c>
      <c r="C2" s="2" t="str">
        <f>=HYPERLINK("https://www.youtube.com/watch?v=BaWUPamqWlA", "https://www.youtube.com/watch?v=BaWUPamqWlA")</f>
        <v>https://www.youtube.com/watch?v=BaWUPamqWlA</v>
      </c>
      <c r="D2" t="inlineStr">
        <is>
          <t>YouTube：点赞/分享（N/A）</t>
        </is>
      </c>
      <c r="E2" t="inlineStr">
        <is>
          <t>Diego 开发的一款名为App Alchemi的AI移动应用设计工具</t>
        </is>
      </c>
      <c r="F2" s="2" t="str">
        <f>=HYPERLINK("https://ry6uq5vtyu.feishu.cn/docx/VwU7diI1xo9yQRxr4vrcbXRCnXe", "月入1.7万美元，这个“0粉丝”博主如何在Reddit上引爆增长？")</f>
        <v>月入1.7万美元，这个“0粉丝”博主如何在Reddit上引爆增长？</v>
      </c>
    </row>
    <row r="3" ht="25.5" customHeight="1">
      <c r="A3" t="inlineStr">
        <is>
          <t>How I Reached $17K MRR on Reddit With Zero Followers</t>
        </is>
      </c>
      <c r="B3" t="inlineStr">
        <is>
          <t>无受众起步，通过 Reddit 获取首批用户并扩展到稳定 MRR。</t>
        </is>
      </c>
      <c r="C3" s="2" t="str">
        <f>=HYPERLINK("https://www.youtube.com/watch?v=zUZFovKRCo0", "https://www.youtube.com/watch?v=zUZFovKRCo0")</f>
        <v>https://www.youtube.com/watch?v=zUZFovKRCo0</v>
      </c>
      <c r="D3" t="inlineStr">
        <is>
          <t>YouTube：点赞/分享（N/A）</t>
        </is>
      </c>
      <c r="E3" t="inlineStr">
        <is>
          <t>Diego 开发的一款名为App Alchemi的AI移动应用设计工具</t>
        </is>
      </c>
      <c r="F3" s="2"/>
    </row>
    <row r="4" ht="25.5" customHeight="1">
      <c r="A4" t="inlineStr">
        <is>
          <t>My Reddit Marketing Case Study: 173K+ Views, 50+ Leads &amp; $132/Sale</t>
        </is>
      </c>
      <c r="B4" t="inlineStr">
        <is>
          <t>实操演示 Reddit 营销获取 17.3 万浏览与付费转化案例。</t>
        </is>
      </c>
      <c r="C4" s="2" t="str">
        <f>=HYPERLINK("https://www.youtube.com/watch?v=f_whtdqezYM", "https://www.youtube.com/watch?v=f_whtdqezYM")</f>
        <v>https://www.youtube.com/watch?v=f_whtdqezYM</v>
      </c>
      <c r="D4" t="inlineStr">
        <is>
          <t>YouTube：点赞/分享（N/A）</t>
        </is>
      </c>
      <c r="E4"/>
      <c r="F4" s="2" t="str">
        <f>=HYPERLINK("https://ry6uq5vtyu.feishu.cn/docx/MzrfdZCFeoFc6Ox0qGdc9PEznTb", "11天狂揽17.3万浏览，50+精准询盘！我拆解了这个Reddit“人性流”增长案例")</f>
        <v>11天狂揽17.3万浏览，50+精准询盘！我拆解了这个Reddit“人性流”增长案例</v>
      </c>
    </row>
    <row r="5" ht="25.5" customHeight="1">
      <c r="A5" t="inlineStr">
        <is>
          <t>How I hacked growth on Reddit to build a $1M SaaS</t>
        </is>
      </c>
      <c r="B5" t="inlineStr">
        <is>
          <t>通过 Reddit 的内容与互动打法实现 SaaS 增长的案例分享。</t>
        </is>
      </c>
      <c r="C5" s="2" t="str">
        <f>=HYPERLINK("https://www.youtube.com/watch?v=zjTwFP_qPQE", "https://www.youtube.com/watch?v=zjTwFP_qPQE")</f>
        <v>https://www.youtube.com/watch?v=zjTwFP_qPQE</v>
      </c>
      <c r="D5" t="inlineStr">
        <is>
          <t>YouTube：点赞/分享（N/A）</t>
        </is>
      </c>
      <c r="E5"/>
      <c r="F5" s="2" t="str">
        <f>=HYPERLINK("https://gr9ur3k1ce.feishu.cn/wiki/DJQUwja1PibHVyksw26cZnSunDd?from=from_copylink", "SaaS 冷启动，一篇文章在 Reddit 引爆 3000 访客？拆解社区驱动增长的底层逻辑")</f>
        <v>SaaS 冷启动，一篇文章在 Reddit 引爆 3000 访客？拆解社区驱动增长的底层逻辑</v>
      </c>
    </row>
    <row r="6" ht="25.5" customHeight="1">
      <c r="A6" t="inlineStr">
        <is>
          <t>From Idea to Users in Weeks: Discovery on Reddit</t>
        </is>
      </c>
      <c r="B6" t="inlineStr">
        <is>
          <t>用 Reddit 做需求发现与用户验证，从想法到首批用户。</t>
        </is>
      </c>
      <c r="C6" s="2" t="str">
        <f>=HYPERLINK("https://www.youtube.com/watch?v=WvP-H2CC9eg", "https://www.youtube.com/watch?v=WvP-H2CC9eg")</f>
        <v>https://www.youtube.com/watch?v=WvP-H2CC9eg</v>
      </c>
      <c r="D6" t="inlineStr">
        <is>
          <t>YouTube：点赞/分享（N/A）</t>
        </is>
      </c>
      <c r="E6"/>
      <c r="F6" s="2"/>
    </row>
    <row r="7" ht="25.5" customHeight="1">
      <c r="A7" t="inlineStr">
        <is>
          <t>Best practices for creating Reddit Ads</t>
        </is>
      </c>
      <c r="B7" t="inlineStr">
        <is>
          <t>官方角度讲解 Reddit 广告创建与优化的做法。</t>
        </is>
      </c>
      <c r="C7" s="2" t="str">
        <f>=HYPERLINK("https://www.youtube.com/watch?v=UC-9gqPIJTY", "https://www.youtube.com/watch?v=UC-9gqPIJTY")</f>
        <v>https://www.youtube.com/watch?v=UC-9gqPIJTY</v>
      </c>
      <c r="D7" t="inlineStr">
        <is>
          <t>YouTube：点赞/分享（N/A）</t>
        </is>
      </c>
      <c r="E7"/>
      <c r="F7" s="2"/>
    </row>
    <row r="8" ht="25.5" customHeight="1">
      <c r="A8" t="inlineStr">
        <is>
          <t>Reddit Marketing Masterclass 2025</t>
        </is>
      </c>
      <c r="B8" t="inlineStr">
        <is>
          <t>系统课程：从账号、内容到引流与转化的 Reddit 营销。</t>
        </is>
      </c>
      <c r="C8" s="2" t="str">
        <f>=HYPERLINK("https://www.youtube.com/watch?v=PSnixy1KYuo", "https://www.youtube.com/watch?v=PSnixy1KYuo")</f>
        <v>https://www.youtube.com/watch?v=PSnixy1KYuo</v>
      </c>
      <c r="D8" t="inlineStr">
        <is>
          <t>YouTube：点赞/分享（N/A）</t>
        </is>
      </c>
      <c r="E8"/>
      <c r="F8" s="2"/>
    </row>
    <row r="9" ht="25.5" customHeight="1">
      <c r="A9" t="inlineStr">
        <is>
          <t>How to optimize Reddit Ads for high ROI</t>
        </is>
      </c>
      <c r="B9" t="inlineStr">
        <is>
          <t>如何分析与优化 Reddit 广告投资回报。</t>
        </is>
      </c>
      <c r="C9" s="2" t="str">
        <f>=HYPERLINK("https://www.youtube.com/watch?v=Xkrsv8xI1Gw", "https://www.youtube.com/watch?v=Xkrsv8xI1Gw")</f>
        <v>https://www.youtube.com/watch?v=Xkrsv8xI1Gw</v>
      </c>
      <c r="D9" t="inlineStr">
        <is>
          <t>YouTube：点赞/分享（N/A）</t>
        </is>
      </c>
      <c r="E9"/>
      <c r="F9" s="2"/>
    </row>
    <row r="10" ht="25.5" customHeight="1">
      <c r="A10" t="inlineStr">
        <is>
          <t>Reddit Marketing Strategy (The Do's &amp; Don'ts)</t>
        </is>
      </c>
      <c r="B10" t="inlineStr">
        <is>
          <t>Reddit 营销的可行策略与常见避雷。</t>
        </is>
      </c>
      <c r="C10" s="2" t="str">
        <f>=HYPERLINK("https://www.youtube.com/watch?v=JvTAy1cHJWc", "https://www.youtube.com/watch?v=JvTAy1cHJWc")</f>
        <v>https://www.youtube.com/watch?v=JvTAy1cHJWc</v>
      </c>
      <c r="D10" t="inlineStr">
        <is>
          <t>YouTube：点赞/分享（N/A）</t>
        </is>
      </c>
      <c r="E10"/>
      <c r="F10" s="2"/>
    </row>
    <row r="11" ht="25.5" customHeight="1">
      <c r="A11" t="inlineStr">
        <is>
          <t>My First SaaS Made Only $28 (includes Reddit marketing guide)</t>
        </is>
      </c>
      <c r="B11" t="inlineStr">
        <is>
          <t>首个 SaaS 失利的复盘与 Reddit 获客改进思路。</t>
        </is>
      </c>
      <c r="C11" s="2" t="str">
        <f>=HYPERLINK("https://www.youtube.com/watch?v=G6l_x7JYTeQ", "https://www.youtube.com/watch?v=G6l_x7JYTeQ")</f>
        <v>https://www.youtube.com/watch?v=G6l_x7JYTeQ</v>
      </c>
      <c r="D11" t="inlineStr">
        <is>
          <t>YouTube：点赞/分享（N/A）</t>
        </is>
      </c>
      <c r="E11"/>
      <c r="F11" s="2"/>
    </row>
    <row r="12" ht="25.5" customHeight="1">
      <c r="A12" t="inlineStr">
        <is>
          <t>The ZERO COST Marketing Strategy To Grow Your SaaS in 2025</t>
        </is>
      </c>
      <c r="B12" t="inlineStr">
        <is>
          <t>零预算增长法：把 Reddit 当作高意图流量入口。</t>
        </is>
      </c>
      <c r="C12" s="2" t="str">
        <f>=HYPERLINK("https://www.youtube.com/watch?v=554-aVKlBmk", "https://www.youtube.com/watch?v=554-aVKlBmk")</f>
        <v>https://www.youtube.com/watch?v=554-aVKlBmk</v>
      </c>
      <c r="D12" t="inlineStr">
        <is>
          <t>YouTube：点赞/分享（N/A）</t>
        </is>
      </c>
      <c r="E12"/>
      <c r="F12" s="2"/>
    </row>
    <row r="13" ht="25.5" customHeight="1">
      <c r="A13" t="inlineStr">
        <is>
          <t>The Ultimate Reddit Marketing Strategy (For B2B &amp; SaaS)</t>
        </is>
      </c>
      <c r="B13" t="inlineStr">
        <is>
          <t>B2B/SaaS 视角的 Reddit 营销策略。</t>
        </is>
      </c>
      <c r="C13" s="2" t="str">
        <f>=HYPERLINK("https://www.youtube.com/@SamDunning/videos", "https://www.youtube.com/@SamDunning/videos")</f>
        <v>https://www.youtube.com/@SamDunning/videos</v>
      </c>
      <c r="D13" t="inlineStr">
        <is>
          <t>YouTube：点赞/分享（N/A）</t>
        </is>
      </c>
      <c r="E13"/>
      <c r="F13" s="2"/>
    </row>
    <row r="14" ht="25.5" customHeight="1">
      <c r="A14" t="inlineStr">
        <is>
          <t>How I used Reddit &amp; Facebook to build a $25K/month business</t>
        </is>
      </c>
      <c r="B14" t="inlineStr">
        <is>
          <t>结合 Reddit、Facebook 获客实现月入 $25K。</t>
        </is>
      </c>
      <c r="C14" s="2" t="str">
        <f>=HYPERLINK("https://www.youtube.com/watch?v=3X4VneEHvig", "https://www.youtube.com/watch?v=3X4VneEHvig")</f>
        <v>https://www.youtube.com/watch?v=3X4VneEHvig</v>
      </c>
      <c r="D14" t="inlineStr">
        <is>
          <t>YouTube：点赞/分享（N/A）</t>
        </is>
      </c>
      <c r="E14"/>
      <c r="F14" s="2"/>
    </row>
    <row r="15" ht="25.5" customHeight="1">
      <c r="A15" t="inlineStr">
        <is>
          <t>Make $1000 Using Reddit (No Ad Spend) | Affiliate Strategy</t>
        </is>
      </c>
      <c r="B15" t="inlineStr">
        <is>
          <t>利用 Reddit 找到高意图线索实现联盟变现。</t>
        </is>
      </c>
      <c r="C15" s="2" t="str">
        <f>=HYPERLINK("https://www.youtube.com/watch?v=kJx2jbw5nPA", "https://www.youtube.com/watch?v=kJx2jbw5nPA")</f>
        <v>https://www.youtube.com/watch?v=kJx2jbw5nPA</v>
      </c>
      <c r="D15" t="inlineStr">
        <is>
          <t>YouTube：点赞/分享（N/A）</t>
        </is>
      </c>
      <c r="E15"/>
      <c r="F15" s="2"/>
    </row>
    <row r="16" ht="25.5" customHeight="1">
      <c r="A16" t="inlineStr">
        <is>
          <t>How I use Reddit and AI to find winning startup ideas (2025)</t>
        </is>
      </c>
      <c r="B16" t="inlineStr">
        <is>
          <t>用 Reddit + AI 寻找痛点和产品机会。</t>
        </is>
      </c>
      <c r="C16" s="2" t="str">
        <f>=HYPERLINK("https://www.youtube.com/watch?v=9oKqVe6LUIY", "https://www.youtube.com/watch?v=9oKqVe6LUIY")</f>
        <v>https://www.youtube.com/watch?v=9oKqVe6LUIY</v>
      </c>
      <c r="D16" t="inlineStr">
        <is>
          <t>YouTube：点赞/分享（N/A）</t>
        </is>
      </c>
      <c r="E16"/>
      <c r="F16" s="2"/>
    </row>
    <row r="17" ht="25.5" customHeight="1">
      <c r="A17" t="inlineStr">
        <is>
          <t>850 users in 48h thanks to Reddit</t>
        </is>
      </c>
      <c r="B17" t="inlineStr">
        <is>
          <t>Narrin.ai 在 Reddit 首发 48 小时获 850+ 用户与首批付费。</t>
        </is>
      </c>
      <c r="C17" s="2" t="str">
        <f>=HYPERLINK("https://www.reddit.com/r/SaaS/comments/1mj4xe8/850_users_in_48h_thanks_to_reddit/", "https://www.reddit.com/r/SaaS/comments/1mj4xe8/850_users_in_48h_thanks_to_reddit/")</f>
        <v>https://www.reddit.com/r/SaaS/comments/1mj4xe8/850_users_in_48h_thanks_to_reddit/</v>
      </c>
      <c r="D17" t="inlineStr">
        <is>
          <t>Reddit：赞/交叉分享（N/A）</t>
        </is>
      </c>
      <c r="E17" t="inlineStr">
        <is>
          <t>Narrin.ai</t>
        </is>
      </c>
      <c r="F17" s="2" t="str">
        <f>=HYPERLINK("https://ry6uq5vtyu.feishu.cn/docx/DZzfduE7OoMOGhxaMA6c8mMEnic", "首周3000访客，为何AI伴侣应用Narrin.ai却零付费？一个AI创业者的冷启动陷阱与破局")</f>
        <v>首周3000访客，为何AI伴侣应用Narrin.ai却零付费？一个AI创业者的冷启动陷阱与破局</v>
      </c>
    </row>
    <row r="18" ht="25.5" customHeight="1">
      <c r="A18" t="inlineStr">
        <is>
          <t>1200 users in 72h thanks to Reddit</t>
        </is>
      </c>
      <c r="B18" t="inlineStr">
        <is>
          <t>Narrin.ai 72 小时破 1200 用户，附 GA 截图。</t>
        </is>
      </c>
      <c r="C18" s="2" t="str">
        <f>=HYPERLINK("https://www.reddit.com/r/microsaas/comments/1mjfgsq/1200_users_in_72h_thanks_to_reddit/", "https://www.reddit.com/r/microsaas/comments/1mjfgsq/1200_users_in_72h_thanks_to_reddit/")</f>
        <v>https://www.reddit.com/r/microsaas/comments/1mjfgsq/1200_users_in_72h_thanks_to_reddit/</v>
      </c>
      <c r="D18" t="inlineStr">
        <is>
          <t>Reddit：赞/交叉分享（N/A）</t>
        </is>
      </c>
      <c r="E18" t="inlineStr">
        <is>
          <t>Narrin.ai</t>
        </is>
      </c>
      <c r="F18" s="2"/>
    </row>
    <row r="19" ht="25.5" customHeight="1">
      <c r="A19" t="inlineStr">
        <is>
          <t>Reddit exploded my new AI companion platform</t>
        </is>
      </c>
      <c r="B19" t="inlineStr">
        <is>
          <t>Narrin 首发 24 小时达 700+ 用户。</t>
        </is>
      </c>
      <c r="C19" s="2" t="str">
        <f>=HYPERLINK("https://www.reddit.com/r/Entrepreneur/comments/1mia9eh/reddit_exploded_my_new_ai_companion_platform/", "https://www.reddit.com/r/Entrepreneur/comments/1mia9eh/reddit_exploded_my_new_ai_companion_platform/")</f>
        <v>https://www.reddit.com/r/Entrepreneur/comments/1mia9eh/reddit_exploded_my_new_ai_companion_platform/</v>
      </c>
      <c r="D19" t="inlineStr">
        <is>
          <t>Reddit：赞/交叉分享（N/A）</t>
        </is>
      </c>
      <c r="E19" t="inlineStr">
        <is>
          <t>Narrin.ai</t>
        </is>
      </c>
      <c r="F19" s="2"/>
    </row>
    <row r="20" ht="25.5" customHeight="1">
      <c r="A20" t="inlineStr">
        <is>
          <t>I got 3000 visitors and 200 signups within a week, but 0 paying customers</t>
        </is>
      </c>
      <c r="B20" t="inlineStr">
        <is>
          <t>Narrin.ai 首周 3,000 访客/200+ 注册但 0 付费的复盘求助。</t>
        </is>
      </c>
      <c r="C20" s="2" t="str">
        <f>=HYPERLINK("https://www.reddit.com/r/Entrepreneur/comments/1mrxedm/i_got_3000_visitors_and_200_signups_within_a_week/", "https://www.reddit.com/r/Entrepreneur/comments/1mrxedm/i_got_3000_visitors_and_200_signups_within_a_week/")</f>
        <v>https://www.reddit.com/r/Entrepreneur/comments/1mrxedm/i_got_3000_visitors_and_200_signups_within_a_week/</v>
      </c>
      <c r="D20" t="inlineStr">
        <is>
          <t>Reddit：赞/交叉分享（N/A）</t>
        </is>
      </c>
      <c r="E20" t="inlineStr">
        <is>
          <t>Narrin.ai</t>
        </is>
      </c>
      <c r="F20" s="2"/>
    </row>
    <row r="21" ht="25.5" customHeight="1">
      <c r="A21" t="inlineStr">
        <is>
          <t>Launched a tiny AI tool, got 6K visitors, 900K views from Reddit, 6 paid users</t>
        </is>
      </c>
      <c r="B21" t="inlineStr">
        <is>
          <t>小工具在 Reddit 爆量：90 万浏览、6k 访客、6 付费。</t>
        </is>
      </c>
      <c r="C21" s="2" t="str">
        <f>=HYPERLINK("https://www.reddit.com/r/passive_income/comments/1m9vawl/launched_a_tiny_ai_tool_got_6k_visitors_900k/", "https://www.reddit.com/r/passive_income/comments/1m9vawl/launched_a_tiny_ai_tool_got_6k_visitors_900k/")</f>
        <v>https://www.reddit.com/r/passive_income/comments/1m9vawl/launched_a_tiny_ai_tool_got_6k_visitors_900k/</v>
      </c>
      <c r="D21" t="inlineStr">
        <is>
          <t>Reddit：赞/交叉分享（N/A）</t>
        </is>
      </c>
      <c r="E21"/>
      <c r="F21" s="2"/>
    </row>
    <row r="22" ht="25.5" customHeight="1">
      <c r="A22" t="inlineStr">
        <is>
          <t>6K Visitors, 248 Users, 6 Paid – All from Reddit</t>
        </is>
      </c>
      <c r="B22" t="inlineStr">
        <is>
          <t>同项目在 r/SideProject 的数据复盘。</t>
        </is>
      </c>
      <c r="C22" s="2" t="str">
        <f>=HYPERLINK("https://www.reddit.com/r/SideProject/comments/1m9v3si/6k_visitors_248_users_6_paid_all_from_reddit/", "https://www.reddit.com/r/SideProject/comments/1m9v3si/6k_visitors_248_users_6_paid_all_from_reddit/")</f>
        <v>https://www.reddit.com/r/SideProject/comments/1m9v3si/6k_visitors_248_users_6_paid_all_from_reddit/</v>
      </c>
      <c r="D22" t="inlineStr">
        <is>
          <t>Reddit：赞/交叉分享（N/A）</t>
        </is>
      </c>
      <c r="E22"/>
      <c r="F22" s="2"/>
    </row>
    <row r="23" ht="25.5" customHeight="1">
      <c r="A23" t="inlineStr">
        <is>
          <t>I got over 1000 users in 24 hours for my new AI app (and doubled it with Reddit)</t>
        </is>
      </c>
      <c r="B23" t="inlineStr">
        <is>
          <t>AI 应用 24 小时获 1,000+ 用户，靠 Reddit 再翻倍。</t>
        </is>
      </c>
      <c r="C23" s="2" t="str">
        <f>=HYPERLINK("https://www.reddit.com/r/Entrepreneur/comments/1eqj1xw/i_got_over_1000_users_in_24_hours_for_my_new_ai/", "https://www.reddit.com/r/Entrepreneur/comments/1eqj1xw/i_got_over_1000_users_in_24_hours_for_my_new_ai/")</f>
        <v>https://www.reddit.com/r/Entrepreneur/comments/1eqj1xw/i_got_over_1000_users_in_24_hours_for_my_new_ai/</v>
      </c>
      <c r="D23" t="inlineStr">
        <is>
          <t>Reddit：赞/交叉分享（N/A）</t>
        </is>
      </c>
      <c r="E23"/>
      <c r="F23" s="2"/>
    </row>
    <row r="24" ht="25.5" customHeight="1">
      <c r="A24" t="inlineStr">
        <is>
          <t>Reached 20 paying users 1.5 months after launch</t>
        </is>
      </c>
      <c r="B24" t="inlineStr">
        <is>
          <t>无付费投放，仅靠 Reddit/目录获取 20 位付费。</t>
        </is>
      </c>
      <c r="C24" s="2" t="str">
        <f>=HYPERLINK("https://www.reddit.com/r/SideProject/comments/1i1mtja/reached_20_paying_users_15_months_after_launch/", "https://www.reddit.com/r/SideProject/comments/1i1mtja/reached_20_paying_users_15_months_after_launch/")</f>
        <v>https://www.reddit.com/r/SideProject/comments/1i1mtja/reached_20_paying_users_15_months_after_launch/</v>
      </c>
      <c r="D24" t="inlineStr">
        <is>
          <t>Reddit：赞/交叉分享（N/A）</t>
        </is>
      </c>
      <c r="E24"/>
      <c r="F24" s="2"/>
    </row>
    <row r="25" ht="25.5" customHeight="1">
      <c r="A25" t="inlineStr">
        <is>
          <t>Launched a free tool that has 900+ users in the first 10 days</t>
        </is>
      </c>
      <c r="B25" t="inlineStr">
        <is>
          <t>周末做的小工具上线 10 天 900+ 用户。</t>
        </is>
      </c>
      <c r="C25" s="2" t="str">
        <f>=HYPERLINK("https://www.reddit.com/r/Entrepreneur/comments/1j3dz9j/launched_a_free_tool_that_has_900_users_in_the/", "https://www.reddit.com/r/Entrepreneur/comments/1j3dz9j/launched_a_free_tool_that_has_900_users_in_the/")</f>
        <v>https://www.reddit.com/r/Entrepreneur/comments/1j3dz9j/launched_a_free_tool_that_has_900_users_in_the/</v>
      </c>
      <c r="D25" t="inlineStr">
        <is>
          <t>Reddit：赞/交叉分享（N/A）</t>
        </is>
      </c>
      <c r="E25"/>
      <c r="F25" s="2"/>
    </row>
    <row r="26" ht="25.5" customHeight="1">
      <c r="A26" t="inlineStr">
        <is>
          <t>From 0 followers on X → 230 users in 9 days (AI Writing App)</t>
        </is>
      </c>
      <c r="B26" t="inlineStr">
        <is>
          <t>无粉丝起步，9 天获 230 用户；含 Reddit 引流。</t>
        </is>
      </c>
      <c r="C26" s="2" t="str">
        <f>=HYPERLINK("https://www.reddit.com/r/SaaS/comments/1lyss34/from_0_followers_on_x_230_users_in_9_days_ai/", "https://www.reddit.com/r/SaaS/comments/1lyss34/from_0_followers_on_x_230_users_in_9_days_ai/")</f>
        <v>https://www.reddit.com/r/SaaS/comments/1lyss34/from_0_followers_on_x_230_users_in_9_days_ai/</v>
      </c>
      <c r="D26" t="inlineStr">
        <is>
          <t>Reddit：赞/交叉分享（N/A）</t>
        </is>
      </c>
      <c r="E26"/>
      <c r="F26" s="2"/>
    </row>
    <row r="27" ht="25.5" customHeight="1">
      <c r="A27" t="inlineStr">
        <is>
          <t>Got 225 users in a week for an AI app I built in 2 days</t>
        </is>
      </c>
      <c r="B27" t="inlineStr">
        <is>
          <t>2 天做 AI 应用，一周 225 用户，靠一条普通 Reddit 帖。</t>
        </is>
      </c>
      <c r="C27" s="2" t="str">
        <f>=HYPERLINK("https://www.reddit.com/r/SideProject/comments/1nh8dyj/got_225_users_in_a_week_for_an_ai_app_i_built_in/", "https://www.reddit.com/r/SideProject/comments/1nh8dyj/got_225_users_in_a_week_for_an_ai_app_i_built_in/")</f>
        <v>https://www.reddit.com/r/SideProject/comments/1nh8dyj/got_225_users_in_a_week_for_an_ai_app_i_built_in/</v>
      </c>
      <c r="D27" t="inlineStr">
        <is>
          <t>Reddit：赞/交叉分享（N/A）</t>
        </is>
      </c>
      <c r="E27"/>
      <c r="F27" s="2"/>
    </row>
    <row r="28" ht="25.5" customHeight="1">
      <c r="A28" t="inlineStr">
        <is>
          <t>Launched my first app a month ago, and got my first 2 paid users. What’s next?</t>
        </is>
      </c>
      <c r="B28" t="inlineStr">
        <is>
          <t>首个应用 1 月内拿到 2 个付费，求后续增长建议（含 Reddit 获客）。</t>
        </is>
      </c>
      <c r="C28" s="2" t="str">
        <f>=HYPERLINK("https://www.reddit.com/r/SideProject/comments/1msiv30/launched_my_first_app_a_month_ago_and_got_my/", "https://www.reddit.com/r/SideProject/comments/1msiv30/launched_my_first_app_a_month_ago_and_got_my/")</f>
        <v>https://www.reddit.com/r/SideProject/comments/1msiv30/launched_my_first_app_a_month_ago_and_got_my/</v>
      </c>
      <c r="D28" t="inlineStr">
        <is>
          <t>Reddit：赞/交叉分享（N/A）</t>
        </is>
      </c>
      <c r="E28"/>
      <c r="F28" s="2"/>
    </row>
    <row r="29" ht="25.5" customHeight="1">
      <c r="A29" t="inlineStr">
        <is>
          <t>My AI SaaS reached 1,000 users today!!</t>
        </is>
      </c>
      <c r="B29" t="inlineStr">
        <is>
          <t>AI SaaS 4 个月达 1k 用户，分享有效话术与路径。</t>
        </is>
      </c>
      <c r="C29" s="2" t="str">
        <f>=HYPERLINK("https://www.reddit.com/r/SaaS/comments/1g196ip/my_ai_saas_reached_1000_users_today/", "https://www.reddit.com/r/SaaS/comments/1g196ip/my_ai_saas_reached_1000_users_today/")</f>
        <v>https://www.reddit.com/r/SaaS/comments/1g196ip/my_ai_saas_reached_1000_users_today/</v>
      </c>
      <c r="D29" t="inlineStr">
        <is>
          <t>Reddit：赞/交叉分享（N/A）</t>
        </is>
      </c>
      <c r="E29"/>
      <c r="F29" s="2"/>
    </row>
    <row r="30" ht="25.5" customHeight="1">
      <c r="A30" t="inlineStr">
        <is>
          <t>After 3 months finally launched my AI agent builder</t>
        </is>
      </c>
      <c r="B30" t="inlineStr">
        <is>
          <t>Okibi 代理构建平台上线介绍与征求反馈。</t>
        </is>
      </c>
      <c r="C30" s="2" t="str">
        <f>=HYPERLINK("https://www.reddit.com/r/ProductHunters/comments/1mejqno/after_3_months_finally_launched_my_ai_agent/", "https://www.reddit.com/r/ProductHunters/comments/1mejqno/after_3_months_finally_launched_my_ai_agent/")</f>
        <v>https://www.reddit.com/r/ProductHunters/comments/1mejqno/after_3_months_finally_launched_my_ai_agent/</v>
      </c>
      <c r="D30" t="inlineStr">
        <is>
          <t>Reddit：赞/交叉分享（N/A）</t>
        </is>
      </c>
      <c r="E30"/>
      <c r="F30" s="2"/>
    </row>
    <row r="31" ht="25.5" customHeight="1">
      <c r="A31" t="inlineStr">
        <is>
          <t>I’ve finally launched my AI video creation tool</t>
        </is>
      </c>
      <c r="B31" t="inlineStr">
        <is>
          <t>视频生成工具上线分享与获客路径探讨。</t>
        </is>
      </c>
      <c r="C31" s="2" t="str">
        <f>=HYPERLINK("https://www.reddit.com/r/SaaS/comments/1lfaagr/ive_finally_launched_my_ai_video_creation_tool_i/", "https://www.reddit.com/r/SaaS/comments/1lfaagr/ive_finally_launched_my_ai_video_creation_tool_i/")</f>
        <v>https://www.reddit.com/r/SaaS/comments/1lfaagr/ive_finally_launched_my_ai_video_creation_tool_i/</v>
      </c>
      <c r="D31" t="inlineStr">
        <is>
          <t>Reddit：赞/交叉分享（N/A）</t>
        </is>
      </c>
      <c r="E31"/>
      <c r="F31" s="2"/>
    </row>
    <row r="32" ht="25.5" customHeight="1">
      <c r="A32" t="inlineStr">
        <is>
          <t>Just Launched My AI Chatbot Platform - Custom AI Support Agents</t>
        </is>
      </c>
      <c r="B32" t="inlineStr">
        <is>
          <t>AI 客服代理平台上线介绍与功能列表，寻求用户反馈。</t>
        </is>
      </c>
      <c r="C32" s="2" t="str">
        <f>=HYPERLINK("https://www.reddit.com/r/ProductivityApps/comments/1m3yny3/just_launched_my_ai_chatbot_platform_custom_ai/", "https://www.reddit.com/r/ProductivityApps/comments/1m3yny3/just_launched_my_ai_chatbot_platform_custom_ai/")</f>
        <v>https://www.reddit.com/r/ProductivityApps/comments/1m3yny3/just_launched_my_ai_chatbot_platform_custom_ai/</v>
      </c>
      <c r="D32" t="inlineStr">
        <is>
          <t>Reddit：赞/交叉分享（N/A）</t>
        </is>
      </c>
      <c r="E32"/>
      <c r="F32" s="2"/>
    </row>
    <row r="33" ht="25.5" customHeight="1">
      <c r="A33" t="inlineStr">
        <is>
          <t>Just launched my AI software architecture agent (free for first 50 users)</t>
        </is>
      </c>
      <c r="B33" t="inlineStr">
        <is>
          <t>基于 Gemini 的架构助手内测招募，首批用户反馈为产品迭代依据。</t>
        </is>
      </c>
      <c r="C33" s="2" t="str">
        <f>=HYPERLINK("https://www.reddit.com/r/GoogleGeminiAI/comments/1kucu9f/just_launched_my_ai_software_architecture_agent/", "https://www.reddit.com/r/GoogleGeminiAI/comments/1kucu9f/just_launched_my_ai_software_architecture_agent/")</f>
        <v>https://www.reddit.com/r/GoogleGeminiAI/comments/1kucu9f/just_launched_my_ai_software_architecture_agent/</v>
      </c>
      <c r="D33" t="inlineStr">
        <is>
          <t>Reddit：赞/交叉分享（N/A）</t>
        </is>
      </c>
      <c r="E33"/>
      <c r="F33" s="2"/>
    </row>
    <row r="34" ht="25.5" customHeight="1">
      <c r="A34" t="inlineStr">
        <is>
          <t>Launched my AI app, gained 200 users… now I’m stuck</t>
        </is>
      </c>
      <c r="B34" t="inlineStr">
        <is>
          <t>文件对话类 AI App 获 200 用户但留存/转化遇阻的求助复盘。</t>
        </is>
      </c>
      <c r="C34" s="2" t="str">
        <f>=HYPERLINK("https://www.reddit.com/r/startups/comments/1jx78z7/launched_my_ai_app_gained_200_users_now_im_stuck/", "https://www.reddit.com/r/startups/comments/1jx78z7/launched_my_ai_app_gained_200_users_now_im_stuck/")</f>
        <v>https://www.reddit.com/r/startups/comments/1jx78z7/launched_my_ai_app_gained_200_users_now_im_stuck/</v>
      </c>
      <c r="D34" t="inlineStr">
        <is>
          <t>Reddit：赞/交叉分享（N/A）</t>
        </is>
      </c>
      <c r="E34"/>
      <c r="F34" s="2"/>
    </row>
    <row r="35" ht="25.5" customHeight="1">
      <c r="A35" t="inlineStr">
        <is>
          <t>I launched my AI SaaS and made $750 MRR in 5 days</t>
        </is>
      </c>
      <c r="B35" t="inlineStr">
        <is>
          <t>上线 5 天拿到 $750 MRR，分享冷启动做法。</t>
        </is>
      </c>
      <c r="C35" s="2" t="str">
        <f>=HYPERLINK("https://www.reddit.com/r/SaaS/comments/1hluadh/i_launched_my_ai_saas_and_made_750_mrr_in_5_days/", "https://www.reddit.com/r/SaaS/comments/1hluadh/i_launched_my_ai_saas_and_made_750_mrr_in_5_days/")</f>
        <v>https://www.reddit.com/r/SaaS/comments/1hluadh/i_launched_my_ai_saas_and_made_750_mrr_in_5_days/</v>
      </c>
      <c r="D35" t="inlineStr">
        <is>
          <t>Reddit：赞/交叉分享（N/A）</t>
        </is>
      </c>
      <c r="E35"/>
      <c r="F35" s="2"/>
    </row>
    <row r="36" ht="25.5" customHeight="1">
      <c r="A36" t="inlineStr">
        <is>
          <t>I launched duple.ai — 220 users signed up in 24 hours (LLMDevs)</t>
        </is>
      </c>
      <c r="B36" t="inlineStr">
        <is>
          <t>用多个模型一站式的平台，首日 220 注册，详解 Reddit 发帖与承接。</t>
        </is>
      </c>
      <c r="C36" s="2" t="str">
        <f>=HYPERLINK("https://www.reddit.com/r/LLMDevs/comments/1lxu3j0/i_launched_dupleai_220_users_signed_up_in_24/", "https://www.reddit.com/r/LLMDevs/comments/1lxu3j0/i_launched_dupleai_220_users_signed_up_in_24/")</f>
        <v>https://www.reddit.com/r/LLMDevs/comments/1lxu3j0/i_launched_dupleai_220_users_signed_up_in_24/</v>
      </c>
      <c r="D36" t="inlineStr">
        <is>
          <t>Reddit：赞/交叉分享（N/A）</t>
        </is>
      </c>
      <c r="E36"/>
      <c r="F36" s="2"/>
    </row>
    <row r="37" ht="25.5" customHeight="1">
      <c r="A37" t="inlineStr">
        <is>
          <t>Thread: How I Used Reddit to Hit $17K MRR</t>
        </is>
      </c>
      <c r="B37" t="inlineStr">
        <is>
          <t>X 上转述并整理 $17K MRR 的 Reddit 获客要点。</t>
        </is>
      </c>
      <c r="C37" s="2" t="str">
        <f>=HYPERLINK("https://twitter.com/seck_mohameth/status/1947439633458958804", "https://twitter.com/seck_mohameth/status/1947439633458958804")</f>
        <v>https://twitter.com/seck_mohameth/status/1947439633458958804</v>
      </c>
      <c r="D37" t="inlineStr">
        <is>
          <t>X：点赞/转发（N/A）</t>
        </is>
      </c>
      <c r="E37"/>
      <c r="F37" s="2"/>
    </row>
    <row r="38" ht="25.5" customHeight="1">
      <c r="A38" t="inlineStr">
        <is>
          <t>Post: Our Reddit strategy is simple: show up...（B2B SaaS）</t>
        </is>
      </c>
      <c r="B38" t="inlineStr">
        <is>
          <t>B2B 创业者分享 Reddit 出没策略与内容方向。</t>
        </is>
      </c>
      <c r="C38" s="2" t="str">
        <f>=HYPERLINK("https://twitter.com/tsavnik", "https://twitter.com/tsavnik")</f>
        <v>https://twitter.com/tsavnik</v>
      </c>
      <c r="D38" t="inlineStr">
        <is>
          <t>X：点赞/转发（N/A）</t>
        </is>
      </c>
      <c r="E38"/>
      <c r="F38" s="2"/>
    </row>
    <row r="39" ht="25.5" customHeight="1">
      <c r="A39" t="inlineStr">
        <is>
          <t>Post: Genius Reddit Strategy by Rezi（AI 简历 SaaS）</t>
        </is>
      </c>
      <c r="B39" t="inlineStr">
        <is>
          <t>总结在细分子版块做信息图帖、稳定获取品牌关注。</t>
        </is>
      </c>
      <c r="C39" s="2" t="str">
        <f>=HYPERLINK("https://twitter.com/just_karthik_", "https://twitter.com/just_karthik_")</f>
        <v>https://twitter.com/just_karthik_</v>
      </c>
      <c r="D39" t="inlineStr">
        <is>
          <t>X：点赞/转发（N/A）</t>
        </is>
      </c>
      <c r="E39"/>
      <c r="F39" s="2"/>
    </row>
    <row r="40" ht="25.5" customHeight="1">
      <c r="A40" t="inlineStr">
        <is>
          <t>Post: Reddit mentions monitoring &amp; AI search（Octolens/Conversation Rank）</t>
        </is>
      </c>
      <c r="B40" t="inlineStr">
        <is>
          <t>从 AI 搜索与 Reddit 可见性角度讨论增长与品牌露出。</t>
        </is>
      </c>
      <c r="C40" s="2" t="str">
        <f>=HYPERLINK("https://twitter.com/LottiSchmitt", "https://twitter.com/LottiSchmitt")</f>
        <v>https://twitter.com/LottiSchmitt</v>
      </c>
      <c r="D40" t="inlineStr">
        <is>
          <t>X：点赞/转发（N/A）</t>
        </is>
      </c>
      <c r="E40"/>
      <c r="F40" s="2"/>
    </row>
    <row r="41" ht="25.5" customHeight="1">
      <c r="A41" t="inlineStr">
        <is>
          <t>Post: Used Reddit and Twitter to get traffic, now at $8K MRR（AI bot）</t>
        </is>
      </c>
      <c r="B41" t="inlineStr">
        <is>
          <t>创作者分享 Reddit+X 获客组合，说明订阅与 MRR 的拆解。</t>
        </is>
      </c>
      <c r="C41" s="2" t="str">
        <f>=HYPERLINK("https://twitter.com/EyeingAI/status/1912831552658260241", "https://twitter.com/EyeingAI/status/1912831552658260241")</f>
        <v>https://twitter.com/EyeingAI/status/1912831552658260241</v>
      </c>
      <c r="D41" t="inlineStr">
        <is>
          <t>X：点赞/转发（N/A）</t>
        </is>
      </c>
      <c r="E41"/>
      <c r="F41" s="2"/>
    </row>
    <row r="42" ht="25.5" customHeight="1">
      <c r="A42" t="inlineStr">
        <is>
          <t>Post: Day 9 stats – used Reddit; 15 users, $0 MRR（build in public）</t>
        </is>
      </c>
      <c r="B42" t="inlineStr">
        <is>
          <t>公开构建第 9 天数据，记录来自 Reddit 的早期用户。</t>
        </is>
      </c>
      <c r="C42" s="2" t="str">
        <f>=HYPERLINK("https://twitter.com/cjo_dev/status/1907582921545769190", "https://twitter.com/cjo_dev/status/1907582921545769190")</f>
        <v>https://twitter.com/cjo_dev/status/1907582921545769190</v>
      </c>
      <c r="D42" t="inlineStr">
        <is>
          <t>X：点赞/转发（N/A）</t>
        </is>
      </c>
      <c r="E42"/>
      <c r="F42" s="2"/>
    </row>
    <row r="43" ht="25.5" customHeight="1">
      <c r="A43" t="inlineStr">
        <is>
          <t>Launch: Mochi — grow on Reddit without getting banned</t>
        </is>
      </c>
      <c r="B43" t="inlineStr">
        <is>
          <t>博主分享 Reddit 增长工具的经验与注意事项。</t>
        </is>
      </c>
      <c r="C43" s="2" t="str">
        <f>=HYPERLINK("https://twitter.com/TheMRPoopies/status/1907299590438580589", "https://twitter.com/TheMRPoopies/status/1907299590438580589")</f>
        <v>https://twitter.com/TheMRPoopies/status/1907299590438580589</v>
      </c>
      <c r="D43" t="inlineStr">
        <is>
          <t>X：点赞/转发（N/A）</t>
        </is>
      </c>
      <c r="E43"/>
      <c r="F43" s="2"/>
    </row>
    <row r="44" ht="25.5" customHeight="1">
      <c r="A44" t="inlineStr">
        <is>
          <t>Redreach – Get Customers From Reddit（playbook thread）</t>
        </is>
      </c>
      <c r="B44" t="inlineStr">
        <is>
          <t>创作者总结 Reddit 获客手册与实操动作。</t>
        </is>
      </c>
      <c r="C44" s="2" t="str">
        <f>=HYPERLINK("https://twitter.com/tryredreach", "https://twitter.com/tryredreach")</f>
        <v>https://twitter.com/tryredreach</v>
      </c>
      <c r="D44" t="inlineStr">
        <is>
          <t>X：点赞/转发（N/A）</t>
        </is>
      </c>
      <c r="E44"/>
      <c r="F44" s="2"/>
    </row>
    <row r="45" ht="25.5" customHeight="1">
      <c r="A45" t="inlineStr">
        <is>
          <t>Reddibee – Reddit Post Writer（case/demo thread）</t>
        </is>
      </c>
      <c r="B45" t="inlineStr">
        <is>
          <t>展示如何用 AI 写符合 Reddit 语境的帖子以提高通过率。</t>
        </is>
      </c>
      <c r="C45" s="2" t="str">
        <f>=HYPERLINK("https://twitter.com/reddibee_hq", "https://twitter.com/reddibee_hq")</f>
        <v>https://twitter.com/reddibee_hq</v>
      </c>
      <c r="D45" t="inlineStr">
        <is>
          <t>X：点赞/转发（N/A）</t>
        </is>
      </c>
      <c r="E45"/>
      <c r="F45" s="2"/>
    </row>
    <row r="46" ht="25.5" customHeight="1">
      <c r="A46" t="inlineStr">
        <is>
          <t>Founder: ProfileMagic.ai – getting users from Reddit</t>
        </is>
      </c>
      <c r="B46" t="inlineStr">
        <is>
          <t>创始人分享来自 Reddit 的主要获客来源。</t>
        </is>
      </c>
      <c r="C46" s="2" t="str">
        <f>=HYPERLINK("https://twitter.com/therajatg", "https://twitter.com/therajatg")</f>
        <v>https://twitter.com/therajatg</v>
      </c>
      <c r="D46" t="inlineStr">
        <is>
          <t>X：点赞/转发（N/A）</t>
        </is>
      </c>
      <c r="E46"/>
      <c r="F46" s="2"/>
    </row>
  </sheetData>
  <dataValidations count="1">
    <dataValidation allowBlank="false" sqref="D2:D45" type="list">
      <formula1>"YouTube：点赞/分享（N/A）,Reddit：赞/交叉分享（N/A）,X：点赞/转发（N/A）"</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