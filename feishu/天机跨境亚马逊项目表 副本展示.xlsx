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产品信息" sheetId="2" r:id="rId4"/>
    <sheet name="2025欧洲listing SOP流程" sheetId="3" r:id="rId5"/>
    <sheet name="美国SC毛利测算" sheetId="4" r:id="rId6"/>
    <sheet name="美国VC毛利测算" sheetId="5" r:id="rId7"/>
    <sheet name="欧洲SC毛利测算" sheetId="6" r:id="rId8"/>
    <sheet name="欧洲VC毛利测算" sheetId="7" r:id="rId9"/>
    <sheet name="活动排期" sheetId="8" r:id="rId10"/>
    <sheet name="发货物流价格" sheetId="9" r:id="rId11"/>
    <sheet name="XX仪-采购计划" sheetId="10" r:id="rId12"/>
    <sheet name="P100A-采购计划" sheetId="11" r:id="rId13"/>
    <sheet name="2in1-采购计划" sheetId="12" r:id="rId14"/>
    <sheet name="TK视频链接" sheetId="13" r:id="rId15"/>
    <sheet name="佣金" sheetId="14" r:id="rId16"/>
    <sheet name="美国DI毛利测算" sheetId="15" r:id="rId17"/>
    <sheet name="欧洲DI毛利测算" sheetId="16" r:id="rId18"/>
    <sheet name="美国DF上架测算" sheetId="17" r:id="rId1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3">
    <dxf>
      <fill>
        <patternFill patternType="solid">
          <bgColor rgb="FFFEF0F8"/>
        </patternFill>
      </fill>
    </dxf>
    <dxf>
      <fill>
        <patternFill patternType="solid">
          <bgColor rgb="FFFEF0F8"/>
        </patternFill>
      </fill>
    </dxf>
    <dxf>
      <fill>
        <patternFill patternType="solid">
          <bgColor rgb="FFFEF0F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SKU</t>
        </is>
      </c>
      <c r="B1" s="1" t="inlineStr">
        <is>
          <t>ASIN</t>
        </is>
      </c>
      <c r="C1" s="1" t="inlineStr">
        <is>
          <t>ERP SKU</t>
        </is>
      </c>
      <c r="D1" s="1" t="inlineStr">
        <is>
          <t>产品名称</t>
        </is>
      </c>
      <c r="E1" s="1" t="inlineStr">
        <is>
          <t>采购成本（含税）</t>
        </is>
      </c>
      <c r="F1" s="1" t="inlineStr">
        <is>
          <t>长cm（单）</t>
        </is>
      </c>
      <c r="G1" s="1" t="inlineStr">
        <is>
          <t>宽cm（单）</t>
        </is>
      </c>
      <c r="H1" s="1" t="inlineStr">
        <is>
          <t>高cm（单）</t>
        </is>
      </c>
      <c r="I1" s="1" t="inlineStr">
        <is>
          <t>重量Kg（单）</t>
        </is>
      </c>
      <c r="J1" s="1" t="inlineStr">
        <is>
          <t>装箱数</t>
        </is>
      </c>
      <c r="K1" s="1" t="inlineStr">
        <is>
          <t>长cm（箱）</t>
        </is>
      </c>
      <c r="L1" s="1" t="inlineStr">
        <is>
          <t>宽cm（箱）</t>
        </is>
      </c>
      <c r="M1" s="1" t="inlineStr">
        <is>
          <t>高cm（箱）</t>
        </is>
      </c>
      <c r="N1" s="1" t="inlineStr">
        <is>
          <t>重量Kg（箱）</t>
        </is>
      </c>
      <c r="O1" s="1" t="inlineStr">
        <is>
          <t>体积重</t>
        </is>
      </c>
      <c r="P1" s="1" t="inlineStr">
        <is>
          <t>体积</t>
        </is>
      </c>
      <c r="Q1" s="1" t="inlineStr">
        <is>
          <t>重量体积</t>
        </is>
      </c>
      <c r="R1" s="1" t="inlineStr">
        <is>
          <t>首单</t>
        </is>
      </c>
      <c r="S1" s="1" t="inlineStr">
        <is>
          <t>空运</t>
        </is>
      </c>
      <c r="T1" s="1" t="inlineStr">
        <is>
          <t>美森|卡航</t>
        </is>
      </c>
      <c r="U1" s="1" t="inlineStr">
        <is>
          <t>铁路</t>
        </is>
      </c>
      <c r="V1" s="1" t="inlineStr">
        <is>
          <t>海运</t>
        </is>
      </c>
      <c r="W1" s="1" t="inlineStr">
        <is>
          <t>卡航</t>
        </is>
      </c>
      <c r="X1" s="1" t="inlineStr">
        <is>
          <t>唯一</t>
        </is>
      </c>
      <c r="Y1" s="1" t="inlineStr">
        <is>
          <t>名称</t>
        </is>
      </c>
    </row>
    <row r="2" ht="25.5" customHeight="1">
      <c r="A2" t="inlineStr">
        <is>
          <t>R0001US</t>
        </is>
      </c>
      <c r="B2"/>
      <c r="C2" t="inlineStr">
        <is>
          <t>US-MV2501</t>
        </is>
      </c>
      <c r="D2" t="inlineStr">
        <is>
          <t>产品s001</t>
        </is>
      </c>
      <c r="E2">
        <v>135.5</v>
      </c>
      <c r="F2">
        <v>33.5</v>
      </c>
      <c r="G2">
        <v>26.5</v>
      </c>
      <c r="H2">
        <v>25</v>
      </c>
      <c r="I2">
        <v>2.3</v>
      </c>
      <c r="J2">
        <v>4</v>
      </c>
      <c r="K2">
        <v>55</v>
      </c>
      <c r="L2">
        <v>35</v>
      </c>
      <c r="M2">
        <v>52</v>
      </c>
      <c r="N2">
        <v>10</v>
      </c>
      <c r="O2" t="inlineStr">
        <is>
          <t>16.7</t>
        </is>
      </c>
      <c r="P2" t="inlineStr">
        <is>
          <t>0.100</t>
        </is>
      </c>
      <c r="Q2" t="inlineStr">
        <is>
          <t>0.027</t>
        </is>
      </c>
      <c r="R2">
        <v>1000</v>
      </c>
      <c r="S2" t="inlineStr">
        <is>
          <t>204.4</t>
        </is>
      </c>
      <c r="T2" t="inlineStr">
        <is>
          <t>58.39</t>
        </is>
      </c>
      <c r="U2" t="inlineStr">
        <is>
          <t>25.02</t>
        </is>
      </c>
      <c r="V2" t="inlineStr">
        <is>
          <t>16.68</t>
        </is>
      </c>
      <c r="W2" t="inlineStr">
        <is>
          <t>41.7</t>
        </is>
      </c>
      <c r="X2">
        <v>8508110000</v>
      </c>
      <c r="Y2" t="inlineStr">
        <is>
          <t>吸尘器</t>
        </is>
      </c>
    </row>
    <row r="3" ht="25.5" customHeight="1">
      <c r="A3" t="inlineStr">
        <is>
          <t>R0001EU</t>
        </is>
      </c>
      <c r="B3"/>
      <c r="C3" t="inlineStr">
        <is>
          <t>EU-MV2501</t>
        </is>
      </c>
      <c r="D3" t="inlineStr">
        <is>
          <t>产品s001</t>
        </is>
      </c>
      <c r="E3">
        <v>137.5</v>
      </c>
      <c r="F3">
        <v>33.5</v>
      </c>
      <c r="G3">
        <v>26.5</v>
      </c>
      <c r="H3">
        <v>25</v>
      </c>
      <c r="I3">
        <v>2.3</v>
      </c>
      <c r="J3">
        <v>4</v>
      </c>
      <c r="K3">
        <v>55</v>
      </c>
      <c r="L3">
        <v>35</v>
      </c>
      <c r="M3">
        <v>52</v>
      </c>
      <c r="N3">
        <v>10</v>
      </c>
      <c r="O3" t="inlineStr">
        <is>
          <t>16.7</t>
        </is>
      </c>
      <c r="P3" t="inlineStr">
        <is>
          <t>0.100</t>
        </is>
      </c>
      <c r="Q3" t="inlineStr">
        <is>
          <t>0.027</t>
        </is>
      </c>
      <c r="R3">
        <v>1500</v>
      </c>
      <c r="S3" t="inlineStr">
        <is>
          <t>204.4</t>
        </is>
      </c>
      <c r="T3" t="inlineStr">
        <is>
          <t>58.39</t>
        </is>
      </c>
      <c r="U3" t="inlineStr">
        <is>
          <t>25.02</t>
        </is>
      </c>
      <c r="V3" t="inlineStr">
        <is>
          <t>16.68</t>
        </is>
      </c>
      <c r="W3" t="inlineStr">
        <is>
          <t>41.7</t>
        </is>
      </c>
      <c r="X3">
        <v>8508110000</v>
      </c>
      <c r="Y3" t="inlineStr">
        <is>
          <t>吸尘器</t>
        </is>
      </c>
    </row>
    <row r="4" ht="25.5" customHeight="1">
      <c r="A4" t="inlineStr">
        <is>
          <t>R0001UK</t>
        </is>
      </c>
      <c r="B4"/>
      <c r="C4" t="inlineStr">
        <is>
          <t>UK-MV2501</t>
        </is>
      </c>
      <c r="D4" t="inlineStr">
        <is>
          <t>产品s001</t>
        </is>
      </c>
      <c r="E4">
        <v>137.5</v>
      </c>
      <c r="F4">
        <v>33.5</v>
      </c>
      <c r="G4">
        <v>26.5</v>
      </c>
      <c r="H4">
        <v>25</v>
      </c>
      <c r="I4">
        <v>2.3</v>
      </c>
      <c r="J4">
        <v>4</v>
      </c>
      <c r="K4">
        <v>55</v>
      </c>
      <c r="L4">
        <v>35</v>
      </c>
      <c r="M4">
        <v>52</v>
      </c>
      <c r="N4">
        <v>10</v>
      </c>
      <c r="O4" t="inlineStr">
        <is>
          <t>16.7</t>
        </is>
      </c>
      <c r="P4" t="inlineStr">
        <is>
          <t>0.100</t>
        </is>
      </c>
      <c r="Q4" t="inlineStr">
        <is>
          <t>0.027</t>
        </is>
      </c>
      <c r="R4">
        <v>500</v>
      </c>
      <c r="S4" t="inlineStr">
        <is>
          <t>204.4</t>
        </is>
      </c>
      <c r="T4" t="inlineStr">
        <is>
          <t>58.39</t>
        </is>
      </c>
      <c r="U4" t="inlineStr">
        <is>
          <t>25.02</t>
        </is>
      </c>
      <c r="V4" t="inlineStr">
        <is>
          <t>16.68</t>
        </is>
      </c>
      <c r="W4" t="inlineStr">
        <is>
          <t>41.7</t>
        </is>
      </c>
      <c r="X4">
        <v>8508110000</v>
      </c>
      <c r="Y4" t="inlineStr">
        <is>
          <t>吸尘器</t>
        </is>
      </c>
    </row>
    <row r="5" ht="25.5" customHeight="1">
      <c r="A5" t="inlineStr">
        <is>
          <t>R1001EU</t>
        </is>
      </c>
      <c r="B5"/>
      <c r="C5" t="inlineStr">
        <is>
          <t>MV2501</t>
        </is>
      </c>
      <c r="D5" t="inlineStr">
        <is>
          <t>产品s001</t>
        </is>
      </c>
      <c r="E5">
        <v>137.5</v>
      </c>
      <c r="F5">
        <v>33.5</v>
      </c>
      <c r="G5">
        <v>26.5</v>
      </c>
      <c r="H5">
        <v>25</v>
      </c>
      <c r="I5">
        <v>2.3</v>
      </c>
      <c r="J5">
        <v>4</v>
      </c>
      <c r="K5">
        <v>55</v>
      </c>
      <c r="L5">
        <v>35</v>
      </c>
      <c r="M5">
        <v>25</v>
      </c>
      <c r="N5">
        <v>10</v>
      </c>
      <c r="O5" t="inlineStr">
        <is>
          <t>8.0</t>
        </is>
      </c>
      <c r="P5" t="inlineStr">
        <is>
          <t>0.048</t>
        </is>
      </c>
      <c r="Q5" t="inlineStr">
        <is>
          <t>0.027</t>
        </is>
      </c>
      <c r="R5">
        <v>1000</v>
      </c>
      <c r="S5" t="inlineStr">
        <is>
          <t>98.3</t>
        </is>
      </c>
      <c r="T5" t="inlineStr">
        <is>
          <t>35.00</t>
        </is>
      </c>
      <c r="U5" t="inlineStr">
        <is>
          <t>15.00</t>
        </is>
      </c>
      <c r="V5" t="inlineStr">
        <is>
          <t>10.00</t>
        </is>
      </c>
      <c r="W5" t="inlineStr">
        <is>
          <t>25.0</t>
        </is>
      </c>
      <c r="X5">
        <v>8508110000</v>
      </c>
      <c r="Y5" t="inlineStr">
        <is>
          <t>吸尘器</t>
        </is>
      </c>
    </row>
    <row r="6" ht="25.5" customHeight="1">
      <c r="A6" t="inlineStr">
        <is>
          <t>HM0001EU</t>
        </is>
      </c>
      <c r="B6"/>
      <c r="C6" t="inlineStr">
        <is>
          <t>EU-VC025</t>
        </is>
      </c>
      <c r="D6" t="inlineStr">
        <is>
          <t>产品s001</t>
        </is>
      </c>
      <c r="E6">
        <v>100.1</v>
      </c>
      <c r="F6">
        <v>21.5</v>
      </c>
      <c r="G6">
        <v>20.5</v>
      </c>
      <c r="H6">
        <v>7.5</v>
      </c>
      <c r="I6">
        <v>0.7</v>
      </c>
      <c r="J6">
        <v>20</v>
      </c>
      <c r="K6">
        <v>45</v>
      </c>
      <c r="L6">
        <v>42.5</v>
      </c>
      <c r="M6">
        <v>40</v>
      </c>
      <c r="N6">
        <v>15</v>
      </c>
      <c r="O6" t="inlineStr">
        <is>
          <t>12.8</t>
        </is>
      </c>
      <c r="P6" t="inlineStr">
        <is>
          <t>0.076</t>
        </is>
      </c>
      <c r="Q6" t="inlineStr">
        <is>
          <t>0.041</t>
        </is>
      </c>
      <c r="R6">
        <v>1000</v>
      </c>
      <c r="S6" t="inlineStr">
        <is>
          <t>31.2</t>
        </is>
      </c>
      <c r="T6" t="inlineStr">
        <is>
          <t>10.50</t>
        </is>
      </c>
      <c r="U6" t="inlineStr">
        <is>
          <t>4.50</t>
        </is>
      </c>
      <c r="V6" t="inlineStr">
        <is>
          <t>3.00</t>
        </is>
      </c>
      <c r="W6" t="inlineStr">
        <is>
          <t>7.5</t>
        </is>
      </c>
      <c r="X6">
        <v>8508110000</v>
      </c>
      <c r="Y6" t="inlineStr">
        <is>
          <t>吸尘器</t>
        </is>
      </c>
    </row>
    <row r="7" ht="25.5" customHeight="1">
      <c r="A7" t="inlineStr">
        <is>
          <t>HM0006EU</t>
        </is>
      </c>
      <c r="B7"/>
      <c r="C7" t="inlineStr">
        <is>
          <t>EU-T2225</t>
        </is>
      </c>
      <c r="D7" t="inlineStr">
        <is>
          <t>产品s001</t>
        </is>
      </c>
      <c r="E7">
        <v>208</v>
      </c>
      <c r="F7">
        <v>14</v>
      </c>
      <c r="G7">
        <v>10</v>
      </c>
      <c r="H7">
        <v>19</v>
      </c>
      <c r="I7">
        <v>1.2</v>
      </c>
      <c r="J7">
        <v>12</v>
      </c>
      <c r="K7">
        <v>32</v>
      </c>
      <c r="L7">
        <v>29</v>
      </c>
      <c r="M7">
        <v>40</v>
      </c>
      <c r="N7">
        <v>15</v>
      </c>
      <c r="O7" t="inlineStr">
        <is>
          <t>6.2</t>
        </is>
      </c>
      <c r="P7" t="inlineStr">
        <is>
          <t>0.037</t>
        </is>
      </c>
      <c r="Q7" t="inlineStr">
        <is>
          <t>0.041</t>
        </is>
      </c>
      <c r="R7">
        <v>1000</v>
      </c>
      <c r="S7" t="inlineStr">
        <is>
          <t>25.3</t>
        </is>
      </c>
      <c r="T7" t="inlineStr">
        <is>
          <t>17.50</t>
        </is>
      </c>
      <c r="U7" t="inlineStr">
        <is>
          <t>7.50</t>
        </is>
      </c>
      <c r="V7" t="inlineStr">
        <is>
          <t>5.00</t>
        </is>
      </c>
      <c r="W7" t="inlineStr">
        <is>
          <t>12.5</t>
        </is>
      </c>
      <c r="X7">
        <v>8508110000</v>
      </c>
      <c r="Y7" t="inlineStr">
        <is>
          <t>吸尘器</t>
        </is>
      </c>
    </row>
    <row r="8" ht="25.5" customHeight="1">
      <c r="A8" t="inlineStr">
        <is>
          <t>HM0006UK</t>
        </is>
      </c>
      <c r="B8"/>
      <c r="C8" t="inlineStr">
        <is>
          <t>EU-T2225</t>
        </is>
      </c>
      <c r="D8"/>
      <c r="E8">
        <v>208</v>
      </c>
      <c r="F8">
        <v>14</v>
      </c>
      <c r="G8">
        <v>10</v>
      </c>
      <c r="H8">
        <v>19</v>
      </c>
      <c r="I8">
        <v>1.2</v>
      </c>
      <c r="J8">
        <v>12</v>
      </c>
      <c r="K8">
        <v>32</v>
      </c>
      <c r="L8">
        <v>29</v>
      </c>
      <c r="M8">
        <v>40</v>
      </c>
      <c r="N8">
        <v>15</v>
      </c>
      <c r="O8" t="inlineStr">
        <is>
          <t>6.2</t>
        </is>
      </c>
      <c r="P8" t="inlineStr">
        <is>
          <t>0.037</t>
        </is>
      </c>
      <c r="Q8" t="inlineStr">
        <is>
          <t>0.041</t>
        </is>
      </c>
      <c r="R8">
        <v>1000</v>
      </c>
      <c r="S8" t="inlineStr">
        <is>
          <t>25.3</t>
        </is>
      </c>
      <c r="T8" t="inlineStr">
        <is>
          <t>17.50</t>
        </is>
      </c>
      <c r="U8" t="inlineStr">
        <is>
          <t>7.50</t>
        </is>
      </c>
      <c r="V8" t="inlineStr">
        <is>
          <t>5.00</t>
        </is>
      </c>
      <c r="W8" t="inlineStr">
        <is>
          <t>12.5</t>
        </is>
      </c>
      <c r="X8">
        <v>8508110000</v>
      </c>
      <c r="Y8" t="inlineStr">
        <is>
          <t>吸尘器</t>
        </is>
      </c>
    </row>
    <row r="9" ht="25.5" customHeight="1">
      <c r="A9" t="inlineStr">
        <is>
          <t>R0004EU</t>
        </is>
      </c>
      <c r="B9"/>
      <c r="C9" t="inlineStr">
        <is>
          <t>EU-RS1</t>
        </is>
      </c>
      <c r="D9"/>
      <c r="E9">
        <v>49</v>
      </c>
      <c r="F9">
        <v>17.2</v>
      </c>
      <c r="G9">
        <v>9.8</v>
      </c>
      <c r="H9">
        <v>4.4</v>
      </c>
      <c r="I9">
        <v>0.5</v>
      </c>
      <c r="J9">
        <v>50</v>
      </c>
      <c r="K9">
        <v>51.5</v>
      </c>
      <c r="L9">
        <v>42</v>
      </c>
      <c r="M9">
        <v>20</v>
      </c>
      <c r="N9">
        <v>19.75</v>
      </c>
      <c r="O9" t="inlineStr">
        <is>
          <t>7.2</t>
        </is>
      </c>
      <c r="P9" t="inlineStr">
        <is>
          <t>0.043</t>
        </is>
      </c>
      <c r="Q9" t="inlineStr">
        <is>
          <t>0.054</t>
        </is>
      </c>
      <c r="R9">
        <v>1000</v>
      </c>
      <c r="S9" t="inlineStr">
        <is>
          <t>7.1</t>
        </is>
      </c>
      <c r="T9" t="inlineStr">
        <is>
          <t>5.53</t>
        </is>
      </c>
      <c r="U9" t="inlineStr">
        <is>
          <t>2.37</t>
        </is>
      </c>
      <c r="V9" t="inlineStr">
        <is>
          <t>1.58</t>
        </is>
      </c>
      <c r="W9" t="inlineStr">
        <is>
          <t>4.0</t>
        </is>
      </c>
      <c r="X9">
        <v>8508110000</v>
      </c>
      <c r="Y9" t="inlineStr">
        <is>
          <t>吸尘器</t>
        </is>
      </c>
    </row>
    <row r="10" ht="25.5" customHeight="1">
      <c r="A10" t="inlineStr">
        <is>
          <t>R0004UK</t>
        </is>
      </c>
      <c r="B10"/>
      <c r="C10" t="inlineStr">
        <is>
          <t>UK-RS1</t>
        </is>
      </c>
      <c r="D10"/>
      <c r="E10">
        <v>49</v>
      </c>
      <c r="F10">
        <v>17.2</v>
      </c>
      <c r="G10">
        <v>9.8</v>
      </c>
      <c r="H10">
        <v>4.4</v>
      </c>
      <c r="I10">
        <v>0.5</v>
      </c>
      <c r="J10">
        <v>50</v>
      </c>
      <c r="K10">
        <v>51.5</v>
      </c>
      <c r="L10">
        <v>42</v>
      </c>
      <c r="M10">
        <v>20</v>
      </c>
      <c r="N10">
        <v>19.75</v>
      </c>
      <c r="O10" t="inlineStr">
        <is>
          <t>7.2</t>
        </is>
      </c>
      <c r="P10" t="inlineStr">
        <is>
          <t>0.043</t>
        </is>
      </c>
      <c r="Q10" t="inlineStr">
        <is>
          <t>0.054</t>
        </is>
      </c>
      <c r="R10">
        <v>1000</v>
      </c>
      <c r="S10" t="inlineStr">
        <is>
          <t>7.1</t>
        </is>
      </c>
      <c r="T10" t="inlineStr">
        <is>
          <t>5.53</t>
        </is>
      </c>
      <c r="U10" t="inlineStr">
        <is>
          <t>2.37</t>
        </is>
      </c>
      <c r="V10" t="inlineStr">
        <is>
          <t>1.58</t>
        </is>
      </c>
      <c r="W10" t="inlineStr">
        <is>
          <t>4.0</t>
        </is>
      </c>
      <c r="X10">
        <v>8508110000</v>
      </c>
      <c r="Y10" t="inlineStr">
        <is>
          <t>吸尘器</t>
        </is>
      </c>
    </row>
    <row r="11" ht="25.5" customHeight="1">
      <c r="A11" t="inlineStr">
        <is>
          <t>HM0002EU</t>
        </is>
      </c>
      <c r="B11"/>
      <c r="C11" t="inlineStr">
        <is>
          <t>EU-HES62</t>
        </is>
      </c>
      <c r="D11"/>
      <c r="E11">
        <v>80.4</v>
      </c>
      <c r="F11">
        <v>26.5</v>
      </c>
      <c r="G11">
        <v>13.5</v>
      </c>
      <c r="H11">
        <v>3.5</v>
      </c>
      <c r="I11">
        <v>1.1</v>
      </c>
      <c r="J11">
        <v>30</v>
      </c>
      <c r="K11">
        <v>42.5</v>
      </c>
      <c r="L11">
        <v>27</v>
      </c>
      <c r="M11">
        <v>38</v>
      </c>
      <c r="N11">
        <v>18.05</v>
      </c>
      <c r="O11" t="inlineStr">
        <is>
          <t>7.3</t>
        </is>
      </c>
      <c r="P11" t="inlineStr">
        <is>
          <t>0.044</t>
        </is>
      </c>
      <c r="Q11" t="inlineStr">
        <is>
          <t>0.049</t>
        </is>
      </c>
      <c r="R11">
        <v>1000</v>
      </c>
      <c r="S11" t="inlineStr">
        <is>
          <t>11.9</t>
        </is>
      </c>
      <c r="T11" t="inlineStr">
        <is>
          <t>8.42</t>
        </is>
      </c>
      <c r="U11" t="inlineStr">
        <is>
          <t>3.61</t>
        </is>
      </c>
      <c r="V11" t="inlineStr">
        <is>
          <t>2.41</t>
        </is>
      </c>
      <c r="W11" t="inlineStr">
        <is>
          <t>6.0</t>
        </is>
      </c>
      <c r="X11">
        <v>8508110000</v>
      </c>
      <c r="Y11" t="inlineStr">
        <is>
          <t>吸尘器</t>
        </is>
      </c>
    </row>
    <row r="12" ht="25.5" customHeight="1">
      <c r="A12" t="inlineStr">
        <is>
          <t>HM0003EU</t>
        </is>
      </c>
      <c r="B12"/>
      <c r="C12" t="inlineStr">
        <is>
          <t>EU-HPS39</t>
        </is>
      </c>
      <c r="D12"/>
      <c r="E12">
        <v>29.38</v>
      </c>
      <c r="F12">
        <v>16</v>
      </c>
      <c r="G12">
        <v>2</v>
      </c>
      <c r="H12">
        <v>2</v>
      </c>
      <c r="I12">
        <v>0.1</v>
      </c>
      <c r="J12">
        <v>200</v>
      </c>
      <c r="K12">
        <v>36</v>
      </c>
      <c r="L12">
        <v>36</v>
      </c>
      <c r="M12">
        <v>24</v>
      </c>
      <c r="N12">
        <v>19.5</v>
      </c>
      <c r="O12" t="inlineStr">
        <is>
          <t>5.2</t>
        </is>
      </c>
      <c r="P12" t="inlineStr">
        <is>
          <t>0.031</t>
        </is>
      </c>
      <c r="Q12" t="inlineStr">
        <is>
          <t>0.053</t>
        </is>
      </c>
      <c r="R12">
        <v>1000</v>
      </c>
      <c r="S12" t="inlineStr">
        <is>
          <t>1.3</t>
        </is>
      </c>
      <c r="T12" t="inlineStr">
        <is>
          <t>1.36</t>
        </is>
      </c>
      <c r="U12" t="inlineStr">
        <is>
          <t>0.58</t>
        </is>
      </c>
      <c r="V12" t="inlineStr">
        <is>
          <t>0.39</t>
        </is>
      </c>
      <c r="W12" t="inlineStr">
        <is>
          <t>1.0</t>
        </is>
      </c>
      <c r="X12">
        <v>8508110000</v>
      </c>
      <c r="Y12" t="inlineStr">
        <is>
          <t>吸尘器</t>
        </is>
      </c>
    </row>
    <row r="13" ht="25.5" customHeight="1">
      <c r="A13" t="inlineStr">
        <is>
          <t>R0007US</t>
        </is>
      </c>
      <c r="B13"/>
      <c r="C13" t="inlineStr">
        <is>
          <t>US-AP100A</t>
        </is>
      </c>
      <c r="D13"/>
      <c r="E13">
        <v>94.4</v>
      </c>
      <c r="F13">
        <v>32</v>
      </c>
      <c r="G13">
        <v>18.5</v>
      </c>
      <c r="H13">
        <v>18.5</v>
      </c>
      <c r="I13">
        <v>1.6</v>
      </c>
      <c r="J13">
        <v>9</v>
      </c>
      <c r="K13">
        <v>55</v>
      </c>
      <c r="L13">
        <v>55</v>
      </c>
      <c r="M13">
        <v>35</v>
      </c>
      <c r="N13">
        <v>14</v>
      </c>
      <c r="O13" t="inlineStr">
        <is>
          <t>17.6</t>
        </is>
      </c>
      <c r="P13" t="inlineStr">
        <is>
          <t>0.106</t>
        </is>
      </c>
      <c r="Q13" t="inlineStr">
        <is>
          <t>0.038</t>
        </is>
      </c>
      <c r="R13">
        <v>1000</v>
      </c>
      <c r="S13" t="inlineStr">
        <is>
          <t>96.1</t>
        </is>
      </c>
      <c r="T13" t="inlineStr">
        <is>
          <t>27.45</t>
        </is>
      </c>
      <c r="U13" t="inlineStr">
        <is>
          <t>11.76</t>
        </is>
      </c>
      <c r="V13" t="inlineStr">
        <is>
          <t>7.84</t>
        </is>
      </c>
      <c r="W13" t="inlineStr">
        <is>
          <t>19.6</t>
        </is>
      </c>
      <c r="X13">
        <v>8421391000</v>
      </c>
      <c r="Y13" t="inlineStr">
        <is>
          <t>空气净化器</t>
        </is>
      </c>
    </row>
    <row r="14" ht="25.5" customHeight="1">
      <c r="A14" t="inlineStr">
        <is>
          <t>R0007EU</t>
        </is>
      </c>
      <c r="B14"/>
      <c r="C14" t="inlineStr">
        <is>
          <t>EU-AP100A</t>
        </is>
      </c>
      <c r="D14"/>
      <c r="E14">
        <v>94.4</v>
      </c>
      <c r="F14">
        <v>32</v>
      </c>
      <c r="G14">
        <v>18.5</v>
      </c>
      <c r="H14">
        <v>18.5</v>
      </c>
      <c r="I14">
        <v>1.6</v>
      </c>
      <c r="J14">
        <v>9</v>
      </c>
      <c r="K14">
        <v>55</v>
      </c>
      <c r="L14">
        <v>55</v>
      </c>
      <c r="M14">
        <v>35</v>
      </c>
      <c r="N14">
        <v>14</v>
      </c>
      <c r="O14" t="inlineStr">
        <is>
          <t>17.6</t>
        </is>
      </c>
      <c r="P14" t="inlineStr">
        <is>
          <t>0.106</t>
        </is>
      </c>
      <c r="Q14" t="inlineStr">
        <is>
          <t>0.038</t>
        </is>
      </c>
      <c r="R14">
        <v>1000</v>
      </c>
      <c r="S14" t="inlineStr">
        <is>
          <t>96.1</t>
        </is>
      </c>
      <c r="T14" t="inlineStr">
        <is>
          <t>27.45</t>
        </is>
      </c>
      <c r="U14" t="inlineStr">
        <is>
          <t>11.76</t>
        </is>
      </c>
      <c r="V14" t="inlineStr">
        <is>
          <t>7.84</t>
        </is>
      </c>
      <c r="W14" t="inlineStr">
        <is>
          <t>19.6</t>
        </is>
      </c>
      <c r="X14">
        <v>8421391000</v>
      </c>
      <c r="Y14" t="inlineStr">
        <is>
          <t>空气净化器</t>
        </is>
      </c>
    </row>
    <row r="15" ht="25.5" customHeight="1">
      <c r="A15" t="inlineStr">
        <is>
          <t>R0007UK</t>
        </is>
      </c>
      <c r="B15"/>
      <c r="C15" t="inlineStr">
        <is>
          <t>UK-AP100A</t>
        </is>
      </c>
      <c r="D15"/>
      <c r="E15">
        <v>94.4</v>
      </c>
      <c r="F15">
        <v>32</v>
      </c>
      <c r="G15">
        <v>18.5</v>
      </c>
      <c r="H15">
        <v>18.5</v>
      </c>
      <c r="I15">
        <v>1.6</v>
      </c>
      <c r="J15">
        <v>9</v>
      </c>
      <c r="K15">
        <v>55</v>
      </c>
      <c r="L15">
        <v>55</v>
      </c>
      <c r="M15">
        <v>35</v>
      </c>
      <c r="N15">
        <v>14</v>
      </c>
      <c r="O15" t="inlineStr">
        <is>
          <t>17.6</t>
        </is>
      </c>
      <c r="P15" t="inlineStr">
        <is>
          <t>0.106</t>
        </is>
      </c>
      <c r="Q15" t="inlineStr">
        <is>
          <t>0.038</t>
        </is>
      </c>
      <c r="R15">
        <v>1000</v>
      </c>
      <c r="S15" t="inlineStr">
        <is>
          <t>96.1</t>
        </is>
      </c>
      <c r="T15" t="inlineStr">
        <is>
          <t>27.45</t>
        </is>
      </c>
      <c r="U15" t="inlineStr">
        <is>
          <t>11.76</t>
        </is>
      </c>
      <c r="V15" t="inlineStr">
        <is>
          <t>7.84</t>
        </is>
      </c>
      <c r="W15" t="inlineStr">
        <is>
          <t>19.6</t>
        </is>
      </c>
      <c r="X15">
        <v>8421391000</v>
      </c>
      <c r="Y15" t="inlineStr">
        <is>
          <t>空气净化器</t>
        </is>
      </c>
    </row>
    <row r="16" ht="25.5" customHeight="1">
      <c r="A16" t="inlineStr">
        <is>
          <t>R0008US</t>
        </is>
      </c>
      <c r="B16"/>
      <c r="C16" t="inlineStr">
        <is>
          <t>US-F100A</t>
        </is>
      </c>
      <c r="D16"/>
      <c r="E16">
        <v>16.9</v>
      </c>
      <c r="F16">
        <v>16</v>
      </c>
      <c r="G16">
        <v>16</v>
      </c>
      <c r="H16">
        <v>16</v>
      </c>
      <c r="I16">
        <v>0.3</v>
      </c>
      <c r="J16">
        <v>27</v>
      </c>
      <c r="K16">
        <v>50</v>
      </c>
      <c r="L16">
        <v>50</v>
      </c>
      <c r="M16">
        <v>50</v>
      </c>
      <c r="N16">
        <v>7.5</v>
      </c>
      <c r="O16" t="inlineStr">
        <is>
          <t>20.8</t>
        </is>
      </c>
      <c r="P16" t="inlineStr">
        <is>
          <t>0.125</t>
        </is>
      </c>
      <c r="Q16" t="inlineStr">
        <is>
          <t>0.021</t>
        </is>
      </c>
      <c r="R16">
        <v>1000</v>
      </c>
      <c r="S16" t="inlineStr">
        <is>
          <t>37.8</t>
        </is>
      </c>
      <c r="T16" t="inlineStr">
        <is>
          <t>10.80</t>
        </is>
      </c>
      <c r="U16" t="inlineStr">
        <is>
          <t>4.63</t>
        </is>
      </c>
      <c r="V16" t="inlineStr">
        <is>
          <t>3.09</t>
        </is>
      </c>
      <c r="W16" t="inlineStr">
        <is>
          <t>7.7</t>
        </is>
      </c>
      <c r="X16">
        <v>8421991000</v>
      </c>
      <c r="Y16" t="inlineStr">
        <is>
          <t>空气净化器滤芯</t>
        </is>
      </c>
    </row>
    <row r="17" ht="25.5" customHeight="1">
      <c r="A17" t="inlineStr">
        <is>
          <t>R0008EU</t>
        </is>
      </c>
      <c r="B17"/>
      <c r="C17" t="inlineStr">
        <is>
          <t>EU-F100A</t>
        </is>
      </c>
      <c r="D17"/>
      <c r="E17">
        <v>16.9</v>
      </c>
      <c r="F17">
        <v>16</v>
      </c>
      <c r="G17">
        <v>16</v>
      </c>
      <c r="H17">
        <v>16</v>
      </c>
      <c r="I17">
        <v>0.3</v>
      </c>
      <c r="J17">
        <v>27</v>
      </c>
      <c r="K17">
        <v>50</v>
      </c>
      <c r="L17">
        <v>50</v>
      </c>
      <c r="M17">
        <v>50</v>
      </c>
      <c r="N17">
        <v>7.5</v>
      </c>
      <c r="O17" t="inlineStr">
        <is>
          <t>20.8</t>
        </is>
      </c>
      <c r="P17" t="inlineStr">
        <is>
          <t>0.125</t>
        </is>
      </c>
      <c r="Q17" t="inlineStr">
        <is>
          <t>0.021</t>
        </is>
      </c>
      <c r="R17">
        <v>1000</v>
      </c>
      <c r="S17" t="inlineStr">
        <is>
          <t>37.8</t>
        </is>
      </c>
      <c r="T17" t="inlineStr">
        <is>
          <t>10.80</t>
        </is>
      </c>
      <c r="U17" t="inlineStr">
        <is>
          <t>4.63</t>
        </is>
      </c>
      <c r="V17" t="inlineStr">
        <is>
          <t>3.09</t>
        </is>
      </c>
      <c r="W17" t="inlineStr">
        <is>
          <t>7.7</t>
        </is>
      </c>
      <c r="X17">
        <v>8421991000</v>
      </c>
      <c r="Y17" t="inlineStr">
        <is>
          <t>空气净化器滤芯</t>
        </is>
      </c>
    </row>
    <row r="18" ht="25.5" customHeight="1">
      <c r="A18" t="inlineStr">
        <is>
          <t>R0008UK</t>
        </is>
      </c>
      <c r="B18"/>
      <c r="C18" t="inlineStr">
        <is>
          <t>UK-F100A</t>
        </is>
      </c>
      <c r="D18"/>
      <c r="E18">
        <v>16.9</v>
      </c>
      <c r="F18">
        <v>16</v>
      </c>
      <c r="G18">
        <v>16</v>
      </c>
      <c r="H18">
        <v>16</v>
      </c>
      <c r="I18">
        <v>0.3</v>
      </c>
      <c r="J18">
        <v>27</v>
      </c>
      <c r="K18">
        <v>50</v>
      </c>
      <c r="L18">
        <v>50</v>
      </c>
      <c r="M18">
        <v>50</v>
      </c>
      <c r="N18">
        <v>7.5</v>
      </c>
      <c r="O18" t="inlineStr">
        <is>
          <t>20.8</t>
        </is>
      </c>
      <c r="P18" t="inlineStr">
        <is>
          <t>0.125</t>
        </is>
      </c>
      <c r="Q18" t="inlineStr">
        <is>
          <t>0.021</t>
        </is>
      </c>
      <c r="R18">
        <v>1000</v>
      </c>
      <c r="S18" t="inlineStr">
        <is>
          <t>37.8</t>
        </is>
      </c>
      <c r="T18" t="inlineStr">
        <is>
          <t>10.80</t>
        </is>
      </c>
      <c r="U18" t="inlineStr">
        <is>
          <t>4.63</t>
        </is>
      </c>
      <c r="V18" t="inlineStr">
        <is>
          <t>3.09</t>
        </is>
      </c>
      <c r="W18" t="inlineStr">
        <is>
          <t>7.7</t>
        </is>
      </c>
      <c r="X18">
        <v>8421991000</v>
      </c>
      <c r="Y18" t="inlineStr">
        <is>
          <t>空气净化器滤芯</t>
        </is>
      </c>
    </row>
    <row r="19" ht="25.5" customHeight="1">
      <c r="A19" t="inlineStr">
        <is>
          <t>R0003EU</t>
        </is>
      </c>
      <c r="B19"/>
      <c r="C19" t="inlineStr">
        <is>
          <t>EU-CY201</t>
        </is>
      </c>
      <c r="D19"/>
      <c r="E19">
        <v>155</v>
      </c>
      <c r="F19">
        <v>33</v>
      </c>
      <c r="G19">
        <v>22</v>
      </c>
      <c r="H19">
        <v>18</v>
      </c>
      <c r="I19">
        <v>1.8</v>
      </c>
      <c r="J19">
        <v>8</v>
      </c>
      <c r="K19">
        <v>61</v>
      </c>
      <c r="L19">
        <v>47</v>
      </c>
      <c r="M19">
        <v>37</v>
      </c>
      <c r="N19">
        <v>16</v>
      </c>
      <c r="O19" t="inlineStr">
        <is>
          <t>17.7</t>
        </is>
      </c>
      <c r="P19" t="inlineStr">
        <is>
          <t>0.106</t>
        </is>
      </c>
      <c r="Q19" t="inlineStr">
        <is>
          <t>0.044</t>
        </is>
      </c>
      <c r="R19">
        <v>1000</v>
      </c>
      <c r="S19" t="inlineStr">
        <is>
          <t>108.3</t>
        </is>
      </c>
      <c r="T19" t="inlineStr">
        <is>
          <t>30.94</t>
        </is>
      </c>
      <c r="U19" t="inlineStr">
        <is>
          <t>13.26</t>
        </is>
      </c>
      <c r="V19" t="inlineStr">
        <is>
          <t>8.84</t>
        </is>
      </c>
      <c r="W19" t="inlineStr">
        <is>
          <t>22.1</t>
        </is>
      </c>
      <c r="X19">
        <v>8508110000</v>
      </c>
      <c r="Y19" t="inlineStr">
        <is>
          <t>吸尘器</t>
        </is>
      </c>
    </row>
    <row r="20" ht="25.5" customHeight="1">
      <c r="A20" t="inlineStr">
        <is>
          <t>R0003UK</t>
        </is>
      </c>
      <c r="B20"/>
      <c r="C20" t="inlineStr">
        <is>
          <t>UK-CY201</t>
        </is>
      </c>
      <c r="D20"/>
      <c r="E20">
        <v>155</v>
      </c>
      <c r="F20">
        <v>33</v>
      </c>
      <c r="G20">
        <v>22</v>
      </c>
      <c r="H20">
        <v>18</v>
      </c>
      <c r="I20">
        <v>1.8</v>
      </c>
      <c r="J20">
        <v>8</v>
      </c>
      <c r="K20">
        <v>61</v>
      </c>
      <c r="L20">
        <v>47</v>
      </c>
      <c r="M20">
        <v>37</v>
      </c>
      <c r="N20">
        <v>16</v>
      </c>
      <c r="O20" t="inlineStr">
        <is>
          <t>17.7</t>
        </is>
      </c>
      <c r="P20" t="inlineStr">
        <is>
          <t>0.106</t>
        </is>
      </c>
      <c r="Q20" t="inlineStr">
        <is>
          <t>0.044</t>
        </is>
      </c>
      <c r="R20">
        <v>1000</v>
      </c>
      <c r="S20" t="inlineStr">
        <is>
          <t>108.3</t>
        </is>
      </c>
      <c r="T20" t="inlineStr">
        <is>
          <t>30.94</t>
        </is>
      </c>
      <c r="U20" t="inlineStr">
        <is>
          <t>13.26</t>
        </is>
      </c>
      <c r="V20" t="inlineStr">
        <is>
          <t>8.84</t>
        </is>
      </c>
      <c r="W20" t="inlineStr">
        <is>
          <t>22.1</t>
        </is>
      </c>
      <c r="X20">
        <v>8508110000</v>
      </c>
      <c r="Y20" t="inlineStr">
        <is>
          <t>吸尘器</t>
        </is>
      </c>
    </row>
    <row r="21" ht="25.5" customHeight="1">
      <c r="A21" t="inlineStr">
        <is>
          <t>R0002US</t>
        </is>
      </c>
      <c r="B21"/>
      <c r="C21" t="inlineStr">
        <is>
          <t>US-BY101</t>
        </is>
      </c>
      <c r="D21"/>
      <c r="E21">
        <v>260</v>
      </c>
      <c r="F21">
        <v>43</v>
      </c>
      <c r="G21">
        <v>33</v>
      </c>
      <c r="H21">
        <v>19</v>
      </c>
      <c r="I21">
        <v>3.5</v>
      </c>
      <c r="J21">
        <v>1</v>
      </c>
      <c r="K21">
        <v>43</v>
      </c>
      <c r="L21">
        <v>33</v>
      </c>
      <c r="M21">
        <v>19</v>
      </c>
      <c r="N21">
        <v>3.5</v>
      </c>
      <c r="O21" t="inlineStr">
        <is>
          <t>4.5</t>
        </is>
      </c>
      <c r="P21" t="inlineStr">
        <is>
          <t>0.027</t>
        </is>
      </c>
      <c r="Q21" t="inlineStr">
        <is>
          <t>0.010</t>
        </is>
      </c>
      <c r="R21">
        <v>1000</v>
      </c>
      <c r="S21" t="inlineStr">
        <is>
          <t>220.2</t>
        </is>
      </c>
      <c r="T21" t="inlineStr">
        <is>
          <t>62.91</t>
        </is>
      </c>
      <c r="U21" t="inlineStr">
        <is>
          <t>26.96</t>
        </is>
      </c>
      <c r="V21" t="inlineStr">
        <is>
          <t>17.97</t>
        </is>
      </c>
      <c r="W21" t="inlineStr">
        <is>
          <t>44.9</t>
        </is>
      </c>
      <c r="X21">
        <v>8451400000</v>
      </c>
      <c r="Y21" t="inlineStr">
        <is>
          <t>布艺清洗机</t>
        </is>
      </c>
    </row>
    <row r="22" ht="25.5" customHeight="1">
      <c r="A22" t="inlineStr">
        <is>
          <t>R0002EU</t>
        </is>
      </c>
      <c r="B22"/>
      <c r="C22" t="inlineStr">
        <is>
          <t>EU-BY101</t>
        </is>
      </c>
      <c r="D22"/>
      <c r="E22">
        <v>249</v>
      </c>
      <c r="F22">
        <v>43</v>
      </c>
      <c r="G22">
        <v>33</v>
      </c>
      <c r="H22">
        <v>19</v>
      </c>
      <c r="I22">
        <v>3.5</v>
      </c>
      <c r="J22">
        <v>1</v>
      </c>
      <c r="K22">
        <v>43</v>
      </c>
      <c r="L22">
        <v>33</v>
      </c>
      <c r="M22">
        <v>19</v>
      </c>
      <c r="N22">
        <v>3.5</v>
      </c>
      <c r="O22" t="inlineStr">
        <is>
          <t>4.5</t>
        </is>
      </c>
      <c r="P22" t="inlineStr">
        <is>
          <t>0.027</t>
        </is>
      </c>
      <c r="Q22" t="inlineStr">
        <is>
          <t>0.010</t>
        </is>
      </c>
      <c r="R22">
        <v>1000</v>
      </c>
      <c r="S22" t="inlineStr">
        <is>
          <t>220.2</t>
        </is>
      </c>
      <c r="T22" t="inlineStr">
        <is>
          <t>62.91</t>
        </is>
      </c>
      <c r="U22" t="inlineStr">
        <is>
          <t>26.96</t>
        </is>
      </c>
      <c r="V22" t="inlineStr">
        <is>
          <t>17.97</t>
        </is>
      </c>
      <c r="W22" t="inlineStr">
        <is>
          <t>44.9</t>
        </is>
      </c>
      <c r="X22">
        <v>8451400000</v>
      </c>
      <c r="Y22" t="inlineStr">
        <is>
          <t>布艺清洗机</t>
        </is>
      </c>
    </row>
    <row r="23" ht="25.5" customHeight="1">
      <c r="A23" t="inlineStr">
        <is>
          <t>R0002UK</t>
        </is>
      </c>
      <c r="B23"/>
      <c r="C23" t="inlineStr">
        <is>
          <t>UK-BY101</t>
        </is>
      </c>
      <c r="D23"/>
      <c r="E23">
        <v>249</v>
      </c>
      <c r="F23">
        <v>43</v>
      </c>
      <c r="G23">
        <v>33</v>
      </c>
      <c r="H23">
        <v>19</v>
      </c>
      <c r="I23">
        <v>3.5</v>
      </c>
      <c r="J23">
        <v>1</v>
      </c>
      <c r="K23">
        <v>43</v>
      </c>
      <c r="L23">
        <v>33</v>
      </c>
      <c r="M23">
        <v>19</v>
      </c>
      <c r="N23">
        <v>3.5</v>
      </c>
      <c r="O23" t="inlineStr">
        <is>
          <t>4.5</t>
        </is>
      </c>
      <c r="P23" t="inlineStr">
        <is>
          <t>0.027</t>
        </is>
      </c>
      <c r="Q23" t="inlineStr">
        <is>
          <t>0.010</t>
        </is>
      </c>
      <c r="R23">
        <v>1000</v>
      </c>
      <c r="S23" t="inlineStr">
        <is>
          <t>220.2</t>
        </is>
      </c>
      <c r="T23" t="inlineStr">
        <is>
          <t>62.91</t>
        </is>
      </c>
      <c r="U23" t="inlineStr">
        <is>
          <t>26.96</t>
        </is>
      </c>
      <c r="V23" t="inlineStr">
        <is>
          <t>17.97</t>
        </is>
      </c>
      <c r="W23" t="inlineStr">
        <is>
          <t>44.9</t>
        </is>
      </c>
      <c r="X23">
        <v>8451400000</v>
      </c>
      <c r="Y23" t="inlineStr">
        <is>
          <t>布艺清洗机</t>
        </is>
      </c>
    </row>
    <row r="24" ht="25.5" customHeight="1">
      <c r="A24"/>
      <c r="B24" t="inlineStr">
        <is>
          <t>待定</t>
        </is>
      </c>
      <c r="C24" t="inlineStr">
        <is>
          <t>EU-B2-1(PRO)</t>
        </is>
      </c>
      <c r="D24"/>
      <c r="E24">
        <v>17.8</v>
      </c>
      <c r="F24">
        <v>13</v>
      </c>
      <c r="G24">
        <v>5.5</v>
      </c>
      <c r="H24">
        <v>5.5</v>
      </c>
      <c r="I24">
        <v>0.23</v>
      </c>
      <c r="J24">
        <v>48</v>
      </c>
      <c r="K24">
        <v>36.5</v>
      </c>
      <c r="L24">
        <v>28.5</v>
      </c>
      <c r="M24">
        <v>24</v>
      </c>
      <c r="N24">
        <v>10.6</v>
      </c>
      <c r="O24" t="inlineStr">
        <is>
          <t>4.2</t>
        </is>
      </c>
      <c r="P24" t="inlineStr">
        <is>
          <t>0.025</t>
        </is>
      </c>
      <c r="Q24" t="inlineStr">
        <is>
          <t>0.029</t>
        </is>
      </c>
      <c r="R24">
        <v>1000</v>
      </c>
      <c r="S24" t="inlineStr">
        <is>
          <t>4.2</t>
        </is>
      </c>
      <c r="T24" t="inlineStr">
        <is>
          <t>3.09</t>
        </is>
      </c>
      <c r="U24" t="inlineStr">
        <is>
          <t>1.32</t>
        </is>
      </c>
      <c r="V24" t="inlineStr">
        <is>
          <t>0.88</t>
        </is>
      </c>
      <c r="W24" t="inlineStr">
        <is>
          <t>2.2</t>
        </is>
      </c>
      <c r="X24">
        <v>8451400000</v>
      </c>
      <c r="Y24" t="inlineStr">
        <is>
          <t>布艺清洗机</t>
        </is>
      </c>
    </row>
    <row r="25" ht="25.5" customHeight="1">
      <c r="A25" t="inlineStr">
        <is>
          <t>R0005EU</t>
        </is>
      </c>
      <c r="B25" t="inlineStr">
        <is>
          <t>待定</t>
        </is>
      </c>
      <c r="C25" t="inlineStr">
        <is>
          <t>EU-B3-1(MAX)</t>
        </is>
      </c>
      <c r="D25"/>
      <c r="E25">
        <v>24.5</v>
      </c>
      <c r="F25">
        <v>16</v>
      </c>
      <c r="G25">
        <v>4.5</v>
      </c>
      <c r="H25">
        <v>4.5</v>
      </c>
      <c r="I25">
        <v>0.22</v>
      </c>
      <c r="J25">
        <v>60</v>
      </c>
      <c r="K25">
        <v>36</v>
      </c>
      <c r="L25">
        <v>30.5</v>
      </c>
      <c r="M25">
        <v>26.5</v>
      </c>
      <c r="N25">
        <v>13</v>
      </c>
      <c r="O25" t="inlineStr">
        <is>
          <t>4.8</t>
        </is>
      </c>
      <c r="P25" t="inlineStr">
        <is>
          <t>0.029</t>
        </is>
      </c>
      <c r="Q25" t="inlineStr">
        <is>
          <t>0.036</t>
        </is>
      </c>
      <c r="R25">
        <v>1000</v>
      </c>
      <c r="S25" t="inlineStr">
        <is>
          <t>4.0</t>
        </is>
      </c>
      <c r="T25" t="inlineStr">
        <is>
          <t>3.03</t>
        </is>
      </c>
      <c r="U25" t="inlineStr">
        <is>
          <t>1.30</t>
        </is>
      </c>
      <c r="V25" t="inlineStr">
        <is>
          <t>0.87</t>
        </is>
      </c>
      <c r="W25" t="inlineStr">
        <is>
          <t>2.2</t>
        </is>
      </c>
      <c r="X25">
        <v>8451400000</v>
      </c>
      <c r="Y25" t="inlineStr">
        <is>
          <t>布艺清洗机</t>
        </is>
      </c>
    </row>
    <row r="26" ht="25.5" customHeight="1">
      <c r="A26" t="inlineStr">
        <is>
          <t>R0006EU</t>
        </is>
      </c>
      <c r="B26" t="inlineStr">
        <is>
          <t>1月</t>
        </is>
      </c>
      <c r="C26" t="inlineStr">
        <is>
          <t>EU-GS-PS1(MAX)</t>
        </is>
      </c>
      <c r="D26"/>
      <c r="E26">
        <v>85</v>
      </c>
      <c r="F26">
        <v>18.5</v>
      </c>
      <c r="G26">
        <v>7</v>
      </c>
      <c r="H26">
        <v>7</v>
      </c>
      <c r="I26">
        <v>0.55</v>
      </c>
      <c r="J26">
        <v>20</v>
      </c>
      <c r="K26">
        <v>36.5</v>
      </c>
      <c r="L26">
        <v>29</v>
      </c>
      <c r="M26">
        <v>21</v>
      </c>
      <c r="N26">
        <v>11</v>
      </c>
      <c r="O26" t="inlineStr">
        <is>
          <t>3.7</t>
        </is>
      </c>
      <c r="P26" t="inlineStr">
        <is>
          <t>0.022</t>
        </is>
      </c>
      <c r="Q26" t="inlineStr">
        <is>
          <t>0.030</t>
        </is>
      </c>
      <c r="R26">
        <v>1000</v>
      </c>
      <c r="S26" t="inlineStr">
        <is>
          <t>9.1</t>
        </is>
      </c>
      <c r="T26" t="inlineStr">
        <is>
          <t>7.70</t>
        </is>
      </c>
      <c r="U26" t="inlineStr">
        <is>
          <t>3.30</t>
        </is>
      </c>
      <c r="V26" t="inlineStr">
        <is>
          <t>2.20</t>
        </is>
      </c>
      <c r="W26" t="inlineStr">
        <is>
          <t>5.5</t>
        </is>
      </c>
      <c r="X26">
        <v>8451400000</v>
      </c>
      <c r="Y26" t="inlineStr">
        <is>
          <t>布艺清洗机</t>
        </is>
      </c>
    </row>
    <row r="27" ht="25.5" customHeight="1">
      <c r="A27" t="inlineStr">
        <is>
          <t>R0009EU</t>
        </is>
      </c>
      <c r="B27" t="inlineStr">
        <is>
          <t>1月</t>
        </is>
      </c>
      <c r="C27" t="inlineStr">
        <is>
          <t>EU-GS-CS04C(PRO)</t>
        </is>
      </c>
      <c r="D27"/>
      <c r="E27">
        <v>75</v>
      </c>
      <c r="F27">
        <v>21.6</v>
      </c>
      <c r="G27">
        <v>4.5</v>
      </c>
      <c r="H27">
        <v>4.5</v>
      </c>
      <c r="I27">
        <v>0.45</v>
      </c>
      <c r="J27">
        <v>40</v>
      </c>
      <c r="K27">
        <v>45</v>
      </c>
      <c r="L27">
        <v>24</v>
      </c>
      <c r="M27">
        <v>20.5</v>
      </c>
      <c r="N27">
        <v>18</v>
      </c>
      <c r="O27" t="inlineStr">
        <is>
          <t>3.7</t>
        </is>
      </c>
      <c r="P27" t="inlineStr">
        <is>
          <t>0.022</t>
        </is>
      </c>
      <c r="Q27" t="inlineStr">
        <is>
          <t>0.049</t>
        </is>
      </c>
      <c r="R27">
        <v>1000</v>
      </c>
      <c r="S27" t="inlineStr">
        <is>
          <t>4.5</t>
        </is>
      </c>
      <c r="T27" t="inlineStr">
        <is>
          <t>6.30</t>
        </is>
      </c>
      <c r="U27" t="inlineStr">
        <is>
          <t>2.70</t>
        </is>
      </c>
      <c r="V27" t="inlineStr">
        <is>
          <t>1.80</t>
        </is>
      </c>
      <c r="W27" t="inlineStr">
        <is>
          <t>4.5</t>
        </is>
      </c>
      <c r="X27">
        <v>8451400000</v>
      </c>
      <c r="Y27" t="inlineStr">
        <is>
          <t>布艺清洗机</t>
        </is>
      </c>
    </row>
    <row r="28" ht="25.5" customHeight="1">
      <c r="A28" t="inlineStr">
        <is>
          <t>R0010EU</t>
        </is>
      </c>
      <c r="B28" t="inlineStr">
        <is>
          <t>3月</t>
        </is>
      </c>
      <c r="C28" t="inlineStr">
        <is>
          <t>EU-GS-S1(PRO)</t>
        </is>
      </c>
      <c r="D28"/>
      <c r="E28">
        <v>75</v>
      </c>
      <c r="F28">
        <v>21.6</v>
      </c>
      <c r="G28">
        <v>4.5</v>
      </c>
      <c r="H28">
        <v>4.5</v>
      </c>
      <c r="I28">
        <v>0.45</v>
      </c>
      <c r="J28">
        <v>40</v>
      </c>
      <c r="K28">
        <v>45</v>
      </c>
      <c r="L28">
        <v>24</v>
      </c>
      <c r="M28">
        <v>20.5</v>
      </c>
      <c r="N28">
        <v>18</v>
      </c>
      <c r="O28" t="inlineStr">
        <is>
          <t>3.7</t>
        </is>
      </c>
      <c r="P28" t="inlineStr">
        <is>
          <t>0.022</t>
        </is>
      </c>
      <c r="Q28" t="inlineStr">
        <is>
          <t>0.049</t>
        </is>
      </c>
      <c r="R28">
        <v>1000</v>
      </c>
      <c r="S28" t="inlineStr">
        <is>
          <t>4.5</t>
        </is>
      </c>
      <c r="T28" t="inlineStr">
        <is>
          <t>6.30</t>
        </is>
      </c>
      <c r="U28" t="inlineStr">
        <is>
          <t>2.70</t>
        </is>
      </c>
      <c r="V28" t="inlineStr">
        <is>
          <t>1.80</t>
        </is>
      </c>
      <c r="W28" t="inlineStr">
        <is>
          <t>4.5</t>
        </is>
      </c>
      <c r="X28">
        <v>8451400000</v>
      </c>
      <c r="Y28" t="inlineStr">
        <is>
          <t>布艺清洗机</t>
        </is>
      </c>
    </row>
    <row r="29" ht="25.5" customHeight="1">
      <c r="A29" t="inlineStr">
        <is>
          <t>R0011EU</t>
        </is>
      </c>
      <c r="B29" t="inlineStr">
        <is>
          <t>1月</t>
        </is>
      </c>
      <c r="C29" t="inlineStr">
        <is>
          <t>EU-CG01(PRO)</t>
        </is>
      </c>
      <c r="D29"/>
      <c r="E29">
        <v>75</v>
      </c>
      <c r="F29">
        <v>21.6</v>
      </c>
      <c r="G29">
        <v>4.5</v>
      </c>
      <c r="H29">
        <v>4.5</v>
      </c>
      <c r="I29">
        <v>0.55</v>
      </c>
      <c r="J29">
        <v>24</v>
      </c>
      <c r="K29">
        <v>45.5</v>
      </c>
      <c r="L29">
        <v>35</v>
      </c>
      <c r="M29">
        <v>29</v>
      </c>
      <c r="N29">
        <v>14</v>
      </c>
      <c r="O29" t="inlineStr">
        <is>
          <t>7.7</t>
        </is>
      </c>
      <c r="P29" t="inlineStr">
        <is>
          <t>0.046</t>
        </is>
      </c>
      <c r="Q29" t="inlineStr">
        <is>
          <t>0.038</t>
        </is>
      </c>
      <c r="R29">
        <v>1000</v>
      </c>
      <c r="S29" t="inlineStr">
        <is>
          <t>15.7</t>
        </is>
      </c>
      <c r="T29" t="inlineStr">
        <is>
          <t>8.17</t>
        </is>
      </c>
      <c r="U29" t="inlineStr">
        <is>
          <t>3.50</t>
        </is>
      </c>
      <c r="V29" t="inlineStr">
        <is>
          <t>2.33</t>
        </is>
      </c>
      <c r="W29" t="inlineStr">
        <is>
          <t>5.8</t>
        </is>
      </c>
      <c r="X29">
        <v>8451400000</v>
      </c>
      <c r="Y29" t="inlineStr">
        <is>
          <t>布艺清洗机</t>
        </is>
      </c>
    </row>
    <row r="30" ht="25.5" customHeight="1">
      <c r="A30" t="inlineStr">
        <is>
          <t>R0012EU</t>
        </is>
      </c>
      <c r="B30" t="inlineStr">
        <is>
          <t>3月</t>
        </is>
      </c>
      <c r="C30" t="inlineStr">
        <is>
          <t>待定</t>
        </is>
      </c>
      <c r="D30" t="inlineStr">
        <is>
          <t>无刷精密电磨</t>
        </is>
      </c>
      <c r="E30">
        <v>75</v>
      </c>
      <c r="F30">
        <v>21.6</v>
      </c>
      <c r="G30">
        <v>4.5</v>
      </c>
      <c r="H30">
        <v>4.5</v>
      </c>
      <c r="I30">
        <v>0.55</v>
      </c>
      <c r="J30">
        <v>24</v>
      </c>
      <c r="K30">
        <v>45.5</v>
      </c>
      <c r="L30">
        <v>35</v>
      </c>
      <c r="M30">
        <v>29</v>
      </c>
      <c r="N30">
        <v>14</v>
      </c>
      <c r="O30" t="inlineStr">
        <is>
          <t>7.7</t>
        </is>
      </c>
      <c r="P30" t="inlineStr">
        <is>
          <t>0.046</t>
        </is>
      </c>
      <c r="Q30" t="inlineStr">
        <is>
          <t>0.038</t>
        </is>
      </c>
      <c r="R30">
        <v>1000</v>
      </c>
      <c r="S30" t="inlineStr">
        <is>
          <t>15.7</t>
        </is>
      </c>
      <c r="T30" t="inlineStr">
        <is>
          <t>8.17</t>
        </is>
      </c>
      <c r="U30" t="inlineStr">
        <is>
          <t>3.50</t>
        </is>
      </c>
      <c r="V30" t="inlineStr">
        <is>
          <t>2.33</t>
        </is>
      </c>
      <c r="W30" t="inlineStr">
        <is>
          <t>5.8</t>
        </is>
      </c>
      <c r="X30">
        <v>8451400000</v>
      </c>
      <c r="Y30" t="inlineStr">
        <is>
          <t>布艺清洗机</t>
        </is>
      </c>
    </row>
    <row r="31" ht="25.5" customHeight="1">
      <c r="A31" t="inlineStr">
        <is>
          <t>R0013EU</t>
        </is>
      </c>
      <c r="B31" t="inlineStr">
        <is>
          <t>3月</t>
        </is>
      </c>
      <c r="C31" t="inlineStr">
        <is>
          <t>待定</t>
        </is>
      </c>
      <c r="D31" t="inlineStr">
        <is>
          <t>4V3系电磨</t>
        </is>
      </c>
      <c r="E31">
        <v>75</v>
      </c>
      <c r="F31">
        <v>21.6</v>
      </c>
      <c r="G31">
        <v>4.5</v>
      </c>
      <c r="H31">
        <v>4.5</v>
      </c>
      <c r="I31">
        <v>0.55</v>
      </c>
      <c r="J31">
        <v>24</v>
      </c>
      <c r="K31">
        <v>45.5</v>
      </c>
      <c r="L31">
        <v>35</v>
      </c>
      <c r="M31">
        <v>29</v>
      </c>
      <c r="N31">
        <v>14</v>
      </c>
      <c r="O31" t="inlineStr">
        <is>
          <t>7.7</t>
        </is>
      </c>
      <c r="P31" t="inlineStr">
        <is>
          <t>0.046</t>
        </is>
      </c>
      <c r="Q31" t="inlineStr">
        <is>
          <t>0.038</t>
        </is>
      </c>
      <c r="R31">
        <v>1000</v>
      </c>
      <c r="S31" t="inlineStr">
        <is>
          <t>15.7</t>
        </is>
      </c>
      <c r="T31" t="inlineStr">
        <is>
          <t>8.17</t>
        </is>
      </c>
      <c r="U31" t="inlineStr">
        <is>
          <t>3.50</t>
        </is>
      </c>
      <c r="V31" t="inlineStr">
        <is>
          <t>2.33</t>
        </is>
      </c>
      <c r="W31" t="inlineStr">
        <is>
          <t>5.8</t>
        </is>
      </c>
      <c r="X31">
        <v>8451400000</v>
      </c>
      <c r="Y31" t="inlineStr">
        <is>
          <t>布艺清洗机</t>
        </is>
      </c>
    </row>
    <row r="32" ht="25.5" customHeight="1">
      <c r="A32" t="inlineStr">
        <is>
          <t>R0014EU</t>
        </is>
      </c>
      <c r="B32" t="inlineStr">
        <is>
          <t>3月</t>
        </is>
      </c>
      <c r="C32" t="inlineStr">
        <is>
          <t>待定</t>
        </is>
      </c>
      <c r="D32" t="inlineStr">
        <is>
          <t>清洁刷</t>
        </is>
      </c>
      <c r="E32">
        <v>75</v>
      </c>
      <c r="F32">
        <v>21.6</v>
      </c>
      <c r="G32">
        <v>4.5</v>
      </c>
      <c r="H32">
        <v>4.5</v>
      </c>
      <c r="I32">
        <v>0.55</v>
      </c>
      <c r="J32">
        <v>24</v>
      </c>
      <c r="K32">
        <v>45.5</v>
      </c>
      <c r="L32">
        <v>35</v>
      </c>
      <c r="M32">
        <v>29</v>
      </c>
      <c r="N32">
        <v>14</v>
      </c>
      <c r="O32" t="inlineStr">
        <is>
          <t>7.7</t>
        </is>
      </c>
      <c r="P32" t="inlineStr">
        <is>
          <t>0.046</t>
        </is>
      </c>
      <c r="Q32" t="inlineStr">
        <is>
          <t>0.038</t>
        </is>
      </c>
      <c r="R32">
        <v>1000</v>
      </c>
      <c r="S32" t="inlineStr">
        <is>
          <t>15.7</t>
        </is>
      </c>
      <c r="T32" t="inlineStr">
        <is>
          <t>8.17</t>
        </is>
      </c>
      <c r="U32" t="inlineStr">
        <is>
          <t>3.50</t>
        </is>
      </c>
      <c r="V32" t="inlineStr">
        <is>
          <t>2.33</t>
        </is>
      </c>
      <c r="W32" t="inlineStr">
        <is>
          <t>5.8</t>
        </is>
      </c>
      <c r="X32">
        <v>8451400000</v>
      </c>
      <c r="Y32" t="inlineStr">
        <is>
          <t>布艺清洗机</t>
        </is>
      </c>
    </row>
    <row r="33" ht="25.5" customHeight="1">
      <c r="A33" t="inlineStr">
        <is>
          <t>R0015EU</t>
        </is>
      </c>
      <c r="B33" t="inlineStr">
        <is>
          <t>5月</t>
        </is>
      </c>
      <c r="C33" t="inlineStr">
        <is>
          <t>待定</t>
        </is>
      </c>
      <c r="D33" t="inlineStr">
        <is>
          <t>空净-KJ330</t>
        </is>
      </c>
      <c r="E33">
        <v>270</v>
      </c>
      <c r="F33">
        <v>43.5</v>
      </c>
      <c r="G33">
        <v>32.3</v>
      </c>
      <c r="H33">
        <v>19</v>
      </c>
      <c r="I33">
        <v>3.05</v>
      </c>
      <c r="J33">
        <v>1</v>
      </c>
      <c r="K33">
        <v>43.5</v>
      </c>
      <c r="L33">
        <v>32.5</v>
      </c>
      <c r="M33">
        <v>19</v>
      </c>
      <c r="N33">
        <v>3.05</v>
      </c>
      <c r="O33" t="inlineStr">
        <is>
          <t>4.5</t>
        </is>
      </c>
      <c r="P33" t="inlineStr">
        <is>
          <t>0.027</t>
        </is>
      </c>
      <c r="Q33" t="inlineStr">
        <is>
          <t>0.008</t>
        </is>
      </c>
      <c r="R33">
        <v>1000</v>
      </c>
      <c r="S33" t="inlineStr">
        <is>
          <t>219.4</t>
        </is>
      </c>
      <c r="T33" t="inlineStr">
        <is>
          <t>62.68</t>
        </is>
      </c>
      <c r="U33" t="inlineStr">
        <is>
          <t>26.86</t>
        </is>
      </c>
      <c r="V33" t="inlineStr">
        <is>
          <t>17.91</t>
        </is>
      </c>
      <c r="W33" t="inlineStr">
        <is>
          <t>44.8</t>
        </is>
      </c>
      <c r="X33">
        <v>8451400000</v>
      </c>
      <c r="Y33" t="inlineStr">
        <is>
          <t>布艺清洗机</t>
        </is>
      </c>
    </row>
    <row r="34" ht="25.5" customHeight="1">
      <c r="A34" t="inlineStr">
        <is>
          <t>R0015EU</t>
        </is>
      </c>
      <c r="B34" t="inlineStr">
        <is>
          <t>5月</t>
        </is>
      </c>
      <c r="C34" t="inlineStr">
        <is>
          <t>待定</t>
        </is>
      </c>
      <c r="D34" t="inlineStr">
        <is>
          <t>83-in-1手动</t>
        </is>
      </c>
      <c r="E34">
        <v>75.71</v>
      </c>
      <c r="F34">
        <v>19</v>
      </c>
      <c r="G34">
        <v>9</v>
      </c>
      <c r="H34">
        <v>6.5</v>
      </c>
      <c r="I34">
        <v>0.8</v>
      </c>
      <c r="J34">
        <v>24</v>
      </c>
      <c r="K34">
        <v>43</v>
      </c>
      <c r="L34">
        <v>33</v>
      </c>
      <c r="M34">
        <v>28</v>
      </c>
      <c r="N34">
        <v>20</v>
      </c>
      <c r="O34" t="inlineStr">
        <is>
          <t>6.6</t>
        </is>
      </c>
      <c r="P34" t="inlineStr">
        <is>
          <t>0.040</t>
        </is>
      </c>
      <c r="Q34" t="inlineStr">
        <is>
          <t>0.055</t>
        </is>
      </c>
      <c r="R34">
        <v>1000</v>
      </c>
      <c r="S34" t="inlineStr">
        <is>
          <t>13.5</t>
        </is>
      </c>
      <c r="T34" t="inlineStr">
        <is>
          <t>11.67</t>
        </is>
      </c>
      <c r="U34" t="inlineStr">
        <is>
          <t>5.00</t>
        </is>
      </c>
      <c r="V34" t="inlineStr">
        <is>
          <t>3.33</t>
        </is>
      </c>
      <c r="W34" t="inlineStr">
        <is>
          <t>8.3</t>
        </is>
      </c>
      <c r="X34">
        <v>8451400000</v>
      </c>
      <c r="Y34" t="inlineStr">
        <is>
          <t>布艺清洗机</t>
        </is>
      </c>
    </row>
    <row r="35" ht="25.5" customHeight="1">
      <c r="A35" t="inlineStr">
        <is>
          <t>R0015EU</t>
        </is>
      </c>
      <c r="B35" t="inlineStr">
        <is>
          <t>5月</t>
        </is>
      </c>
      <c r="C35" t="inlineStr">
        <is>
          <t>待定</t>
        </is>
      </c>
      <c r="D35" t="inlineStr">
        <is>
          <t>83-in-1电动</t>
        </is>
      </c>
      <c r="E35">
        <v>146.9</v>
      </c>
      <c r="F35">
        <v>19</v>
      </c>
      <c r="G35">
        <v>9</v>
      </c>
      <c r="H35">
        <v>6.5</v>
      </c>
      <c r="I35">
        <v>0.8</v>
      </c>
      <c r="J35">
        <v>24</v>
      </c>
      <c r="K35">
        <v>43</v>
      </c>
      <c r="L35">
        <v>33</v>
      </c>
      <c r="M35">
        <v>28</v>
      </c>
      <c r="N35">
        <v>20</v>
      </c>
      <c r="O35" t="inlineStr">
        <is>
          <t>6.6</t>
        </is>
      </c>
      <c r="P35" t="inlineStr">
        <is>
          <t>0.040</t>
        </is>
      </c>
      <c r="Q35" t="inlineStr">
        <is>
          <t>0.055</t>
        </is>
      </c>
      <c r="R35">
        <v>1000</v>
      </c>
      <c r="S35" t="inlineStr">
        <is>
          <t>13.5</t>
        </is>
      </c>
      <c r="T35" t="inlineStr">
        <is>
          <t>11.67</t>
        </is>
      </c>
      <c r="U35" t="inlineStr">
        <is>
          <t>5.00</t>
        </is>
      </c>
      <c r="V35" t="inlineStr">
        <is>
          <t>3.33</t>
        </is>
      </c>
      <c r="W35" t="inlineStr">
        <is>
          <t>8.3</t>
        </is>
      </c>
      <c r="X35">
        <v>8451400000</v>
      </c>
      <c r="Y35" t="inlineStr">
        <is>
          <t>布艺清洗机</t>
        </is>
      </c>
    </row>
    <row r="36" ht="25.5" customHeight="1">
      <c r="A36" t="inlineStr">
        <is>
          <t>R0015EU</t>
        </is>
      </c>
      <c r="B36" t="inlineStr">
        <is>
          <t>5月</t>
        </is>
      </c>
      <c r="C36" t="inlineStr">
        <is>
          <t>待定</t>
        </is>
      </c>
      <c r="D36" t="inlineStr">
        <is>
          <t>36-in-1螺丝批</t>
        </is>
      </c>
      <c r="E36">
        <v>108</v>
      </c>
      <c r="F36">
        <v>18</v>
      </c>
      <c r="G36">
        <v>17</v>
      </c>
      <c r="H36">
        <v>7</v>
      </c>
      <c r="I36">
        <v>0.8</v>
      </c>
      <c r="J36">
        <v>20</v>
      </c>
      <c r="K36">
        <v>38</v>
      </c>
      <c r="L36">
        <v>35</v>
      </c>
      <c r="M36">
        <v>35</v>
      </c>
      <c r="N36">
        <v>16.5</v>
      </c>
      <c r="O36" t="inlineStr">
        <is>
          <t>7.8</t>
        </is>
      </c>
      <c r="P36" t="inlineStr">
        <is>
          <t>0.047</t>
        </is>
      </c>
      <c r="Q36" t="inlineStr">
        <is>
          <t>0.045</t>
        </is>
      </c>
      <c r="R36">
        <v>1000</v>
      </c>
      <c r="S36" t="inlineStr">
        <is>
          <t>19.0</t>
        </is>
      </c>
      <c r="T36" t="inlineStr">
        <is>
          <t>11.55</t>
        </is>
      </c>
      <c r="U36" t="inlineStr">
        <is>
          <t>4.95</t>
        </is>
      </c>
      <c r="V36" t="inlineStr">
        <is>
          <t>3.30</t>
        </is>
      </c>
      <c r="W36" t="inlineStr">
        <is>
          <t>8.2</t>
        </is>
      </c>
      <c r="X36">
        <v>8451400000</v>
      </c>
      <c r="Y36" t="inlineStr">
        <is>
          <t>布艺清洗机</t>
        </is>
      </c>
    </row>
    <row r="37" ht="25.5" customHeight="1">
      <c r="A37" t="inlineStr">
        <is>
          <t>R0015EU</t>
        </is>
      </c>
      <c r="B37" t="inlineStr">
        <is>
          <t>5月</t>
        </is>
      </c>
      <c r="C37" t="inlineStr">
        <is>
          <t>待定</t>
        </is>
      </c>
      <c r="D37" t="inlineStr">
        <is>
          <t>暴力风扇</t>
        </is>
      </c>
      <c r="E37">
        <v>61.6</v>
      </c>
      <c r="F37">
        <v>18</v>
      </c>
      <c r="G37">
        <v>13</v>
      </c>
      <c r="H37">
        <v>5</v>
      </c>
      <c r="I37">
        <v>0.35</v>
      </c>
      <c r="J37">
        <v>24</v>
      </c>
      <c r="K37">
        <v>40</v>
      </c>
      <c r="L37">
        <v>38</v>
      </c>
      <c r="M37">
        <v>20</v>
      </c>
      <c r="N37">
        <v>8.5</v>
      </c>
      <c r="O37" t="inlineStr">
        <is>
          <t>5.1</t>
        </is>
      </c>
      <c r="P37" t="inlineStr">
        <is>
          <t>0.030</t>
        </is>
      </c>
      <c r="Q37" t="inlineStr">
        <is>
          <t>0.023</t>
        </is>
      </c>
      <c r="R37">
        <v>1000</v>
      </c>
      <c r="S37" t="inlineStr">
        <is>
          <t>10.3</t>
        </is>
      </c>
      <c r="T37" t="inlineStr">
        <is>
          <t>4.96</t>
        </is>
      </c>
      <c r="U37" t="inlineStr">
        <is>
          <t>2.12</t>
        </is>
      </c>
      <c r="V37" t="inlineStr">
        <is>
          <t>1.42</t>
        </is>
      </c>
      <c r="W37" t="inlineStr">
        <is>
          <t>3.5</t>
        </is>
      </c>
      <c r="X37">
        <v>8451400000</v>
      </c>
      <c r="Y37" t="inlineStr">
        <is>
          <t>布艺清洗机</t>
        </is>
      </c>
    </row>
    <row r="38" ht="25.5" customHeight="1">
      <c r="A38" t="inlineStr">
        <is>
          <t>R0015EU</t>
        </is>
      </c>
      <c r="B38" t="inlineStr">
        <is>
          <t>5月</t>
        </is>
      </c>
      <c r="C38" t="inlineStr">
        <is>
          <t>待定</t>
        </is>
      </c>
      <c r="D38" t="inlineStr">
        <is>
          <t>空净-KJ330</t>
        </is>
      </c>
      <c r="E38">
        <v>270</v>
      </c>
      <c r="F38">
        <v>43.5</v>
      </c>
      <c r="G38">
        <v>32.3</v>
      </c>
      <c r="H38">
        <v>19</v>
      </c>
      <c r="I38">
        <v>3.05</v>
      </c>
      <c r="J38">
        <v>1</v>
      </c>
      <c r="K38">
        <v>43.5</v>
      </c>
      <c r="L38">
        <v>32.5</v>
      </c>
      <c r="M38">
        <v>19</v>
      </c>
      <c r="N38">
        <v>3.05</v>
      </c>
      <c r="O38" t="inlineStr">
        <is>
          <t>4.5</t>
        </is>
      </c>
      <c r="P38" t="inlineStr">
        <is>
          <t>0.027</t>
        </is>
      </c>
      <c r="Q38" t="inlineStr">
        <is>
          <t>0.008</t>
        </is>
      </c>
      <c r="R38">
        <v>1000</v>
      </c>
      <c r="S38" t="inlineStr">
        <is>
          <t>219.4</t>
        </is>
      </c>
      <c r="T38" t="inlineStr">
        <is>
          <t>62.68</t>
        </is>
      </c>
      <c r="U38" t="inlineStr">
        <is>
          <t>26.86</t>
        </is>
      </c>
      <c r="V38" t="inlineStr">
        <is>
          <t>17.91</t>
        </is>
      </c>
      <c r="W38" t="inlineStr">
        <is>
          <t>44.8</t>
        </is>
      </c>
      <c r="X38">
        <v>8451400000</v>
      </c>
      <c r="Y38" t="inlineStr">
        <is>
          <t>布艺清洗机</t>
        </is>
      </c>
    </row>
    <row r="39" ht="25.5" customHeight="1">
      <c r="A39" t="inlineStr">
        <is>
          <t>R0015EU</t>
        </is>
      </c>
      <c r="B39" t="inlineStr">
        <is>
          <t>5月</t>
        </is>
      </c>
      <c r="C39" t="inlineStr">
        <is>
          <t>待定</t>
        </is>
      </c>
      <c r="D39" t="inlineStr">
        <is>
          <t>空净-KJ330</t>
        </is>
      </c>
      <c r="E39">
        <v>270</v>
      </c>
      <c r="F39">
        <v>43.5</v>
      </c>
      <c r="G39">
        <v>32.3</v>
      </c>
      <c r="H39">
        <v>19</v>
      </c>
      <c r="I39">
        <v>3.05</v>
      </c>
      <c r="J39">
        <v>1</v>
      </c>
      <c r="K39">
        <v>43.5</v>
      </c>
      <c r="L39">
        <v>32.5</v>
      </c>
      <c r="M39">
        <v>19</v>
      </c>
      <c r="N39">
        <v>3.05</v>
      </c>
      <c r="O39" t="inlineStr">
        <is>
          <t>4.5</t>
        </is>
      </c>
      <c r="P39" t="inlineStr">
        <is>
          <t>0.027</t>
        </is>
      </c>
      <c r="Q39" t="inlineStr">
        <is>
          <t>0.008</t>
        </is>
      </c>
      <c r="R39">
        <v>1000</v>
      </c>
      <c r="S39" t="inlineStr">
        <is>
          <t>219.4</t>
        </is>
      </c>
      <c r="T39" t="inlineStr">
        <is>
          <t>62.68</t>
        </is>
      </c>
      <c r="U39" t="inlineStr">
        <is>
          <t>26.86</t>
        </is>
      </c>
      <c r="V39" t="inlineStr">
        <is>
          <t>17.91</t>
        </is>
      </c>
      <c r="W39" t="inlineStr">
        <is>
          <t>44.8</t>
        </is>
      </c>
      <c r="X39">
        <v>8451400000</v>
      </c>
      <c r="Y39" t="inlineStr">
        <is>
          <t>布艺清洗机</t>
        </is>
      </c>
    </row>
    <row r="40" ht="25.5" customHeight="1">
      <c r="A40" t="inlineStr">
        <is>
          <t>R0015EU</t>
        </is>
      </c>
      <c r="B40" t="inlineStr">
        <is>
          <t>5月</t>
        </is>
      </c>
      <c r="C40" t="inlineStr">
        <is>
          <t>待定</t>
        </is>
      </c>
      <c r="D40" t="inlineStr">
        <is>
          <t>空净-KJ330</t>
        </is>
      </c>
      <c r="E40">
        <v>270</v>
      </c>
      <c r="F40">
        <v>43.5</v>
      </c>
      <c r="G40">
        <v>32.3</v>
      </c>
      <c r="H40">
        <v>19</v>
      </c>
      <c r="I40">
        <v>3.05</v>
      </c>
      <c r="J40">
        <v>1</v>
      </c>
      <c r="K40">
        <v>43.5</v>
      </c>
      <c r="L40">
        <v>32.5</v>
      </c>
      <c r="M40">
        <v>19</v>
      </c>
      <c r="N40">
        <v>3.05</v>
      </c>
      <c r="O40" t="inlineStr">
        <is>
          <t>4.5</t>
        </is>
      </c>
      <c r="P40" t="inlineStr">
        <is>
          <t>0.027</t>
        </is>
      </c>
      <c r="Q40" t="inlineStr">
        <is>
          <t>0.008</t>
        </is>
      </c>
      <c r="R40">
        <v>1000</v>
      </c>
      <c r="S40" t="inlineStr">
        <is>
          <t>219.4</t>
        </is>
      </c>
      <c r="T40" t="inlineStr">
        <is>
          <t>62.68</t>
        </is>
      </c>
      <c r="U40" t="inlineStr">
        <is>
          <t>26.86</t>
        </is>
      </c>
      <c r="V40" t="inlineStr">
        <is>
          <t>17.91</t>
        </is>
      </c>
      <c r="W40" t="inlineStr">
        <is>
          <t>44.8</t>
        </is>
      </c>
      <c r="X40">
        <v>8451400000</v>
      </c>
      <c r="Y40" t="inlineStr">
        <is>
          <t>布艺清洗机</t>
        </is>
      </c>
    </row>
    <row r="41" ht="25.5" customHeight="1">
      <c r="A41" t="inlineStr">
        <is>
          <t>R0015EU</t>
        </is>
      </c>
      <c r="B41" t="inlineStr">
        <is>
          <t>5月</t>
        </is>
      </c>
      <c r="C41" t="inlineStr">
        <is>
          <t>待定</t>
        </is>
      </c>
      <c r="D41" t="inlineStr">
        <is>
          <t>蒸汽熨斗</t>
        </is>
      </c>
      <c r="E41">
        <v>80</v>
      </c>
      <c r="F41">
        <v>30</v>
      </c>
      <c r="G41">
        <v>17.5</v>
      </c>
      <c r="H41">
        <v>12.5</v>
      </c>
      <c r="I41">
        <v>1.2</v>
      </c>
      <c r="J41">
        <v>1</v>
      </c>
      <c r="K41">
        <v>30</v>
      </c>
      <c r="L41">
        <v>17.5</v>
      </c>
      <c r="M41">
        <v>12.5</v>
      </c>
      <c r="N41">
        <v>1.2</v>
      </c>
      <c r="O41" t="inlineStr">
        <is>
          <t>1.1</t>
        </is>
      </c>
      <c r="P41" t="inlineStr">
        <is>
          <t>0.007</t>
        </is>
      </c>
      <c r="Q41" t="inlineStr">
        <is>
          <t>0.003</t>
        </is>
      </c>
      <c r="R41">
        <v>1000</v>
      </c>
      <c r="S41" t="inlineStr">
        <is>
          <t>53.6</t>
        </is>
      </c>
      <c r="T41" t="inlineStr">
        <is>
          <t>16.80</t>
        </is>
      </c>
      <c r="U41" t="inlineStr">
        <is>
          <t>7.20</t>
        </is>
      </c>
      <c r="V41" t="inlineStr">
        <is>
          <t>4.80</t>
        </is>
      </c>
      <c r="W41" t="inlineStr">
        <is>
          <t>12.0</t>
        </is>
      </c>
      <c r="X41">
        <v>8451400000</v>
      </c>
      <c r="Y41" t="inlineStr">
        <is>
          <t>布艺清洗机</t>
        </is>
      </c>
    </row>
    <row r="42" ht="25.5" customHeight="1">
      <c r="A42" t="inlineStr">
        <is>
          <t>R0015EU</t>
        </is>
      </c>
      <c r="B42" t="inlineStr">
        <is>
          <t>5月</t>
        </is>
      </c>
      <c r="C42" t="inlineStr">
        <is>
          <t>待定</t>
        </is>
      </c>
      <c r="D42" t="inlineStr">
        <is>
          <t>蒸汽熨斗</t>
        </is>
      </c>
      <c r="E42">
        <v>80</v>
      </c>
      <c r="F42">
        <v>30</v>
      </c>
      <c r="G42">
        <v>17.5</v>
      </c>
      <c r="H42">
        <v>12.5</v>
      </c>
      <c r="I42">
        <v>1.2</v>
      </c>
      <c r="J42">
        <v>1</v>
      </c>
      <c r="K42">
        <v>30</v>
      </c>
      <c r="L42">
        <v>17.5</v>
      </c>
      <c r="M42">
        <v>12.5</v>
      </c>
      <c r="N42">
        <v>1.2</v>
      </c>
      <c r="O42" t="inlineStr">
        <is>
          <t>1.1</t>
        </is>
      </c>
      <c r="P42" t="inlineStr">
        <is>
          <t>0.007</t>
        </is>
      </c>
      <c r="Q42" t="inlineStr">
        <is>
          <t>0.003</t>
        </is>
      </c>
      <c r="R42">
        <v>1000</v>
      </c>
      <c r="S42" t="inlineStr">
        <is>
          <t>53.6</t>
        </is>
      </c>
      <c r="T42" t="inlineStr">
        <is>
          <t>16.80</t>
        </is>
      </c>
      <c r="U42" t="inlineStr">
        <is>
          <t>7.20</t>
        </is>
      </c>
      <c r="V42" t="inlineStr">
        <is>
          <t>4.80</t>
        </is>
      </c>
      <c r="W42" t="inlineStr">
        <is>
          <t>12.0</t>
        </is>
      </c>
      <c r="X42">
        <v>8451400000</v>
      </c>
      <c r="Y42" t="inlineStr">
        <is>
          <t>布艺清洗机</t>
        </is>
      </c>
    </row>
    <row r="43" ht="25.5" customHeight="1">
      <c r="A43" t="inlineStr">
        <is>
          <t>R0015EU</t>
        </is>
      </c>
      <c r="B43" t="inlineStr">
        <is>
          <t>5月</t>
        </is>
      </c>
      <c r="C43" t="inlineStr">
        <is>
          <t>待定</t>
        </is>
      </c>
      <c r="D43" t="inlineStr">
        <is>
          <t>蒸汽熨斗</t>
        </is>
      </c>
      <c r="E43">
        <v>80</v>
      </c>
      <c r="F43">
        <v>30</v>
      </c>
      <c r="G43">
        <v>17.5</v>
      </c>
      <c r="H43">
        <v>12.5</v>
      </c>
      <c r="I43">
        <v>1.2</v>
      </c>
      <c r="J43">
        <v>1</v>
      </c>
      <c r="K43">
        <v>30</v>
      </c>
      <c r="L43">
        <v>17.5</v>
      </c>
      <c r="M43">
        <v>12.5</v>
      </c>
      <c r="N43">
        <v>1.2</v>
      </c>
      <c r="O43" t="inlineStr">
        <is>
          <t>1.1</t>
        </is>
      </c>
      <c r="P43" t="inlineStr">
        <is>
          <t>0.007</t>
        </is>
      </c>
      <c r="Q43" t="inlineStr">
        <is>
          <t>0.003</t>
        </is>
      </c>
      <c r="R43">
        <v>1000</v>
      </c>
      <c r="S43" t="inlineStr">
        <is>
          <t>53.6</t>
        </is>
      </c>
      <c r="T43" t="inlineStr">
        <is>
          <t>16.80</t>
        </is>
      </c>
      <c r="U43" t="inlineStr">
        <is>
          <t>7.20</t>
        </is>
      </c>
      <c r="V43" t="inlineStr">
        <is>
          <t>4.80</t>
        </is>
      </c>
      <c r="W43" t="inlineStr">
        <is>
          <t>12.0</t>
        </is>
      </c>
      <c r="X43">
        <v>8451400000</v>
      </c>
      <c r="Y43" t="inlineStr">
        <is>
          <t>布艺清洗机</t>
        </is>
      </c>
    </row>
    <row r="44" ht="25.5" customHeight="1">
      <c r="A44" t="inlineStr">
        <is>
          <t>R0015EU</t>
        </is>
      </c>
      <c r="B44" t="inlineStr">
        <is>
          <t>5月</t>
        </is>
      </c>
      <c r="C44" t="inlineStr">
        <is>
          <t>待定</t>
        </is>
      </c>
      <c r="D44" t="inlineStr">
        <is>
          <t>蒸汽熨斗</t>
        </is>
      </c>
      <c r="E44">
        <v>80</v>
      </c>
      <c r="F44">
        <v>30</v>
      </c>
      <c r="G44">
        <v>17.5</v>
      </c>
      <c r="H44">
        <v>12.5</v>
      </c>
      <c r="I44">
        <v>1.2</v>
      </c>
      <c r="J44">
        <v>1</v>
      </c>
      <c r="K44">
        <v>30</v>
      </c>
      <c r="L44">
        <v>17.5</v>
      </c>
      <c r="M44">
        <v>12.5</v>
      </c>
      <c r="N44">
        <v>1.2</v>
      </c>
      <c r="O44" t="inlineStr">
        <is>
          <t>1.1</t>
        </is>
      </c>
      <c r="P44" t="inlineStr">
        <is>
          <t>0.007</t>
        </is>
      </c>
      <c r="Q44" t="inlineStr">
        <is>
          <t>0.003</t>
        </is>
      </c>
      <c r="R44">
        <v>1000</v>
      </c>
      <c r="S44" t="inlineStr">
        <is>
          <t>53.6</t>
        </is>
      </c>
      <c r="T44" t="inlineStr">
        <is>
          <t>16.80</t>
        </is>
      </c>
      <c r="U44" t="inlineStr">
        <is>
          <t>7.20</t>
        </is>
      </c>
      <c r="V44" t="inlineStr">
        <is>
          <t>4.80</t>
        </is>
      </c>
      <c r="W44" t="inlineStr">
        <is>
          <t>12.0</t>
        </is>
      </c>
      <c r="X44">
        <v>8451400000</v>
      </c>
      <c r="Y44" t="inlineStr">
        <is>
          <t>布艺清洗机</t>
        </is>
      </c>
    </row>
  </sheetData>
  <dataValidations count="1">
    <dataValidation allowBlank="false" sqref="Y2:Y43" type="list">
      <formula1>"吸尘器,空气净化器,空气净化器滤芯,布艺清洗机"</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s>
  <sheetData>
    <row r="1" ht="13" customHeight="1">
      <c r="A1" s="1" t="inlineStr">
        <is>
          <t>SKU</t>
        </is>
      </c>
      <c r="B1" s="1" t="inlineStr">
        <is>
          <t>ASIN</t>
        </is>
      </c>
      <c r="C1" s="1" t="inlineStr">
        <is>
          <t>产品名称</t>
        </is>
      </c>
      <c r="D1" s="1" t="inlineStr">
        <is>
          <t>产品分配时间</t>
        </is>
      </c>
      <c r="E1" s="1" t="inlineStr">
        <is>
          <t>产品定位</t>
        </is>
      </c>
      <c r="F1" s="1" t="inlineStr">
        <is>
          <t>品牌</t>
        </is>
      </c>
      <c r="G1" s="1" t="inlineStr">
        <is>
          <t>店铺</t>
        </is>
      </c>
      <c r="H1" s="1" t="inlineStr">
        <is>
          <t>站点</t>
        </is>
      </c>
      <c r="I1" s="1" t="inlineStr">
        <is>
          <t>开发人员</t>
        </is>
      </c>
      <c r="J1" s="1" t="inlineStr">
        <is>
          <t>产品认领人</t>
        </is>
      </c>
      <c r="K1" s="1" t="inlineStr">
        <is>
          <t>部门主管</t>
        </is>
      </c>
      <c r="L1" s="1" t="inlineStr">
        <is>
          <t>环节1：种子链接布局</t>
        </is>
      </c>
      <c r="M1" s="1" t="inlineStr">
        <is>
          <t>竞对信息收集-发货前任务</t>
        </is>
      </c>
      <c r="N1" s="1" t="inlineStr">
        <is>
          <t>多变体和其他站点布局 情况  -发货前任务</t>
        </is>
      </c>
      <c r="O1" s="1" t="inlineStr">
        <is>
          <t>建立关键词库- 上架前任务</t>
        </is>
      </c>
      <c r="P1" s="1" t="inlineStr">
        <is>
          <t>环节1：布局关键词收录布局 埋词技巧-上架前任务</t>
        </is>
      </c>
      <c r="Q1" s="1" t="inlineStr">
        <is>
          <t>项目跟进表  完成情况  -发货前任务</t>
        </is>
      </c>
      <c r="R1" s="1" t="inlineStr">
        <is>
          <t>市场调研</t>
        </is>
      </c>
      <c r="S1" s="1" t="inlineStr">
        <is>
          <t>新品推广计划，广告</t>
        </is>
      </c>
      <c r="T1" s="1" t="inlineStr">
        <is>
          <t>透明计划 布局情况  -发货前任务</t>
        </is>
      </c>
      <c r="U1" s="1" t="inlineStr">
        <is>
          <t>盈利模型分析</t>
        </is>
      </c>
      <c r="V1" s="1" t="inlineStr">
        <is>
          <t>欧洲除螨仪  VC 选品利润测算表_EU V1.0欧洲五国</t>
        </is>
      </c>
      <c r="W1" s="1" t="inlineStr">
        <is>
          <t>备货规划  -发货前任务</t>
        </is>
      </c>
      <c r="X1" s="1" t="inlineStr">
        <is>
          <t>ASIN 中文</t>
        </is>
      </c>
      <c r="Y1" s="1" t="inlineStr">
        <is>
          <t># 出货数量</t>
        </is>
      </c>
      <c r="Z1" s="1" t="inlineStr">
        <is>
          <t>#具体出货时间</t>
        </is>
      </c>
      <c r="AA1" s="1" t="inlineStr">
        <is>
          <t>预计到货时间(FBA)</t>
        </is>
      </c>
      <c r="AB1" s="1" t="inlineStr">
        <is>
          <t>开售时间 手动填写</t>
        </is>
      </c>
      <c r="AC1" s="1" t="inlineStr">
        <is>
          <t>环节1：开发包材需求表-发货前任务</t>
        </is>
      </c>
      <c r="AD1" s="1" t="inlineStr">
        <is>
          <t>开发提交包材需求的具体时间</t>
        </is>
      </c>
      <c r="AE1" s="1" t="inlineStr">
        <is>
          <t>环节2：布局直评-发货后</t>
        </is>
      </c>
      <c r="AF1" s="1" t="inlineStr">
        <is>
          <t>环节2：运营产品图片需求表--发货后</t>
        </is>
      </c>
      <c r="AG1" s="1" t="inlineStr">
        <is>
          <t>运营提交产品图片需求时间</t>
        </is>
      </c>
      <c r="AH1" s="1" t="inlineStr">
        <is>
          <t>运营提交产品视频需求时间</t>
        </is>
      </c>
      <c r="AI1" s="1" t="inlineStr">
        <is>
          <t>Review</t>
        </is>
      </c>
      <c r="AJ1" s="1" t="inlineStr">
        <is>
          <t>运营提交产品测评需求时间</t>
        </is>
      </c>
      <c r="AK1" s="1" t="inlineStr">
        <is>
          <t>客服部完成测评时间</t>
        </is>
      </c>
      <c r="AL1" s="1" t="inlineStr">
        <is>
          <t>Q&amp;A</t>
        </is>
      </c>
      <c r="AM1" s="1" t="inlineStr">
        <is>
          <t>运营提交产品问答需求时间</t>
        </is>
      </c>
      <c r="AN1" s="1" t="inlineStr">
        <is>
          <t>客服部完成问答时间</t>
        </is>
      </c>
      <c r="AO1" s="1" t="inlineStr">
        <is>
          <t>主图视频</t>
        </is>
      </c>
      <c r="AP1" s="1" t="inlineStr">
        <is>
          <t>运营提交产品视频需求时间（1）</t>
        </is>
      </c>
      <c r="AQ1" s="1" t="inlineStr">
        <is>
          <t>设计部完成视频时间</t>
        </is>
      </c>
      <c r="AR1" s="1" t="inlineStr">
        <is>
          <t>Related Videos</t>
        </is>
      </c>
      <c r="AS1" s="1" t="inlineStr">
        <is>
          <t>运营提交产品相关视频需求时间</t>
        </is>
      </c>
      <c r="AT1" s="1" t="inlineStr">
        <is>
          <t>推广部完成视频时间</t>
        </is>
      </c>
      <c r="AU1" s="1" t="inlineStr">
        <is>
          <t>环节2：开发产品图片需求表--发货后</t>
        </is>
      </c>
      <c r="AV1" s="1" t="inlineStr">
        <is>
          <t>开发提交产品设计需求时间</t>
        </is>
      </c>
      <c r="AW1" s="1" t="inlineStr">
        <is>
          <t>产品图片完结时间</t>
        </is>
      </c>
      <c r="AX1" s="1" t="inlineStr">
        <is>
          <t>环节2：检查图片详情属性-关键词打标</t>
        </is>
      </c>
      <c r="AY1" s="1" t="inlineStr">
        <is>
          <t>环节2：运营提供自拍视频需求表-上架前任务</t>
        </is>
      </c>
      <c r="AZ1" s="1" t="inlineStr">
        <is>
          <t>运营提供自拍视频需求表时间</t>
        </is>
      </c>
      <c r="BA1" s="1" t="inlineStr">
        <is>
          <t>环节2：网红视频-上架前任务</t>
        </is>
      </c>
      <c r="BB1" s="1" t="inlineStr">
        <is>
          <t>视频完结时间 -上架前任务</t>
        </is>
      </c>
      <c r="BC1" s="1" t="inlineStr">
        <is>
          <t>品牌故事 -上架前任务</t>
        </is>
      </c>
      <c r="BD1" s="1" t="inlineStr">
        <is>
          <t>品牌旗舰店装修 -上架前任务</t>
        </is>
      </c>
      <c r="BE1" s="1" t="inlineStr">
        <is>
          <t>环节2：上架前任务完结时间</t>
        </is>
      </c>
      <c r="BF1" s="1" t="inlineStr">
        <is>
          <t>环节3：QA-上架后任务</t>
        </is>
      </c>
      <c r="BG1" s="1" t="inlineStr">
        <is>
          <t>检查asin收录，节点，类目，  -上架前任务</t>
        </is>
      </c>
      <c r="BH1" s="1" t="inlineStr">
        <is>
          <t>检查产品属性填写完成度</t>
        </is>
      </c>
      <c r="BI1" s="1" t="inlineStr">
        <is>
          <t>环节3：产品关联-上架后任务</t>
        </is>
      </c>
      <c r="BJ1" s="1" t="inlineStr">
        <is>
          <t>环节3：划线价-激活listing</t>
        </is>
      </c>
      <c r="BK1" s="1" t="inlineStr">
        <is>
          <t>环节3：划线价完结时间</t>
        </is>
      </c>
      <c r="BL1" s="1" t="inlineStr">
        <is>
          <t>环节3：listing审核时间</t>
        </is>
      </c>
      <c r="BM1" s="1" t="inlineStr">
        <is>
          <t>环节3：该listing完成度 %</t>
        </is>
      </c>
      <c r="BN1" s="1" t="inlineStr">
        <is>
          <t>环节3：关键词上首页-推广前期准备</t>
        </is>
      </c>
      <c r="BO1" s="1" t="inlineStr">
        <is>
          <t>环节3：站外辅助--推广中的配合</t>
        </is>
      </c>
      <c r="BP1" s="1" t="inlineStr">
        <is>
          <t>关键上首页完结时间</t>
        </is>
      </c>
      <c r="BQ1" s="1" t="inlineStr">
        <is>
          <t>环节3：五星评论布局-推广前期准备</t>
        </is>
      </c>
      <c r="BR1" s="1" t="inlineStr">
        <is>
          <t>五星评论完结时间</t>
        </is>
      </c>
      <c r="BS1" s="1" t="inlineStr">
        <is>
          <t>父记录</t>
        </is>
      </c>
      <c r="BT1" s="1" t="inlineStr">
        <is>
          <t>A：文案(埋词)</t>
        </is>
      </c>
      <c r="BU1" s="1" t="inlineStr">
        <is>
          <t>关键词库搭建</t>
        </is>
      </c>
      <c r="BV1" s="1" t="inlineStr">
        <is>
          <t>完成情况</t>
        </is>
      </c>
      <c r="BW1" s="1" t="inlineStr">
        <is>
          <t>项目跟进表</t>
        </is>
      </c>
      <c r="BX1" s="1" t="inlineStr">
        <is>
          <t>备选</t>
        </is>
      </c>
      <c r="BY1" s="1" t="inlineStr">
        <is>
          <t>参考资料</t>
        </is>
      </c>
    </row>
    <row r="2" ht="25.5" customHeight="1">
      <c r="A2" t="inlineStr">
        <is>
          <t>Z0001EU</t>
        </is>
      </c>
      <c r="B2"/>
      <c r="C2" t="inlineStr">
        <is>
          <t>SC电动牙刷黑色 德国站</t>
        </is>
      </c>
      <c r="D2" s="2">
        <v>45734</v>
      </c>
      <c r="E2" t="inlineStr">
        <is>
          <t>主推款</t>
        </is>
      </c>
      <c r="F2"/>
      <c r="G2"/>
      <c r="H2" t="inlineStr">
        <is>
          <t>DE</t>
        </is>
      </c>
      <c r="I2"/>
      <c r="J2"/>
      <c r="K2" t="inlineStr">
        <is>
          <t>X</t>
        </is>
      </c>
      <c r="L2" t="inlineStr">
        <is>
          <t>NO</t>
        </is>
      </c>
      <c r="M2" t="inlineStr">
        <is>
          <t>-</t>
        </is>
      </c>
      <c r="N2" t="inlineStr">
        <is>
          <t>YES 布局多变体 合并国际评论, VINE</t>
        </is>
      </c>
      <c r="O2" t="inlineStr">
        <is>
          <t>德国 电动牙刷关键词收集数据-德国标题2关键词库搭建</t>
        </is>
      </c>
      <c r="P2" t="inlineStr">
        <is>
          <t>YES</t>
        </is>
      </c>
      <c r="Q2" t="inlineStr">
        <is>
          <t>德国电动牙刷- 项目跟进表-阳亚运-20250325</t>
        </is>
      </c>
      <c r="R2" t="inlineStr">
        <is>
          <t>市调</t>
        </is>
      </c>
      <c r="S2" s="3" t="str">
        <f>=HYPERLINK("https://shimo.im/file/5rk9KXwYjmtmpo3x", "电动牙刷德国ASIN 定投广告")</f>
        <v>电动牙刷德国ASIN 定投广告</v>
      </c>
      <c r="T2" t="inlineStr">
        <is>
          <t>-</t>
        </is>
      </c>
      <c r="U2" s="3"/>
      <c r="V2" s="3" t="str">
        <f>=HYPERLINK("https://shimo.im/sheets/5bqndwNRpvUWYNAy/hctQE", "电动牙刷VC 选品利润测算表_EU V1.0欧洲五国")</f>
        <v>电动牙刷VC 选品利润测算表_EU V1.0欧洲五国</v>
      </c>
      <c r="W2" t="inlineStr">
        <is>
          <t>SC电动牙刷黑色 德国站432空运</t>
        </is>
      </c>
      <c r="X2"/>
      <c r="Y2">
        <v>432</v>
      </c>
      <c r="Z2" s="2">
        <v>45767</v>
      </c>
      <c r="AA2" s="2">
        <v>45777</v>
      </c>
      <c r="AB2" s="2">
        <v>45784</v>
      </c>
      <c r="AC2" t="inlineStr">
        <is>
          <t>X</t>
        </is>
      </c>
      <c r="AD2" t="inlineStr">
        <is>
          <t>X</t>
        </is>
      </c>
      <c r="AE2" t="inlineStr">
        <is>
          <t>X</t>
        </is>
      </c>
      <c r="AF2" t="inlineStr">
        <is>
          <t>X</t>
        </is>
      </c>
      <c r="AG2" s="2">
        <v>45754</v>
      </c>
      <c r="AH2" s="2"/>
      <c r="AI2" t="inlineStr">
        <is>
          <t>1+10+10VP+10VINE</t>
        </is>
      </c>
      <c r="AJ2" s="2">
        <v>45776</v>
      </c>
      <c r="AK2"/>
      <c r="AL2" t="inlineStr">
        <is>
          <t>3组</t>
        </is>
      </c>
      <c r="AM2"/>
      <c r="AN2"/>
      <c r="AO2">
        <v>5</v>
      </c>
      <c r="AP2" s="2">
        <v>45776</v>
      </c>
      <c r="AQ2"/>
      <c r="AR2">
        <v>5</v>
      </c>
      <c r="AS2"/>
      <c r="AT2"/>
      <c r="AU2" t="inlineStr">
        <is>
          <t>X</t>
        </is>
      </c>
      <c r="AV2" t="inlineStr">
        <is>
          <t>X</t>
        </is>
      </c>
      <c r="AW2" t="inlineStr">
        <is>
          <t>2025/04/30</t>
        </is>
      </c>
      <c r="AX2" t="inlineStr">
        <is>
          <t>X</t>
        </is>
      </c>
      <c r="AY2" s="2">
        <v>45748</v>
      </c>
      <c r="AZ2" s="2">
        <v>45765</v>
      </c>
      <c r="BA2" t="inlineStr">
        <is>
          <t>X</t>
        </is>
      </c>
      <c r="BB2" t="inlineStr">
        <is>
          <t>X</t>
        </is>
      </c>
      <c r="BC2" t="inlineStr">
        <is>
          <t>YES</t>
        </is>
      </c>
      <c r="BD2" t="inlineStr">
        <is>
          <t>YES</t>
        </is>
      </c>
      <c r="BE2" t="inlineStr">
        <is>
          <t>X</t>
        </is>
      </c>
      <c r="BF2" t="inlineStr">
        <is>
          <t>X</t>
        </is>
      </c>
      <c r="BG2" t="inlineStr">
        <is>
          <t>X</t>
        </is>
      </c>
      <c r="BH2" t="inlineStr">
        <is>
          <t>YES</t>
        </is>
      </c>
      <c r="BI2" t="inlineStr">
        <is>
          <t>X</t>
        </is>
      </c>
      <c r="BJ2" t="inlineStr">
        <is>
          <t>YES</t>
        </is>
      </c>
      <c r="BK2" t="inlineStr">
        <is>
          <t>X</t>
        </is>
      </c>
      <c r="BL2" t="inlineStr">
        <is>
          <t>X</t>
        </is>
      </c>
      <c r="BM2">
        <v>1</v>
      </c>
      <c r="BN2" t="inlineStr">
        <is>
          <t>YES</t>
        </is>
      </c>
      <c r="BO2" t="inlineStr">
        <is>
          <t>YES</t>
        </is>
      </c>
      <c r="BP2" t="inlineStr">
        <is>
          <t>X</t>
        </is>
      </c>
      <c r="BQ2" t="inlineStr">
        <is>
          <t>X</t>
        </is>
      </c>
      <c r="BR2" t="inlineStr">
        <is>
          <t>X</t>
        </is>
      </c>
      <c r="BS2" t="inlineStr">
        <is>
          <t>X</t>
        </is>
      </c>
      <c r="BT2" t="inlineStr">
        <is>
          <t>X</t>
        </is>
      </c>
      <c xml:space="preserve" r="BU2" s="3" t="str">
        <f>=HYPERLINK("https://sanjdqeje0.feishu.cn/file/YT4Ob07PyogqKgxeXFrclrmZnfc", "3.1关键词库高效搭建策略方法.pdf ")</f>
        <v>3.1关键词库高效搭建策略方法.pdf </v>
      </c>
      <c r="BV2" t="inlineStr">
        <is>
          <t>已完成</t>
        </is>
      </c>
      <c r="BW2" t="inlineStr">
        <is>
          <t>项目跟进表</t>
        </is>
      </c>
      <c r="BX2" s="3" t="str">
        <f>=HYPERLINK("https://sanjdqeje0.feishu.cn/sheets/O2MTszxKDh9uVNtRbLRcD9xBnYb?from=from_copylink", "项目跟进表模板")</f>
        <v>项目跟进表模板</v>
      </c>
      <c r="BY2" s="3" t="str">
        <f>=HYPERLINK("https://shimo.im/docx/5rk9KXGjdKsxEZ3x", "Listing后台全属性填写标准")</f>
        <v>Listing后台全属性填写标准</v>
      </c>
    </row>
    <row r="3" ht="25.5" customHeight="1">
      <c r="A3" t="inlineStr">
        <is>
          <t>Z0001UK</t>
        </is>
      </c>
      <c r="B3"/>
      <c r="C3" t="inlineStr">
        <is>
          <t>SC电动牙刷黑色 英国站</t>
        </is>
      </c>
      <c r="D3" s="2">
        <v>45734</v>
      </c>
      <c r="E3" t="inlineStr">
        <is>
          <t>主推款</t>
        </is>
      </c>
      <c r="F3"/>
      <c r="G3"/>
      <c r="H3" t="inlineStr">
        <is>
          <t>UK</t>
        </is>
      </c>
      <c r="I3"/>
      <c r="J3"/>
      <c r="K3" t="inlineStr">
        <is>
          <t>X</t>
        </is>
      </c>
      <c r="L3" t="inlineStr">
        <is>
          <t>NO</t>
        </is>
      </c>
      <c r="M3" t="inlineStr">
        <is>
          <t>-</t>
        </is>
      </c>
      <c r="N3" t="inlineStr">
        <is>
          <t>YES 布局多变体 合并国际评论, VINE</t>
        </is>
      </c>
      <c r="O3" t="inlineStr">
        <is>
          <t>英国 电动牙刷关键词收集数据-德国标题2关键词库搭建</t>
        </is>
      </c>
      <c r="P3" t="inlineStr">
        <is>
          <t>YES</t>
        </is>
      </c>
      <c r="Q3" t="inlineStr">
        <is>
          <t>英国电动牙刷- 项目跟进表-阳亚运-20250325</t>
        </is>
      </c>
      <c r="R3" t="inlineStr">
        <is>
          <t>-</t>
        </is>
      </c>
      <c r="S3" s="3"/>
      <c r="T3" t="inlineStr">
        <is>
          <t>-</t>
        </is>
      </c>
      <c r="U3" s="3"/>
      <c r="V3" s="3" t="str">
        <f>=HYPERLINK("https://shimo.im/sheets/5bqndwNRpvUWYNAy/hctQE", "电动牙刷VC 选品利润测算表_EU V1.0欧洲五国")</f>
        <v>电动牙刷VC 选品利润测算表_EU V1.0欧洲五国</v>
      </c>
      <c r="W3" t="inlineStr">
        <is>
          <t>SC电动牙刷黑色 英国站270空运</t>
        </is>
      </c>
      <c r="X3"/>
      <c r="Y3">
        <v>270</v>
      </c>
      <c r="Z3" s="2">
        <v>45767</v>
      </c>
      <c r="AA3" s="2">
        <v>45777</v>
      </c>
      <c r="AB3" s="2">
        <v>45784</v>
      </c>
      <c r="AC3" t="inlineStr">
        <is>
          <t>X</t>
        </is>
      </c>
      <c r="AD3" t="inlineStr">
        <is>
          <t>X</t>
        </is>
      </c>
      <c r="AE3" t="inlineStr">
        <is>
          <t>X</t>
        </is>
      </c>
      <c r="AF3" t="inlineStr">
        <is>
          <t>X</t>
        </is>
      </c>
      <c r="AG3" s="2">
        <v>45754</v>
      </c>
      <c r="AH3" s="2"/>
      <c r="AI3" t="inlineStr">
        <is>
          <t>1+10+10VP+10VINE</t>
        </is>
      </c>
      <c r="AJ3" s="2">
        <v>45776</v>
      </c>
      <c r="AK3"/>
      <c r="AL3" t="inlineStr">
        <is>
          <t>3组</t>
        </is>
      </c>
      <c r="AM3"/>
      <c r="AN3"/>
      <c r="AO3">
        <v>5</v>
      </c>
      <c r="AP3" s="2">
        <v>45776</v>
      </c>
      <c r="AQ3"/>
      <c r="AR3">
        <v>5</v>
      </c>
      <c r="AS3"/>
      <c r="AT3"/>
      <c r="AU3" t="inlineStr">
        <is>
          <t>X</t>
        </is>
      </c>
      <c r="AV3" t="inlineStr">
        <is>
          <t>X</t>
        </is>
      </c>
      <c r="AW3" t="inlineStr">
        <is>
          <t>2025/04/30</t>
        </is>
      </c>
      <c r="AX3" t="inlineStr">
        <is>
          <t>X</t>
        </is>
      </c>
      <c r="AY3" s="2">
        <v>45748</v>
      </c>
      <c r="AZ3" s="2">
        <v>45765</v>
      </c>
      <c r="BA3" t="inlineStr">
        <is>
          <t>X</t>
        </is>
      </c>
      <c r="BB3" t="inlineStr">
        <is>
          <t>X</t>
        </is>
      </c>
      <c r="BC3" t="inlineStr">
        <is>
          <t>YES</t>
        </is>
      </c>
      <c r="BD3" t="inlineStr">
        <is>
          <t>YES</t>
        </is>
      </c>
      <c r="BE3" t="inlineStr">
        <is>
          <t>X</t>
        </is>
      </c>
      <c r="BF3" t="inlineStr">
        <is>
          <t>X</t>
        </is>
      </c>
      <c r="BG3" t="inlineStr">
        <is>
          <t>X</t>
        </is>
      </c>
      <c r="BH3" t="inlineStr">
        <is>
          <t>YES</t>
        </is>
      </c>
      <c r="BI3" t="inlineStr">
        <is>
          <t>X</t>
        </is>
      </c>
      <c r="BJ3" t="inlineStr">
        <is>
          <t>YES</t>
        </is>
      </c>
      <c r="BK3" t="inlineStr">
        <is>
          <t>X</t>
        </is>
      </c>
      <c r="BL3" t="inlineStr">
        <is>
          <t>X</t>
        </is>
      </c>
      <c r="BM3">
        <v>1</v>
      </c>
      <c r="BN3" t="inlineStr">
        <is>
          <t>YES</t>
        </is>
      </c>
      <c r="BO3" t="inlineStr">
        <is>
          <t>YES</t>
        </is>
      </c>
      <c r="BP3" t="inlineStr">
        <is>
          <t>X</t>
        </is>
      </c>
      <c r="BQ3" t="inlineStr">
        <is>
          <t>X</t>
        </is>
      </c>
      <c r="BR3" t="inlineStr">
        <is>
          <t>X</t>
        </is>
      </c>
      <c r="BS3" t="inlineStr">
        <is>
          <t>X</t>
        </is>
      </c>
      <c r="BT3" t="inlineStr">
        <is>
          <t>X</t>
        </is>
      </c>
      <c xml:space="preserve" r="BU3" s="3" t="str">
        <f>=HYPERLINK("https://sanjdqeje0.feishu.cn/file/YT4Ob07PyogqKgxeXFrclrmZnfc", "3.1关键词库高效搭建策略方法.pdf ")</f>
        <v>3.1关键词库高效搭建策略方法.pdf </v>
      </c>
      <c r="BV3" t="inlineStr">
        <is>
          <t>已完成</t>
        </is>
      </c>
      <c r="BW3" t="inlineStr">
        <is>
          <t>项目跟进表--20241016</t>
        </is>
      </c>
      <c r="BX3" s="3"/>
      <c r="BY3" s="3"/>
    </row>
    <row r="4" ht="25.5" customHeight="1">
      <c r="A4"/>
      <c r="B4"/>
      <c r="C4"/>
      <c r="D4" s="2"/>
      <c r="E4"/>
      <c r="F4"/>
      <c r="G4"/>
      <c r="H4"/>
      <c r="I4"/>
      <c r="J4"/>
      <c r="K4"/>
      <c r="L4"/>
      <c r="M4"/>
      <c r="N4"/>
      <c r="O4"/>
      <c r="P4"/>
      <c r="Q4"/>
      <c r="R4" t="inlineStr">
        <is>
          <t>-</t>
        </is>
      </c>
      <c r="S4" s="3"/>
      <c r="T4"/>
      <c r="U4" s="3"/>
      <c r="V4" s="3" t="str">
        <f>=HYPERLINK("https://shimo.im/sheets/5bqndwNRpvUWYNAy/hctQE", "电动牙刷VC 选品利润测算表_EU V1.0欧洲五国")</f>
        <v>电动牙刷VC 选品利润测算表_EU V1.0欧洲五国</v>
      </c>
      <c r="W4"/>
      <c r="X4"/>
      <c r="Y4"/>
      <c r="Z4" s="2"/>
      <c r="AA4" s="2"/>
      <c r="AB4" s="2"/>
      <c r="AC4"/>
      <c r="AD4"/>
      <c r="AE4"/>
      <c r="AF4"/>
      <c r="AG4" s="2"/>
      <c r="AH4" s="2"/>
      <c r="AI4"/>
      <c r="AJ4" s="2"/>
      <c r="AK4"/>
      <c r="AL4"/>
      <c r="AM4"/>
      <c r="AN4"/>
      <c r="AO4"/>
      <c r="AP4" s="2"/>
      <c r="AQ4"/>
      <c r="AR4"/>
      <c r="AS4"/>
      <c r="AT4"/>
      <c r="AU4"/>
      <c r="AV4"/>
      <c r="AW4"/>
      <c r="AX4"/>
      <c r="AY4" s="2"/>
      <c r="AZ4" s="2"/>
      <c r="BA4"/>
      <c r="BB4"/>
      <c r="BC4"/>
      <c r="BD4"/>
      <c r="BE4"/>
      <c r="BF4"/>
      <c r="BG4"/>
      <c r="BH4"/>
      <c r="BI4"/>
      <c r="BJ4"/>
      <c r="BK4"/>
      <c r="BL4"/>
      <c r="BM4"/>
      <c r="BN4"/>
      <c r="BO4"/>
      <c r="BP4"/>
      <c r="BQ4"/>
      <c r="BR4"/>
      <c r="BS4"/>
      <c r="BT4"/>
      <c r="BU4" s="3"/>
      <c r="BV4"/>
      <c r="BW4"/>
      <c r="BX4" s="3"/>
      <c r="BY4" s="3"/>
    </row>
    <row r="5" ht="25.5" customHeight="1">
      <c r="A5" t="inlineStr">
        <is>
          <t>Z0002EU</t>
        </is>
      </c>
      <c r="B5"/>
      <c r="C5" t="inlineStr">
        <is>
          <t>SC电动牙刷白色 德国站</t>
        </is>
      </c>
      <c r="D5" s="2">
        <v>45734</v>
      </c>
      <c r="E5" t="inlineStr">
        <is>
          <t>主推款</t>
        </is>
      </c>
      <c r="F5"/>
      <c r="G5"/>
      <c r="H5" t="inlineStr">
        <is>
          <t>DE</t>
        </is>
      </c>
      <c r="I5"/>
      <c r="J5"/>
      <c r="K5" t="inlineStr">
        <is>
          <t>X</t>
        </is>
      </c>
      <c r="L5" t="inlineStr">
        <is>
          <t>NO</t>
        </is>
      </c>
      <c r="M5" t="inlineStr">
        <is>
          <t>-</t>
        </is>
      </c>
      <c r="N5" t="inlineStr">
        <is>
          <t>YES 布局多变体 合并国际评论, VINE</t>
        </is>
      </c>
      <c r="O5" t="inlineStr">
        <is>
          <t>德国 电动牙刷关键词收集数据-德国标题2关键词库搭建</t>
        </is>
      </c>
      <c r="P5" t="inlineStr">
        <is>
          <t>YES</t>
        </is>
      </c>
      <c r="Q5" t="inlineStr">
        <is>
          <t>德国电动牙刷- 项目跟进表-阳亚运-20250325</t>
        </is>
      </c>
      <c r="R5" t="inlineStr">
        <is>
          <t>市调</t>
        </is>
      </c>
      <c r="S5" s="3" t="str">
        <f>=HYPERLINK("https://shimo.im/file/5rk9KXwYjmtmpo3x", "电动牙刷德国ASIN 定投广告")</f>
        <v>电动牙刷德国ASIN 定投广告</v>
      </c>
      <c r="T5" t="inlineStr">
        <is>
          <t>-</t>
        </is>
      </c>
      <c r="U5" s="3"/>
      <c r="V5" s="3" t="str">
        <f>=HYPERLINK("https://shimo.im/sheets/5bqndwNRpvUWYNAy/hctQE", "电动牙刷VC 选品利润测算表_EU V1.0欧洲五国")</f>
        <v>电动牙刷VC 选品利润测算表_EU V1.0欧洲五国</v>
      </c>
      <c r="W5" t="inlineStr">
        <is>
          <t>SC电动牙刷白色 德国站432空运</t>
        </is>
      </c>
      <c r="X5"/>
      <c r="Y5">
        <v>432</v>
      </c>
      <c r="Z5" s="2">
        <v>45767</v>
      </c>
      <c r="AA5" s="2">
        <v>45777</v>
      </c>
      <c r="AB5" s="2">
        <v>45784</v>
      </c>
      <c r="AC5" t="inlineStr">
        <is>
          <t>X</t>
        </is>
      </c>
      <c r="AD5" t="inlineStr">
        <is>
          <t>X</t>
        </is>
      </c>
      <c r="AE5" t="inlineStr">
        <is>
          <t>X</t>
        </is>
      </c>
      <c r="AF5" t="inlineStr">
        <is>
          <t>X</t>
        </is>
      </c>
      <c r="AG5" s="2">
        <v>45754</v>
      </c>
      <c r="AH5" s="2"/>
      <c r="AI5" t="inlineStr">
        <is>
          <t>1+10+10VP+10VINE</t>
        </is>
      </c>
      <c r="AJ5" s="2">
        <v>45776</v>
      </c>
      <c r="AK5"/>
      <c r="AL5" t="inlineStr">
        <is>
          <t>3组</t>
        </is>
      </c>
      <c r="AM5"/>
      <c r="AN5"/>
      <c r="AO5">
        <v>5</v>
      </c>
      <c r="AP5" s="2">
        <v>45769</v>
      </c>
      <c r="AQ5"/>
      <c r="AR5">
        <v>5</v>
      </c>
      <c r="AS5"/>
      <c r="AT5"/>
      <c r="AU5" t="inlineStr">
        <is>
          <t>X</t>
        </is>
      </c>
      <c r="AV5" t="inlineStr">
        <is>
          <t>X</t>
        </is>
      </c>
      <c r="AW5" t="inlineStr">
        <is>
          <t>2025/04/30</t>
        </is>
      </c>
      <c r="AX5" t="inlineStr">
        <is>
          <t>X</t>
        </is>
      </c>
      <c r="AY5" s="2">
        <v>45748</v>
      </c>
      <c r="AZ5" s="2">
        <v>45765</v>
      </c>
      <c r="BA5" t="inlineStr">
        <is>
          <t>X</t>
        </is>
      </c>
      <c r="BB5" t="inlineStr">
        <is>
          <t>X</t>
        </is>
      </c>
      <c r="BC5" t="inlineStr">
        <is>
          <t>YES</t>
        </is>
      </c>
      <c r="BD5" t="inlineStr">
        <is>
          <t>YES</t>
        </is>
      </c>
      <c r="BE5" t="inlineStr">
        <is>
          <t>X</t>
        </is>
      </c>
      <c r="BF5" t="inlineStr">
        <is>
          <t>X</t>
        </is>
      </c>
      <c r="BG5" t="inlineStr">
        <is>
          <t>X</t>
        </is>
      </c>
      <c r="BH5" t="inlineStr">
        <is>
          <t>YES</t>
        </is>
      </c>
      <c r="BI5" t="inlineStr">
        <is>
          <t>X</t>
        </is>
      </c>
      <c r="BJ5" t="inlineStr">
        <is>
          <t>YES</t>
        </is>
      </c>
      <c r="BK5" t="inlineStr">
        <is>
          <t>X</t>
        </is>
      </c>
      <c r="BL5" t="inlineStr">
        <is>
          <t>X</t>
        </is>
      </c>
      <c r="BM5">
        <v>1</v>
      </c>
      <c r="BN5" t="inlineStr">
        <is>
          <t>YES</t>
        </is>
      </c>
      <c r="BO5" t="inlineStr">
        <is>
          <t>YES</t>
        </is>
      </c>
      <c r="BP5" t="inlineStr">
        <is>
          <t>X</t>
        </is>
      </c>
      <c r="BQ5" t="inlineStr">
        <is>
          <t>X</t>
        </is>
      </c>
      <c r="BR5" t="inlineStr">
        <is>
          <t>X</t>
        </is>
      </c>
      <c r="BS5" t="inlineStr">
        <is>
          <t>X</t>
        </is>
      </c>
      <c r="BT5" t="inlineStr">
        <is>
          <t>X</t>
        </is>
      </c>
      <c r="BU5" s="3"/>
      <c r="BV5" t="inlineStr">
        <is>
          <t>已完成</t>
        </is>
      </c>
      <c r="BW5"/>
      <c r="BX5" s="3"/>
      <c r="BY5" s="3"/>
    </row>
    <row r="6" ht="25.5" customHeight="1">
      <c r="A6" t="inlineStr">
        <is>
          <t>Z0002UK</t>
        </is>
      </c>
      <c r="B6"/>
      <c r="C6" t="inlineStr">
        <is>
          <t>SC电动牙刷白色 英国站</t>
        </is>
      </c>
      <c r="D6" s="2">
        <v>45734</v>
      </c>
      <c r="E6" t="inlineStr">
        <is>
          <t>主推款</t>
        </is>
      </c>
      <c r="F6"/>
      <c r="G6"/>
      <c r="H6" t="inlineStr">
        <is>
          <t>UK</t>
        </is>
      </c>
      <c r="I6"/>
      <c r="J6"/>
      <c r="K6" t="inlineStr">
        <is>
          <t>X</t>
        </is>
      </c>
      <c r="L6" t="inlineStr">
        <is>
          <t>NO</t>
        </is>
      </c>
      <c r="M6" t="inlineStr">
        <is>
          <t>-</t>
        </is>
      </c>
      <c r="N6" t="inlineStr">
        <is>
          <t>YES 布局多变体 合并国际评论, VINE</t>
        </is>
      </c>
      <c r="O6" t="inlineStr">
        <is>
          <t>英国 电动牙刷关键词收集数据-德国标题2关键词库搭建</t>
        </is>
      </c>
      <c r="P6" t="inlineStr">
        <is>
          <t>YES</t>
        </is>
      </c>
      <c r="Q6" t="inlineStr">
        <is>
          <t>英国电动牙刷- 项目跟进表-阳亚运-20250325</t>
        </is>
      </c>
      <c r="R6" t="inlineStr">
        <is>
          <t>-</t>
        </is>
      </c>
      <c r="S6" s="3"/>
      <c r="T6" t="inlineStr">
        <is>
          <t>-</t>
        </is>
      </c>
      <c r="U6" s="3"/>
      <c r="V6" s="3" t="str">
        <f>=HYPERLINK("https://shimo.im/sheets/5bqndwNRpvUWYNAy/hctQE", "电动牙刷VC 选品利润测算表_EU V1.0欧洲五国")</f>
        <v>电动牙刷VC 选品利润测算表_EU V1.0欧洲五国</v>
      </c>
      <c r="W6" t="inlineStr">
        <is>
          <t>SC电动牙刷白色 英国站270空运</t>
        </is>
      </c>
      <c r="X6"/>
      <c r="Y6">
        <v>270</v>
      </c>
      <c r="Z6" s="2">
        <v>45767</v>
      </c>
      <c r="AA6" s="2">
        <v>45777</v>
      </c>
      <c r="AB6" s="2">
        <v>45784</v>
      </c>
      <c r="AC6" t="inlineStr">
        <is>
          <t>X</t>
        </is>
      </c>
      <c r="AD6" t="inlineStr">
        <is>
          <t>X</t>
        </is>
      </c>
      <c r="AE6" t="inlineStr">
        <is>
          <t>X</t>
        </is>
      </c>
      <c r="AF6" t="inlineStr">
        <is>
          <t>X</t>
        </is>
      </c>
      <c r="AG6" s="2">
        <v>45754</v>
      </c>
      <c r="AH6" s="2"/>
      <c r="AI6" t="inlineStr">
        <is>
          <t>1+10+10VP+10VINE</t>
        </is>
      </c>
      <c r="AJ6" s="2">
        <v>45776</v>
      </c>
      <c r="AK6"/>
      <c r="AL6" t="inlineStr">
        <is>
          <t>3组</t>
        </is>
      </c>
      <c r="AM6"/>
      <c r="AN6"/>
      <c r="AO6">
        <v>5</v>
      </c>
      <c r="AP6" s="2">
        <v>45769</v>
      </c>
      <c r="AQ6"/>
      <c r="AR6">
        <v>5</v>
      </c>
      <c r="AS6"/>
      <c r="AT6"/>
      <c r="AU6" t="inlineStr">
        <is>
          <t>X</t>
        </is>
      </c>
      <c r="AV6" t="inlineStr">
        <is>
          <t>X</t>
        </is>
      </c>
      <c r="AW6" t="inlineStr">
        <is>
          <t>2025/04/30</t>
        </is>
      </c>
      <c r="AX6" t="inlineStr">
        <is>
          <t>X</t>
        </is>
      </c>
      <c r="AY6" s="2">
        <v>45748</v>
      </c>
      <c r="AZ6" s="2">
        <v>45765</v>
      </c>
      <c r="BA6" t="inlineStr">
        <is>
          <t>X</t>
        </is>
      </c>
      <c r="BB6" t="inlineStr">
        <is>
          <t>X</t>
        </is>
      </c>
      <c r="BC6" t="inlineStr">
        <is>
          <t>YES</t>
        </is>
      </c>
      <c r="BD6" t="inlineStr">
        <is>
          <t>YES</t>
        </is>
      </c>
      <c r="BE6" t="inlineStr">
        <is>
          <t>X</t>
        </is>
      </c>
      <c r="BF6" t="inlineStr">
        <is>
          <t>X</t>
        </is>
      </c>
      <c r="BG6" t="inlineStr">
        <is>
          <t>X</t>
        </is>
      </c>
      <c r="BH6" t="inlineStr">
        <is>
          <t>YES</t>
        </is>
      </c>
      <c r="BI6" t="inlineStr">
        <is>
          <t>X</t>
        </is>
      </c>
      <c r="BJ6" t="inlineStr">
        <is>
          <t>YES</t>
        </is>
      </c>
      <c r="BK6" t="inlineStr">
        <is>
          <t>X</t>
        </is>
      </c>
      <c r="BL6" t="inlineStr">
        <is>
          <t>X</t>
        </is>
      </c>
      <c r="BM6">
        <v>1</v>
      </c>
      <c r="BN6" t="inlineStr">
        <is>
          <t>YES</t>
        </is>
      </c>
      <c r="BO6" t="inlineStr">
        <is>
          <t>YES</t>
        </is>
      </c>
      <c r="BP6" t="inlineStr">
        <is>
          <t>X</t>
        </is>
      </c>
      <c r="BQ6" t="inlineStr">
        <is>
          <t>X</t>
        </is>
      </c>
      <c r="BR6" t="inlineStr">
        <is>
          <t>X</t>
        </is>
      </c>
      <c r="BS6" t="inlineStr">
        <is>
          <t>X</t>
        </is>
      </c>
      <c r="BT6" t="inlineStr">
        <is>
          <t>X</t>
        </is>
      </c>
      <c r="BU6" s="3"/>
      <c r="BV6" t="inlineStr">
        <is>
          <t>已完成</t>
        </is>
      </c>
      <c r="BW6"/>
      <c r="BX6" s="3"/>
      <c r="BY6" s="3"/>
    </row>
    <row r="7" ht="25.5" customHeight="1">
      <c r="A7"/>
      <c r="B7"/>
      <c r="C7"/>
      <c r="D7" s="2"/>
      <c r="E7"/>
      <c r="F7"/>
      <c r="G7"/>
      <c r="H7"/>
      <c r="I7"/>
      <c r="J7"/>
      <c r="K7"/>
      <c r="L7"/>
      <c r="M7"/>
      <c r="N7"/>
      <c r="O7"/>
      <c r="P7"/>
      <c r="Q7"/>
      <c r="R7" t="inlineStr">
        <is>
          <t>-</t>
        </is>
      </c>
      <c r="S7" s="3"/>
      <c r="T7"/>
      <c r="U7" s="3"/>
      <c r="V7" s="3"/>
      <c r="W7"/>
      <c r="X7"/>
      <c r="Y7"/>
      <c r="Z7" s="2"/>
      <c r="AA7" s="2"/>
      <c r="AB7" s="2"/>
      <c r="AC7"/>
      <c r="AD7"/>
      <c r="AE7"/>
      <c r="AF7"/>
      <c r="AG7" s="2"/>
      <c r="AH7" s="2"/>
      <c r="AI7"/>
      <c r="AJ7" s="2"/>
      <c r="AK7"/>
      <c r="AL7"/>
      <c r="AM7"/>
      <c r="AN7"/>
      <c r="AO7"/>
      <c r="AP7" s="2"/>
      <c r="AQ7"/>
      <c r="AR7"/>
      <c r="AS7"/>
      <c r="AT7"/>
      <c r="AU7"/>
      <c r="AV7"/>
      <c r="AW7"/>
      <c r="AX7"/>
      <c r="AY7" s="2">
        <v>45748</v>
      </c>
      <c r="AZ7" s="2">
        <v>45765</v>
      </c>
      <c r="BA7"/>
      <c r="BB7"/>
      <c r="BC7"/>
      <c r="BD7"/>
      <c r="BE7"/>
      <c r="BF7"/>
      <c r="BG7"/>
      <c r="BH7"/>
      <c r="BI7"/>
      <c r="BJ7"/>
      <c r="BK7"/>
      <c r="BL7"/>
      <c r="BM7"/>
      <c r="BN7"/>
      <c r="BO7"/>
      <c r="BP7"/>
      <c r="BQ7"/>
      <c r="BR7"/>
      <c r="BS7"/>
      <c r="BT7"/>
      <c r="BU7" s="3"/>
      <c r="BV7"/>
      <c r="BW7"/>
      <c r="BX7" s="3"/>
      <c r="BY7" s="3"/>
    </row>
    <row r="8" ht="25.5" customHeight="1">
      <c r="A8" t="inlineStr">
        <is>
          <t>R0001EU</t>
        </is>
      </c>
      <c r="B8" t="inlineStr">
        <is>
          <t>https://shimo.im/sheets/xaLcxBgvfrrvr6At/x4LSY</t>
        </is>
      </c>
      <c r="C8"/>
      <c r="D8" s="2">
        <v>45734</v>
      </c>
      <c r="E8" t="inlineStr">
        <is>
          <t>主推款</t>
        </is>
      </c>
      <c r="F8"/>
      <c r="G8"/>
      <c r="H8" t="inlineStr">
        <is>
          <t>DE</t>
        </is>
      </c>
      <c r="I8"/>
      <c r="J8"/>
      <c r="K8" t="inlineStr">
        <is>
          <t>X</t>
        </is>
      </c>
      <c r="L8" t="inlineStr">
        <is>
          <t>NO</t>
        </is>
      </c>
      <c r="M8" t="inlineStr">
        <is>
          <t>德国除螨仪竞品分析</t>
        </is>
      </c>
      <c r="N8" t="inlineStr">
        <is>
          <t>YES 布局多变体 合并国际评论, VINE</t>
        </is>
      </c>
      <c r="O8" t="inlineStr">
        <is>
          <t>德国除螨仪标题和关键词库搭建</t>
        </is>
      </c>
      <c r="P8" t="inlineStr">
        <is>
          <t>YES</t>
        </is>
      </c>
      <c r="Q8" t="inlineStr">
        <is>
          <t>德国除螨仪 - 项目跟进表-阳亚运-20250325</t>
        </is>
      </c>
      <c r="R8" t="inlineStr">
        <is>
          <t>除螨仪市调</t>
        </is>
      </c>
      <c r="S8" s="3" t="str">
        <f>=HYPERLINK("https://shimo.im/sheets/KrkElQwjEzFWEqJp/xXMQQ", "德国除螨仪的推广计划——德国除螨仪 欧洲")</f>
        <v>德国除螨仪的推广计划——德国除螨仪 欧洲</v>
      </c>
      <c r="T8" t="inlineStr">
        <is>
          <t>-</t>
        </is>
      </c>
      <c r="U8" s="3" t="str">
        <f>=HYPERLINK("https://shimo.im/sheets/Wr3Dp1XYQwhaeM3J/TkhgB", "德国除螨仪 -盈利模型分析")</f>
        <v>德国除螨仪 -盈利模型分析</v>
      </c>
      <c r="V8" s="3" t="str">
        <f>=HYPERLINK("https://shimo.im/sheets/ZzkLMZ0LzGC28eAQ/i7L3Q", "欧洲除螨仪 VC 选品利润测算表_EU V1.0欧洲五国")</f>
        <v>欧洲除螨仪 VC 选品利润测算表_EU V1.0欧洲五国</v>
      </c>
      <c r="W8" t="inlineStr">
        <is>
          <t>SC除螨仪灰色 德国站360铁路</t>
        </is>
      </c>
      <c r="X8"/>
      <c r="Y8">
        <v>360</v>
      </c>
      <c r="Z8" s="2">
        <v>45761</v>
      </c>
      <c r="AA8" s="2">
        <v>45794</v>
      </c>
      <c r="AB8" s="2">
        <v>45802</v>
      </c>
      <c r="AC8" t="inlineStr">
        <is>
          <t>X</t>
        </is>
      </c>
      <c r="AD8" t="inlineStr">
        <is>
          <t>X</t>
        </is>
      </c>
      <c r="AE8" t="inlineStr">
        <is>
          <t>X</t>
        </is>
      </c>
      <c r="AF8" t="inlineStr">
        <is>
          <t>X</t>
        </is>
      </c>
      <c r="AG8" s="2">
        <v>45761</v>
      </c>
      <c r="AH8" s="2">
        <v>45769</v>
      </c>
      <c r="AI8" t="inlineStr">
        <is>
          <t>1+10+9VP+2VINE</t>
        </is>
      </c>
      <c r="AJ8" s="2">
        <v>45776</v>
      </c>
      <c r="AK8"/>
      <c r="AL8" t="inlineStr">
        <is>
          <t>3组</t>
        </is>
      </c>
      <c r="AM8"/>
      <c r="AN8"/>
      <c r="AO8">
        <v>5</v>
      </c>
      <c r="AP8" s="2">
        <v>45769</v>
      </c>
      <c r="AQ8"/>
      <c r="AR8">
        <v>5</v>
      </c>
      <c r="AS8"/>
      <c r="AT8"/>
      <c r="AU8" t="inlineStr">
        <is>
          <t>X</t>
        </is>
      </c>
      <c r="AV8" t="inlineStr">
        <is>
          <t>X</t>
        </is>
      </c>
      <c r="AW8" t="inlineStr">
        <is>
          <t>X</t>
        </is>
      </c>
      <c r="AX8" t="inlineStr">
        <is>
          <t>X</t>
        </is>
      </c>
      <c r="AY8" s="2">
        <v>45748</v>
      </c>
      <c r="AZ8" s="2">
        <v>45765</v>
      </c>
      <c r="BA8" t="inlineStr">
        <is>
          <t>X</t>
        </is>
      </c>
      <c r="BB8" t="inlineStr">
        <is>
          <t>X</t>
        </is>
      </c>
      <c r="BC8" t="inlineStr">
        <is>
          <t>YES</t>
        </is>
      </c>
      <c r="BD8" t="inlineStr">
        <is>
          <t>YES</t>
        </is>
      </c>
      <c r="BE8" t="inlineStr">
        <is>
          <t>X</t>
        </is>
      </c>
      <c r="BF8" t="inlineStr">
        <is>
          <t>X</t>
        </is>
      </c>
      <c r="BG8" t="inlineStr">
        <is>
          <t>X</t>
        </is>
      </c>
      <c r="BH8" t="inlineStr">
        <is>
          <t>YES</t>
        </is>
      </c>
      <c r="BI8" t="inlineStr">
        <is>
          <t>X</t>
        </is>
      </c>
      <c r="BJ8" t="inlineStr">
        <is>
          <t>YES</t>
        </is>
      </c>
      <c r="BK8" t="inlineStr">
        <is>
          <t>X</t>
        </is>
      </c>
      <c r="BL8" t="inlineStr">
        <is>
          <t>X</t>
        </is>
      </c>
      <c r="BM8">
        <v>1</v>
      </c>
      <c r="BN8" t="inlineStr">
        <is>
          <t>YES</t>
        </is>
      </c>
      <c r="BO8" t="inlineStr">
        <is>
          <t>YES</t>
        </is>
      </c>
      <c r="BP8" t="inlineStr">
        <is>
          <t>X</t>
        </is>
      </c>
      <c r="BQ8" t="inlineStr">
        <is>
          <t>X</t>
        </is>
      </c>
      <c r="BR8" t="inlineStr">
        <is>
          <t>X</t>
        </is>
      </c>
      <c r="BS8" t="inlineStr">
        <is>
          <t>X</t>
        </is>
      </c>
      <c r="BT8" t="inlineStr">
        <is>
          <t>X</t>
        </is>
      </c>
      <c r="BU8" s="3"/>
      <c r="BV8" t="inlineStr">
        <is>
          <t>已完成</t>
        </is>
      </c>
      <c r="BW8"/>
      <c r="BX8" s="3"/>
      <c r="BY8" s="3"/>
    </row>
    <row r="9" ht="25.5" customHeight="1">
      <c r="A9" t="inlineStr">
        <is>
          <t>R0001UK</t>
        </is>
      </c>
      <c r="B9"/>
      <c r="C9"/>
      <c r="D9" s="2">
        <v>45734</v>
      </c>
      <c r="E9" t="inlineStr">
        <is>
          <t>主推款</t>
        </is>
      </c>
      <c r="F9"/>
      <c r="G9"/>
      <c r="H9" t="inlineStr">
        <is>
          <t>UK</t>
        </is>
      </c>
      <c r="I9"/>
      <c r="J9"/>
      <c r="K9" t="inlineStr">
        <is>
          <t>X</t>
        </is>
      </c>
      <c r="L9" t="inlineStr">
        <is>
          <t>NO</t>
        </is>
      </c>
      <c r="M9" t="inlineStr">
        <is>
          <t>德国除螨仪竞品分析</t>
        </is>
      </c>
      <c r="N9" t="inlineStr">
        <is>
          <t>YES 布局多变体 合并国际评论, VINE</t>
        </is>
      </c>
      <c r="O9" t="inlineStr">
        <is>
          <t>英国除螨仪标题 关键词库搭建</t>
        </is>
      </c>
      <c r="P9" t="inlineStr">
        <is>
          <t>YES</t>
        </is>
      </c>
      <c r="Q9" t="inlineStr">
        <is>
          <t>英国除螨仪 - 项目跟进表-阳亚运-20250325</t>
        </is>
      </c>
      <c r="R9" t="inlineStr">
        <is>
          <t>市调</t>
        </is>
      </c>
      <c r="S9" s="3"/>
      <c r="T9" t="inlineStr">
        <is>
          <t>-</t>
        </is>
      </c>
      <c r="U9" s="3" t="str">
        <f>=HYPERLINK("https://shimo.im/sheets/Wr3Dp1XYQwhaeM3J/TkhgB", "德国除螨仪 -盈利模型分析")</f>
        <v>德国除螨仪 -盈利模型分析</v>
      </c>
      <c r="V9" s="3" t="str">
        <f>=HYPERLINK("https://shimo.im/sheets/ZzkLMZ0LzGC28eAQ/i7L3Q", "欧洲五国VC选品利润测算表EU V10")</f>
        <v>欧洲五国VC选品利润测算表EU V10</v>
      </c>
      <c r="W9" t="inlineStr">
        <is>
          <t>SC除螨仪灰色 英国站160铁路</t>
        </is>
      </c>
      <c r="X9"/>
      <c r="Y9">
        <v>160</v>
      </c>
      <c r="Z9" s="2">
        <v>45761</v>
      </c>
      <c r="AA9" s="2">
        <v>45794</v>
      </c>
      <c r="AB9" s="2">
        <v>45802</v>
      </c>
      <c r="AC9" t="inlineStr">
        <is>
          <t>X</t>
        </is>
      </c>
      <c r="AD9" t="inlineStr">
        <is>
          <t>X</t>
        </is>
      </c>
      <c r="AE9" t="inlineStr">
        <is>
          <t>X</t>
        </is>
      </c>
      <c r="AF9" t="inlineStr">
        <is>
          <t>X</t>
        </is>
      </c>
      <c r="AG9" s="2">
        <v>45761</v>
      </c>
      <c r="AH9" s="2">
        <v>45769</v>
      </c>
      <c r="AI9" t="inlineStr">
        <is>
          <t>1+10+9VP+2VINE</t>
        </is>
      </c>
      <c r="AJ9" s="2">
        <v>45776</v>
      </c>
      <c r="AK9"/>
      <c r="AL9" t="inlineStr">
        <is>
          <t>3组</t>
        </is>
      </c>
      <c r="AM9"/>
      <c r="AN9"/>
      <c r="AO9">
        <v>5</v>
      </c>
      <c r="AP9" s="2">
        <v>45769</v>
      </c>
      <c r="AQ9"/>
      <c r="AR9">
        <v>5</v>
      </c>
      <c r="AS9"/>
      <c r="AT9"/>
      <c r="AU9" t="inlineStr">
        <is>
          <t>X</t>
        </is>
      </c>
      <c r="AV9" t="inlineStr">
        <is>
          <t>X</t>
        </is>
      </c>
      <c r="AW9" t="inlineStr">
        <is>
          <t>X</t>
        </is>
      </c>
      <c r="AX9" t="inlineStr">
        <is>
          <t>X</t>
        </is>
      </c>
      <c r="AY9" s="2">
        <v>45748</v>
      </c>
      <c r="AZ9" s="2">
        <v>45765</v>
      </c>
      <c r="BA9" t="inlineStr">
        <is>
          <t>X</t>
        </is>
      </c>
      <c r="BB9" t="inlineStr">
        <is>
          <t>X</t>
        </is>
      </c>
      <c r="BC9" t="inlineStr">
        <is>
          <t>YES</t>
        </is>
      </c>
      <c r="BD9" t="inlineStr">
        <is>
          <t>YES</t>
        </is>
      </c>
      <c r="BE9" t="inlineStr">
        <is>
          <t>X</t>
        </is>
      </c>
      <c r="BF9" t="inlineStr">
        <is>
          <t>X</t>
        </is>
      </c>
      <c r="BG9" t="inlineStr">
        <is>
          <t>X</t>
        </is>
      </c>
      <c r="BH9" t="inlineStr">
        <is>
          <t>YES</t>
        </is>
      </c>
      <c r="BI9" t="inlineStr">
        <is>
          <t>X</t>
        </is>
      </c>
      <c r="BJ9" t="inlineStr">
        <is>
          <t>YES</t>
        </is>
      </c>
      <c r="BK9" t="inlineStr">
        <is>
          <t>X</t>
        </is>
      </c>
      <c r="BL9" t="inlineStr">
        <is>
          <t>X</t>
        </is>
      </c>
      <c r="BM9">
        <v>1</v>
      </c>
      <c r="BN9" t="inlineStr">
        <is>
          <t>YES</t>
        </is>
      </c>
      <c r="BO9" t="inlineStr">
        <is>
          <t>YES</t>
        </is>
      </c>
      <c r="BP9" t="inlineStr">
        <is>
          <t>X</t>
        </is>
      </c>
      <c r="BQ9" t="inlineStr">
        <is>
          <t>X</t>
        </is>
      </c>
      <c r="BR9" t="inlineStr">
        <is>
          <t>X</t>
        </is>
      </c>
      <c r="BS9" t="inlineStr">
        <is>
          <t>X</t>
        </is>
      </c>
      <c r="BT9" t="inlineStr">
        <is>
          <t>X</t>
        </is>
      </c>
      <c r="BU9" s="3"/>
      <c r="BV9" t="inlineStr">
        <is>
          <t>已完成</t>
        </is>
      </c>
      <c r="BW9"/>
      <c r="BX9" s="3"/>
      <c r="BY9" s="3"/>
    </row>
    <row r="10" ht="25.5" customHeight="1">
      <c r="A10"/>
      <c r="B10"/>
      <c r="C10"/>
      <c r="D10" s="2"/>
      <c r="E10"/>
      <c r="F10"/>
      <c r="G10"/>
      <c r="H10"/>
      <c r="I10"/>
      <c r="J10"/>
      <c r="K10"/>
      <c r="L10"/>
      <c r="M10"/>
      <c r="N10"/>
      <c r="O10"/>
      <c r="P10"/>
      <c r="Q10"/>
      <c r="R10" t="inlineStr">
        <is>
          <t>-</t>
        </is>
      </c>
      <c r="S10" s="3"/>
      <c r="T10"/>
      <c r="U10" s="3"/>
      <c r="V10" s="3"/>
      <c r="W10"/>
      <c r="X10"/>
      <c r="Y10"/>
      <c r="Z10" s="2"/>
      <c r="AA10" s="2"/>
      <c r="AB10" s="2"/>
      <c r="AC10"/>
      <c r="AD10"/>
      <c r="AE10"/>
      <c r="AF10"/>
      <c r="AG10" s="2"/>
      <c r="AH10" s="2"/>
      <c r="AI10"/>
      <c r="AJ10" s="2"/>
      <c r="AK10"/>
      <c r="AL10"/>
      <c r="AM10"/>
      <c r="AN10"/>
      <c r="AO10"/>
      <c r="AP10" s="2"/>
      <c r="AQ10"/>
      <c r="AR10"/>
      <c r="AS10"/>
      <c r="AT10"/>
      <c r="AU10"/>
      <c r="AV10"/>
      <c r="AW10"/>
      <c r="AX10"/>
      <c r="AY10" s="2">
        <v>45748</v>
      </c>
      <c r="AZ10" s="2">
        <v>45765</v>
      </c>
      <c r="BA10"/>
      <c r="BB10"/>
      <c r="BC10"/>
      <c r="BD10"/>
      <c r="BE10"/>
      <c r="BF10"/>
      <c r="BG10"/>
      <c r="BH10"/>
      <c r="BI10"/>
      <c r="BJ10"/>
      <c r="BK10"/>
      <c r="BL10"/>
      <c r="BM10"/>
      <c r="BN10"/>
      <c r="BO10"/>
      <c r="BP10"/>
      <c r="BQ10"/>
      <c r="BR10"/>
      <c r="BS10"/>
      <c r="BT10"/>
      <c r="BU10" s="3"/>
      <c r="BV10"/>
      <c r="BW10"/>
      <c r="BX10" s="3"/>
      <c r="BY10" s="3"/>
    </row>
    <row r="11" ht="25.5" customHeight="1">
      <c r="A11" t="inlineStr">
        <is>
          <t>Z0001EU</t>
        </is>
      </c>
      <c r="B11"/>
      <c r="C11" t="inlineStr">
        <is>
          <t>VC电动牙刷黑色 德国站</t>
        </is>
      </c>
      <c r="D11" s="2">
        <v>45734</v>
      </c>
      <c r="E11" t="inlineStr">
        <is>
          <t>主推款</t>
        </is>
      </c>
      <c r="F11"/>
      <c r="G11" t="inlineStr">
        <is>
          <t>VC1_EU</t>
        </is>
      </c>
      <c r="H11" t="inlineStr">
        <is>
          <t>DE</t>
        </is>
      </c>
      <c r="I11"/>
      <c r="J11"/>
      <c r="K11" t="inlineStr">
        <is>
          <t>X</t>
        </is>
      </c>
      <c r="L11" t="inlineStr">
        <is>
          <t>NO</t>
        </is>
      </c>
      <c r="M11" t="inlineStr">
        <is>
          <t>-</t>
        </is>
      </c>
      <c r="N11" t="inlineStr">
        <is>
          <t>YES</t>
        </is>
      </c>
      <c r="O11" t="inlineStr">
        <is>
          <t>关键词词库查看SC</t>
        </is>
      </c>
      <c r="P11" t="inlineStr">
        <is>
          <t>YES</t>
        </is>
      </c>
      <c r="Q11" t="inlineStr">
        <is>
          <t>项目跟进表查看SC</t>
        </is>
      </c>
      <c r="R11" t="inlineStr">
        <is>
          <t>-</t>
        </is>
      </c>
      <c r="S11" s="3"/>
      <c r="T11" t="inlineStr">
        <is>
          <t>-</t>
        </is>
      </c>
      <c r="U11" s="3"/>
      <c r="V11" s="3" t="str">
        <f>=HYPERLINK("https://shimo.im/sheets/5bqndwNRpvUWYNAy/hctQE", "电动牙刷VC 选品利润测算表_EU V1.0欧洲五国")</f>
        <v>电动牙刷VC 选品利润测算表_EU V1.0欧洲五国</v>
      </c>
      <c r="W11" t="inlineStr">
        <is>
          <t>VC电动牙刷黑色 德国站  540卡航1080</t>
        </is>
      </c>
      <c r="X11"/>
      <c r="Y11">
        <v>1080</v>
      </c>
      <c r="Z11" s="2">
        <v>45754</v>
      </c>
      <c r="AA11" s="2">
        <v>45784</v>
      </c>
      <c r="AB11" s="2">
        <v>45784</v>
      </c>
      <c r="AC11" t="inlineStr">
        <is>
          <t>X</t>
        </is>
      </c>
      <c r="AD11" t="inlineStr">
        <is>
          <t>X</t>
        </is>
      </c>
      <c r="AE11" t="inlineStr">
        <is>
          <t>X</t>
        </is>
      </c>
      <c r="AF11" t="inlineStr">
        <is>
          <t>X</t>
        </is>
      </c>
      <c r="AG11" s="2">
        <v>45742</v>
      </c>
      <c r="AH11" s="2">
        <v>45769</v>
      </c>
      <c r="AI11" t="inlineStr">
        <is>
          <t>-</t>
        </is>
      </c>
      <c r="AJ11" s="2">
        <v>45776</v>
      </c>
      <c r="AK11"/>
      <c r="AL11" t="inlineStr">
        <is>
          <t>-</t>
        </is>
      </c>
      <c r="AM11"/>
      <c r="AN11"/>
      <c r="AO11"/>
      <c r="AP11" s="2"/>
      <c r="AQ11"/>
      <c r="AR11"/>
      <c r="AS11"/>
      <c r="AT11"/>
      <c r="AU11" t="inlineStr">
        <is>
          <t>X</t>
        </is>
      </c>
      <c r="AV11" t="inlineStr">
        <is>
          <t>X</t>
        </is>
      </c>
      <c r="AW11" t="inlineStr">
        <is>
          <t>X</t>
        </is>
      </c>
      <c r="AX11" t="inlineStr">
        <is>
          <t>X</t>
        </is>
      </c>
      <c r="AY11" s="2">
        <v>45748</v>
      </c>
      <c r="AZ11" s="2">
        <v>45765</v>
      </c>
      <c r="BA11" t="inlineStr">
        <is>
          <t>X</t>
        </is>
      </c>
      <c r="BB11" t="inlineStr">
        <is>
          <t>X</t>
        </is>
      </c>
      <c r="BC11" t="inlineStr">
        <is>
          <t>YES</t>
        </is>
      </c>
      <c r="BD11" t="inlineStr">
        <is>
          <t>YES</t>
        </is>
      </c>
      <c r="BE11" t="inlineStr">
        <is>
          <t>X</t>
        </is>
      </c>
      <c r="BF11" t="inlineStr">
        <is>
          <t>X</t>
        </is>
      </c>
      <c r="BG11" t="inlineStr">
        <is>
          <t>X</t>
        </is>
      </c>
      <c r="BH11" t="inlineStr">
        <is>
          <t>YES</t>
        </is>
      </c>
      <c r="BI11" t="inlineStr">
        <is>
          <t>X</t>
        </is>
      </c>
      <c r="BJ11" t="inlineStr">
        <is>
          <t>YES</t>
        </is>
      </c>
      <c r="BK11" t="inlineStr">
        <is>
          <t>X</t>
        </is>
      </c>
      <c r="BL11" t="inlineStr">
        <is>
          <t>X</t>
        </is>
      </c>
      <c r="BM11">
        <v>1</v>
      </c>
      <c r="BN11" t="inlineStr">
        <is>
          <t>YES</t>
        </is>
      </c>
      <c r="BO11" t="inlineStr">
        <is>
          <t>YES</t>
        </is>
      </c>
      <c r="BP11" t="inlineStr">
        <is>
          <t>X</t>
        </is>
      </c>
      <c r="BQ11" t="inlineStr">
        <is>
          <t>X</t>
        </is>
      </c>
      <c r="BR11" t="inlineStr">
        <is>
          <t>X</t>
        </is>
      </c>
      <c r="BS11" t="inlineStr">
        <is>
          <t>X</t>
        </is>
      </c>
      <c r="BT11" t="inlineStr">
        <is>
          <t>X</t>
        </is>
      </c>
      <c r="BU11" s="3"/>
      <c r="BV11" t="inlineStr">
        <is>
          <t>已完成</t>
        </is>
      </c>
      <c r="BW11"/>
      <c r="BX11" s="3"/>
      <c r="BY11" s="3"/>
    </row>
    <row r="12" ht="25.5" customHeight="1">
      <c r="A12" t="inlineStr">
        <is>
          <t>Z0001EU</t>
        </is>
      </c>
      <c r="B12"/>
      <c r="C12" t="inlineStr">
        <is>
          <t>VC电动牙刷黑色 德国站</t>
        </is>
      </c>
      <c r="D12" s="2">
        <v>45734</v>
      </c>
      <c r="E12" t="inlineStr">
        <is>
          <t>主推款</t>
        </is>
      </c>
      <c r="F12"/>
      <c r="G12" t="inlineStr">
        <is>
          <t>VC1_EU</t>
        </is>
      </c>
      <c r="H12" t="inlineStr">
        <is>
          <t>DE</t>
        </is>
      </c>
      <c r="I12"/>
      <c r="J12"/>
      <c r="K12"/>
      <c r="L12"/>
      <c r="M12" t="inlineStr">
        <is>
          <t>-</t>
        </is>
      </c>
      <c r="N12"/>
      <c r="O12"/>
      <c r="P12"/>
      <c r="Q12" t="inlineStr">
        <is>
          <t>项目跟进表查看SC</t>
        </is>
      </c>
      <c r="R12" t="inlineStr">
        <is>
          <t>-</t>
        </is>
      </c>
      <c r="S12" s="3"/>
      <c r="T12"/>
      <c r="U12" s="3"/>
      <c r="V12" s="3" t="str">
        <f>=HYPERLINK("https://shimo.im/sheets/5bqndwNRpvUWYNAy/hctQE", "电动牙刷VC 选品利润测算表_EU V1.0欧洲五国")</f>
        <v>电动牙刷VC 选品利润测算表_EU V1.0欧洲五国</v>
      </c>
      <c r="W12" t="inlineStr">
        <is>
          <t>VC电动牙刷黑色 德国站  540铁路0</t>
        </is>
      </c>
      <c r="X12"/>
      <c r="Y12">
        <v>0</v>
      </c>
      <c r="Z12" s="2"/>
      <c r="AA12" s="2"/>
      <c r="AB12" s="2"/>
      <c r="AC12"/>
      <c r="AD12"/>
      <c r="AE12"/>
      <c r="AF12"/>
      <c r="AG12" s="2"/>
      <c r="AH12" s="2">
        <v>45769</v>
      </c>
      <c r="AI12" t="inlineStr">
        <is>
          <t>-</t>
        </is>
      </c>
      <c r="AJ12" s="2">
        <v>45776</v>
      </c>
      <c r="AK12"/>
      <c r="AL12" t="inlineStr">
        <is>
          <t>-</t>
        </is>
      </c>
      <c r="AM12"/>
      <c r="AN12"/>
      <c r="AO12"/>
      <c r="AP12" s="2"/>
      <c r="AQ12"/>
      <c r="AR12"/>
      <c r="AS12"/>
      <c r="AT12"/>
      <c r="AU12"/>
      <c r="AV12"/>
      <c r="AW12"/>
      <c r="AX12"/>
      <c r="AY12" s="2"/>
      <c r="AZ12" s="2"/>
      <c r="BA12"/>
      <c r="BB12"/>
      <c r="BC12"/>
      <c r="BD12"/>
      <c r="BE12"/>
      <c r="BF12"/>
      <c r="BG12"/>
      <c r="BH12"/>
      <c r="BI12"/>
      <c r="BJ12"/>
      <c r="BK12"/>
      <c r="BL12"/>
      <c r="BM12"/>
      <c r="BN12"/>
      <c r="BO12"/>
      <c r="BP12"/>
      <c r="BQ12"/>
      <c r="BR12"/>
      <c r="BS12"/>
      <c r="BT12"/>
      <c r="BU12" s="3"/>
      <c r="BV12" t="inlineStr">
        <is>
          <t>已完成</t>
        </is>
      </c>
      <c r="BW12"/>
      <c r="BX12" s="3"/>
      <c r="BY12" s="3"/>
    </row>
    <row r="13" ht="25.5" customHeight="1">
      <c r="A13" t="inlineStr">
        <is>
          <t>Z0001UK</t>
        </is>
      </c>
      <c r="B13"/>
      <c r="C13" t="inlineStr">
        <is>
          <t>VC电动牙刷黑色 英国站</t>
        </is>
      </c>
      <c r="D13" s="2">
        <v>45734</v>
      </c>
      <c r="E13" t="inlineStr">
        <is>
          <t>主推款</t>
        </is>
      </c>
      <c r="F13"/>
      <c r="G13" t="inlineStr">
        <is>
          <t>VC1_EU</t>
        </is>
      </c>
      <c r="H13" t="inlineStr">
        <is>
          <t>UK</t>
        </is>
      </c>
      <c r="I13"/>
      <c r="J13"/>
      <c r="K13" t="inlineStr">
        <is>
          <t>X</t>
        </is>
      </c>
      <c r="L13" t="inlineStr">
        <is>
          <t>NO</t>
        </is>
      </c>
      <c r="M13" t="inlineStr">
        <is>
          <t>-</t>
        </is>
      </c>
      <c r="N13" t="inlineStr">
        <is>
          <t>YES</t>
        </is>
      </c>
      <c r="O13" t="inlineStr">
        <is>
          <t>关键词词库查看SC</t>
        </is>
      </c>
      <c r="P13" t="inlineStr">
        <is>
          <t>YES</t>
        </is>
      </c>
      <c r="Q13" t="inlineStr">
        <is>
          <t>项目跟进表查看SC</t>
        </is>
      </c>
      <c r="R13" t="inlineStr">
        <is>
          <t>-</t>
        </is>
      </c>
      <c r="S13" s="3"/>
      <c r="T13" t="inlineStr">
        <is>
          <t>-</t>
        </is>
      </c>
      <c r="U13" s="3"/>
      <c r="V13" s="3" t="str">
        <f>=HYPERLINK("https://shimo.im/sheets/5bqndwNRpvUWYNAy/hctQE", "电动牙刷VC 选品利润测算表_EU V1.0欧洲五国")</f>
        <v>电动牙刷VC 选品利润测算表_EU V1.0欧洲五国</v>
      </c>
      <c r="W13" t="inlineStr">
        <is>
          <t>VC电动牙刷黑色 英国站 540卡航</t>
        </is>
      </c>
      <c r="X13"/>
      <c r="Y13">
        <v>540</v>
      </c>
      <c r="Z13" s="2">
        <v>45754</v>
      </c>
      <c r="AA13" s="2">
        <v>45794</v>
      </c>
      <c r="AB13" s="2">
        <v>45794</v>
      </c>
      <c r="AC13" t="inlineStr">
        <is>
          <t>X</t>
        </is>
      </c>
      <c r="AD13" t="inlineStr">
        <is>
          <t>X</t>
        </is>
      </c>
      <c r="AE13" t="inlineStr">
        <is>
          <t>X</t>
        </is>
      </c>
      <c r="AF13" t="inlineStr">
        <is>
          <t>X</t>
        </is>
      </c>
      <c r="AG13" s="2">
        <v>45742</v>
      </c>
      <c r="AH13" s="2">
        <v>45769</v>
      </c>
      <c r="AI13" t="inlineStr">
        <is>
          <t>-</t>
        </is>
      </c>
      <c r="AJ13" s="2">
        <v>45776</v>
      </c>
      <c r="AK13"/>
      <c r="AL13" t="inlineStr">
        <is>
          <t>-</t>
        </is>
      </c>
      <c r="AM13"/>
      <c r="AN13"/>
      <c r="AO13"/>
      <c r="AP13" s="2"/>
      <c r="AQ13"/>
      <c r="AR13"/>
      <c r="AS13"/>
      <c r="AT13"/>
      <c r="AU13" t="inlineStr">
        <is>
          <t>X</t>
        </is>
      </c>
      <c r="AV13" t="inlineStr">
        <is>
          <t>X</t>
        </is>
      </c>
      <c r="AW13" t="inlineStr">
        <is>
          <t>X</t>
        </is>
      </c>
      <c r="AX13" t="inlineStr">
        <is>
          <t>X</t>
        </is>
      </c>
      <c r="AY13" s="2">
        <v>45748</v>
      </c>
      <c r="AZ13" s="2">
        <v>45765</v>
      </c>
      <c r="BA13" t="inlineStr">
        <is>
          <t>X</t>
        </is>
      </c>
      <c r="BB13" t="inlineStr">
        <is>
          <t>X</t>
        </is>
      </c>
      <c r="BC13" t="inlineStr">
        <is>
          <t>YES</t>
        </is>
      </c>
      <c r="BD13" t="inlineStr">
        <is>
          <t>YES</t>
        </is>
      </c>
      <c r="BE13" t="inlineStr">
        <is>
          <t>X</t>
        </is>
      </c>
      <c r="BF13" t="inlineStr">
        <is>
          <t>X</t>
        </is>
      </c>
      <c r="BG13" t="inlineStr">
        <is>
          <t>X</t>
        </is>
      </c>
      <c r="BH13" t="inlineStr">
        <is>
          <t>YES</t>
        </is>
      </c>
      <c r="BI13" t="inlineStr">
        <is>
          <t>X</t>
        </is>
      </c>
      <c r="BJ13" t="inlineStr">
        <is>
          <t>YES</t>
        </is>
      </c>
      <c r="BK13" t="inlineStr">
        <is>
          <t>X</t>
        </is>
      </c>
      <c r="BL13" t="inlineStr">
        <is>
          <t>X</t>
        </is>
      </c>
      <c r="BM13">
        <v>1</v>
      </c>
      <c r="BN13" t="inlineStr">
        <is>
          <t>YES</t>
        </is>
      </c>
      <c r="BO13" t="inlineStr">
        <is>
          <t>YES</t>
        </is>
      </c>
      <c r="BP13" t="inlineStr">
        <is>
          <t>X</t>
        </is>
      </c>
      <c r="BQ13" t="inlineStr">
        <is>
          <t>X</t>
        </is>
      </c>
      <c r="BR13" t="inlineStr">
        <is>
          <t>X</t>
        </is>
      </c>
      <c r="BS13" t="inlineStr">
        <is>
          <t>X</t>
        </is>
      </c>
      <c r="BT13" t="inlineStr">
        <is>
          <t>X</t>
        </is>
      </c>
      <c r="BU13" s="3"/>
      <c r="BV13" t="inlineStr">
        <is>
          <t>已完成</t>
        </is>
      </c>
      <c r="BW13"/>
      <c r="BX13" s="3"/>
      <c r="BY13" s="3"/>
    </row>
    <row r="14" ht="25.5" customHeight="1">
      <c r="A14" t="inlineStr">
        <is>
          <t>Z0002EU</t>
        </is>
      </c>
      <c r="B14"/>
      <c r="C14" t="inlineStr">
        <is>
          <t>VC电动牙刷白色 德国站</t>
        </is>
      </c>
      <c r="D14" s="2">
        <v>45734</v>
      </c>
      <c r="E14" t="inlineStr">
        <is>
          <t>主推款</t>
        </is>
      </c>
      <c r="F14"/>
      <c r="G14" t="inlineStr">
        <is>
          <t>VC1_EU</t>
        </is>
      </c>
      <c r="H14" t="inlineStr">
        <is>
          <t>DE</t>
        </is>
      </c>
      <c r="I14"/>
      <c r="J14"/>
      <c r="K14" t="inlineStr">
        <is>
          <t>X</t>
        </is>
      </c>
      <c r="L14" t="inlineStr">
        <is>
          <t>NO</t>
        </is>
      </c>
      <c r="M14" t="inlineStr">
        <is>
          <t>-</t>
        </is>
      </c>
      <c r="N14" t="inlineStr">
        <is>
          <t>YES</t>
        </is>
      </c>
      <c r="O14" t="inlineStr">
        <is>
          <t>关键词词库查看SC</t>
        </is>
      </c>
      <c r="P14" t="inlineStr">
        <is>
          <t>YES</t>
        </is>
      </c>
      <c r="Q14" t="inlineStr">
        <is>
          <t>项目跟进表查看SC</t>
        </is>
      </c>
      <c r="R14" t="inlineStr">
        <is>
          <t>-</t>
        </is>
      </c>
      <c r="S14" s="3"/>
      <c r="T14" t="inlineStr">
        <is>
          <t>-</t>
        </is>
      </c>
      <c r="U14" s="3"/>
      <c r="V14" s="3" t="str">
        <f>=HYPERLINK("https://shimo.im/sheets/5bqndwNRpvUWYNAy/hctQE", "电动牙刷VC 选品利润测算表_EU V1.0欧洲五国")</f>
        <v>电动牙刷VC 选品利润测算表_EU V1.0欧洲五国</v>
      </c>
      <c r="W14" t="inlineStr">
        <is>
          <t>VC电动牙刷白色 德国站  540卡航1080</t>
        </is>
      </c>
      <c r="X14"/>
      <c r="Y14">
        <v>1080</v>
      </c>
      <c r="Z14" s="2">
        <v>45754</v>
      </c>
      <c r="AA14" s="2">
        <v>45784</v>
      </c>
      <c r="AB14" s="2">
        <v>45784</v>
      </c>
      <c r="AC14" t="inlineStr">
        <is>
          <t>X</t>
        </is>
      </c>
      <c r="AD14" t="inlineStr">
        <is>
          <t>X</t>
        </is>
      </c>
      <c r="AE14" t="inlineStr">
        <is>
          <t>X</t>
        </is>
      </c>
      <c r="AF14" t="inlineStr">
        <is>
          <t>X</t>
        </is>
      </c>
      <c r="AG14" s="2">
        <v>45742</v>
      </c>
      <c r="AH14" s="2">
        <v>45769</v>
      </c>
      <c r="AI14" t="inlineStr">
        <is>
          <t>-</t>
        </is>
      </c>
      <c r="AJ14" s="2">
        <v>45776</v>
      </c>
      <c r="AK14"/>
      <c r="AL14" t="inlineStr">
        <is>
          <t>-</t>
        </is>
      </c>
      <c r="AM14"/>
      <c r="AN14"/>
      <c r="AO14"/>
      <c r="AP14" s="2"/>
      <c r="AQ14"/>
      <c r="AR14"/>
      <c r="AS14"/>
      <c r="AT14"/>
      <c r="AU14" t="inlineStr">
        <is>
          <t>X</t>
        </is>
      </c>
      <c r="AV14" t="inlineStr">
        <is>
          <t>X</t>
        </is>
      </c>
      <c r="AW14" t="inlineStr">
        <is>
          <t>X</t>
        </is>
      </c>
      <c r="AX14" t="inlineStr">
        <is>
          <t>X</t>
        </is>
      </c>
      <c r="AY14" s="2">
        <v>45748</v>
      </c>
      <c r="AZ14" s="2">
        <v>45765</v>
      </c>
      <c r="BA14" t="inlineStr">
        <is>
          <t>X</t>
        </is>
      </c>
      <c r="BB14" t="inlineStr">
        <is>
          <t>X</t>
        </is>
      </c>
      <c r="BC14" t="inlineStr">
        <is>
          <t>YES</t>
        </is>
      </c>
      <c r="BD14" t="inlineStr">
        <is>
          <t>YES</t>
        </is>
      </c>
      <c r="BE14" t="inlineStr">
        <is>
          <t>X</t>
        </is>
      </c>
      <c r="BF14" t="inlineStr">
        <is>
          <t>X</t>
        </is>
      </c>
      <c r="BG14" t="inlineStr">
        <is>
          <t>X</t>
        </is>
      </c>
      <c r="BH14" t="inlineStr">
        <is>
          <t>YES</t>
        </is>
      </c>
      <c r="BI14" t="inlineStr">
        <is>
          <t>X</t>
        </is>
      </c>
      <c r="BJ14" t="inlineStr">
        <is>
          <t>YES</t>
        </is>
      </c>
      <c r="BK14" t="inlineStr">
        <is>
          <t>X</t>
        </is>
      </c>
      <c r="BL14" t="inlineStr">
        <is>
          <t>X</t>
        </is>
      </c>
      <c r="BM14">
        <v>1</v>
      </c>
      <c r="BN14" t="inlineStr">
        <is>
          <t>YES</t>
        </is>
      </c>
      <c r="BO14" t="inlineStr">
        <is>
          <t>YES</t>
        </is>
      </c>
      <c r="BP14" t="inlineStr">
        <is>
          <t>X</t>
        </is>
      </c>
      <c r="BQ14" t="inlineStr">
        <is>
          <t>X</t>
        </is>
      </c>
      <c r="BR14" t="inlineStr">
        <is>
          <t>X</t>
        </is>
      </c>
      <c r="BS14" t="inlineStr">
        <is>
          <t>X</t>
        </is>
      </c>
      <c r="BT14" t="inlineStr">
        <is>
          <t>X</t>
        </is>
      </c>
      <c r="BU14" s="3"/>
      <c r="BV14" t="inlineStr">
        <is>
          <t>已完成</t>
        </is>
      </c>
      <c r="BW14"/>
      <c r="BX14" s="3"/>
      <c r="BY14" s="3"/>
    </row>
    <row r="15" ht="25.5" customHeight="1">
      <c r="A15" t="inlineStr">
        <is>
          <t>Z0002EU</t>
        </is>
      </c>
      <c r="B15"/>
      <c r="C15" t="inlineStr">
        <is>
          <t>VC电动牙刷白色 德国站</t>
        </is>
      </c>
      <c r="D15" s="2">
        <v>45734</v>
      </c>
      <c r="E15" t="inlineStr">
        <is>
          <t>主推款</t>
        </is>
      </c>
      <c r="F15"/>
      <c r="G15" t="inlineStr">
        <is>
          <t>VC1_EU</t>
        </is>
      </c>
      <c r="H15" t="inlineStr">
        <is>
          <t>DE</t>
        </is>
      </c>
      <c r="I15"/>
      <c r="J15"/>
      <c r="K15"/>
      <c r="L15"/>
      <c r="M15"/>
      <c r="N15"/>
      <c r="O15"/>
      <c r="P15"/>
      <c r="Q15" t="inlineStr">
        <is>
          <t>项目跟进表查看SC</t>
        </is>
      </c>
      <c r="R15" t="inlineStr">
        <is>
          <t>-</t>
        </is>
      </c>
      <c r="S15" s="3"/>
      <c r="T15"/>
      <c r="U15" s="3"/>
      <c r="V15" s="3" t="str">
        <f>=HYPERLINK("https://shimo.im/sheets/5bqndwNRpvUWYNAy/hctQE", "电动牙刷VC 选品利润测算表_EU V1.0欧洲五国")</f>
        <v>电动牙刷VC 选品利润测算表_EU V1.0欧洲五国</v>
      </c>
      <c r="W15" t="inlineStr">
        <is>
          <t>VC电动牙刷白色 德国站  540铁路0</t>
        </is>
      </c>
      <c r="X15"/>
      <c r="Y15">
        <v>0</v>
      </c>
      <c r="Z15" s="2"/>
      <c r="AA15" s="2"/>
      <c r="AB15" s="2"/>
      <c r="AC15"/>
      <c r="AD15"/>
      <c r="AE15"/>
      <c r="AF15"/>
      <c r="AG15" s="2"/>
      <c r="AH15" s="2"/>
      <c r="AI15" t="inlineStr">
        <is>
          <t>-</t>
        </is>
      </c>
      <c r="AJ15" s="2"/>
      <c r="AK15"/>
      <c r="AL15" t="inlineStr">
        <is>
          <t>-</t>
        </is>
      </c>
      <c r="AM15"/>
      <c r="AN15"/>
      <c r="AO15"/>
      <c r="AP15" s="2"/>
      <c r="AQ15"/>
      <c r="AR15"/>
      <c r="AS15"/>
      <c r="AT15"/>
      <c r="AU15"/>
      <c r="AV15"/>
      <c r="AW15"/>
      <c r="AX15"/>
      <c r="AY15" s="2"/>
      <c r="AZ15" s="2"/>
      <c r="BA15"/>
      <c r="BB15"/>
      <c r="BC15"/>
      <c r="BD15"/>
      <c r="BE15"/>
      <c r="BF15"/>
      <c r="BG15"/>
      <c r="BH15"/>
      <c r="BI15"/>
      <c r="BJ15"/>
      <c r="BK15"/>
      <c r="BL15"/>
      <c r="BM15"/>
      <c r="BN15"/>
      <c r="BO15"/>
      <c r="BP15"/>
      <c r="BQ15"/>
      <c r="BR15"/>
      <c r="BS15"/>
      <c r="BT15"/>
      <c r="BU15" s="3"/>
      <c r="BV15" t="inlineStr">
        <is>
          <t>已完成</t>
        </is>
      </c>
      <c r="BW15"/>
      <c r="BX15" s="3"/>
      <c r="BY15" s="3"/>
    </row>
    <row r="16" ht="25.5" customHeight="1">
      <c r="A16" t="inlineStr">
        <is>
          <t>Z0002UK</t>
        </is>
      </c>
      <c r="B16"/>
      <c r="C16" t="inlineStr">
        <is>
          <t>VC电动牙刷白色 英国站</t>
        </is>
      </c>
      <c r="D16" s="2">
        <v>45734</v>
      </c>
      <c r="E16" t="inlineStr">
        <is>
          <t>主推款</t>
        </is>
      </c>
      <c r="F16"/>
      <c r="G16" t="inlineStr">
        <is>
          <t>VC1_EU</t>
        </is>
      </c>
      <c r="H16" t="inlineStr">
        <is>
          <t>UK</t>
        </is>
      </c>
      <c r="I16"/>
      <c r="J16"/>
      <c r="K16" t="inlineStr">
        <is>
          <t>X</t>
        </is>
      </c>
      <c r="L16" t="inlineStr">
        <is>
          <t>NO</t>
        </is>
      </c>
      <c r="M16" t="inlineStr">
        <is>
          <t>-</t>
        </is>
      </c>
      <c r="N16" t="inlineStr">
        <is>
          <t>YES</t>
        </is>
      </c>
      <c r="O16" t="inlineStr">
        <is>
          <t>关键词词库查看SC</t>
        </is>
      </c>
      <c r="P16" t="inlineStr">
        <is>
          <t>YES</t>
        </is>
      </c>
      <c r="Q16" t="inlineStr">
        <is>
          <t>项目跟进表查看SC</t>
        </is>
      </c>
      <c r="R16" t="inlineStr">
        <is>
          <t>-</t>
        </is>
      </c>
      <c r="S16" s="3"/>
      <c r="T16" t="inlineStr">
        <is>
          <t>-</t>
        </is>
      </c>
      <c r="U16" s="3"/>
      <c r="V16" s="3" t="str">
        <f>=HYPERLINK("https://shimo.im/sheets/5bqndwNRpvUWYNAy/hctQE", "电动牙刷VC 选品利润测算表_EU V1.0欧洲五国")</f>
        <v>电动牙刷VC 选品利润测算表_EU V1.0欧洲五国</v>
      </c>
      <c r="W16" t="inlineStr">
        <is>
          <t>VC电动牙刷白色 英国站 540卡航</t>
        </is>
      </c>
      <c r="X16"/>
      <c r="Y16">
        <v>540</v>
      </c>
      <c r="Z16" s="2">
        <v>45754</v>
      </c>
      <c r="AA16" s="2">
        <v>45784</v>
      </c>
      <c r="AB16" s="2">
        <v>45784</v>
      </c>
      <c r="AC16" t="inlineStr">
        <is>
          <t>X</t>
        </is>
      </c>
      <c r="AD16" t="inlineStr">
        <is>
          <t>X</t>
        </is>
      </c>
      <c r="AE16" t="inlineStr">
        <is>
          <t>X</t>
        </is>
      </c>
      <c r="AF16" t="inlineStr">
        <is>
          <t>X</t>
        </is>
      </c>
      <c r="AG16" s="2">
        <v>45742</v>
      </c>
      <c r="AH16" s="2">
        <v>45769</v>
      </c>
      <c r="AI16" t="inlineStr">
        <is>
          <t>-</t>
        </is>
      </c>
      <c r="AJ16" s="2">
        <v>45776</v>
      </c>
      <c r="AK16"/>
      <c r="AL16" t="inlineStr">
        <is>
          <t>-</t>
        </is>
      </c>
      <c r="AM16"/>
      <c r="AN16"/>
      <c r="AO16"/>
      <c r="AP16" s="2"/>
      <c r="AQ16"/>
      <c r="AR16"/>
      <c r="AS16"/>
      <c r="AT16"/>
      <c r="AU16" t="inlineStr">
        <is>
          <t>X</t>
        </is>
      </c>
      <c r="AV16" t="inlineStr">
        <is>
          <t>X</t>
        </is>
      </c>
      <c r="AW16" t="inlineStr">
        <is>
          <t>X</t>
        </is>
      </c>
      <c r="AX16" t="inlineStr">
        <is>
          <t>X</t>
        </is>
      </c>
      <c r="AY16" s="2">
        <v>45748</v>
      </c>
      <c r="AZ16" s="2">
        <v>45765</v>
      </c>
      <c r="BA16" t="inlineStr">
        <is>
          <t>X</t>
        </is>
      </c>
      <c r="BB16" t="inlineStr">
        <is>
          <t>X</t>
        </is>
      </c>
      <c r="BC16" t="inlineStr">
        <is>
          <t>YES</t>
        </is>
      </c>
      <c r="BD16" t="inlineStr">
        <is>
          <t>YES</t>
        </is>
      </c>
      <c r="BE16" t="inlineStr">
        <is>
          <t>X</t>
        </is>
      </c>
      <c r="BF16" t="inlineStr">
        <is>
          <t>X</t>
        </is>
      </c>
      <c r="BG16" t="inlineStr">
        <is>
          <t>X</t>
        </is>
      </c>
      <c r="BH16" t="inlineStr">
        <is>
          <t>YES</t>
        </is>
      </c>
      <c r="BI16" t="inlineStr">
        <is>
          <t>X</t>
        </is>
      </c>
      <c r="BJ16" t="inlineStr">
        <is>
          <t>YES</t>
        </is>
      </c>
      <c r="BK16" t="inlineStr">
        <is>
          <t>X</t>
        </is>
      </c>
      <c r="BL16" t="inlineStr">
        <is>
          <t>X</t>
        </is>
      </c>
      <c r="BM16">
        <v>1</v>
      </c>
      <c r="BN16" t="inlineStr">
        <is>
          <t>YES</t>
        </is>
      </c>
      <c r="BO16" t="inlineStr">
        <is>
          <t>YES</t>
        </is>
      </c>
      <c r="BP16" t="inlineStr">
        <is>
          <t>X</t>
        </is>
      </c>
      <c r="BQ16" t="inlineStr">
        <is>
          <t>X</t>
        </is>
      </c>
      <c r="BR16" t="inlineStr">
        <is>
          <t>X</t>
        </is>
      </c>
      <c r="BS16" t="inlineStr">
        <is>
          <t>X</t>
        </is>
      </c>
      <c r="BT16" t="inlineStr">
        <is>
          <t>X</t>
        </is>
      </c>
      <c r="BU16" s="3"/>
      <c r="BV16" t="inlineStr">
        <is>
          <t>已完成</t>
        </is>
      </c>
      <c r="BW16"/>
      <c r="BX16" s="3"/>
      <c r="BY16" s="3"/>
    </row>
    <row r="17" ht="25.5" customHeight="1">
      <c r="A17" t="inlineStr">
        <is>
          <t>R0001EU</t>
        </is>
      </c>
      <c r="B17"/>
      <c r="C17"/>
      <c r="D17" s="2">
        <v>45734</v>
      </c>
      <c r="E17" t="inlineStr">
        <is>
          <t>主推款</t>
        </is>
      </c>
      <c r="F17"/>
      <c r="G17" t="inlineStr">
        <is>
          <t>VC1_EU</t>
        </is>
      </c>
      <c r="H17" t="inlineStr">
        <is>
          <t>DE</t>
        </is>
      </c>
      <c r="I17"/>
      <c r="J17"/>
      <c r="K17" t="inlineStr">
        <is>
          <t>X</t>
        </is>
      </c>
      <c r="L17" t="inlineStr">
        <is>
          <t>NO</t>
        </is>
      </c>
      <c r="M17" t="inlineStr">
        <is>
          <t>德国除螨仪竞品分析</t>
        </is>
      </c>
      <c r="N17" t="inlineStr">
        <is>
          <t>YES</t>
        </is>
      </c>
      <c r="O17" t="inlineStr">
        <is>
          <t>关键词词库查看SC</t>
        </is>
      </c>
      <c r="P17" t="inlineStr">
        <is>
          <t>YES</t>
        </is>
      </c>
      <c r="Q17" t="inlineStr">
        <is>
          <t>项目跟进表查看SC</t>
        </is>
      </c>
      <c r="R17" t="inlineStr">
        <is>
          <t>-</t>
        </is>
      </c>
      <c r="S17" s="3"/>
      <c r="T17" t="inlineStr">
        <is>
          <t>-</t>
        </is>
      </c>
      <c r="U17" s="3"/>
      <c r="V17" s="3" t="str">
        <f>=HYPERLINK("https://shimo.im/sheets/ZzkLMZ0LzGC28eAQ/i7L3Q", "欧洲除螨仪 VC 选品利润测算表_EU V1.0欧洲五国")</f>
        <v>欧洲除螨仪 VC 选品利润测算表_EU V1.0欧洲五国</v>
      </c>
      <c r="W17" t="inlineStr">
        <is>
          <t>VC除螨仪灰色 德国站 340卡航</t>
        </is>
      </c>
      <c r="X17"/>
      <c r="Y17">
        <v>0</v>
      </c>
      <c r="Z17" s="2"/>
      <c r="AA17" s="2"/>
      <c r="AB17" s="2"/>
      <c r="AC17" t="inlineStr">
        <is>
          <t>X</t>
        </is>
      </c>
      <c r="AD17" t="inlineStr">
        <is>
          <t>X</t>
        </is>
      </c>
      <c r="AE17" t="inlineStr">
        <is>
          <t>X</t>
        </is>
      </c>
      <c r="AF17" t="inlineStr">
        <is>
          <t>X</t>
        </is>
      </c>
      <c r="AG17" s="2">
        <v>45761</v>
      </c>
      <c r="AH17" s="2">
        <v>45769</v>
      </c>
      <c r="AI17" t="inlineStr">
        <is>
          <t>-</t>
        </is>
      </c>
      <c r="AJ17" s="2">
        <v>45776</v>
      </c>
      <c r="AK17"/>
      <c r="AL17" t="inlineStr">
        <is>
          <t>-</t>
        </is>
      </c>
      <c r="AM17"/>
      <c r="AN17"/>
      <c r="AO17"/>
      <c r="AP17" s="2"/>
      <c r="AQ17"/>
      <c r="AR17"/>
      <c r="AS17"/>
      <c r="AT17"/>
      <c r="AU17" t="inlineStr">
        <is>
          <t>X</t>
        </is>
      </c>
      <c r="AV17" t="inlineStr">
        <is>
          <t>X</t>
        </is>
      </c>
      <c r="AW17" t="inlineStr">
        <is>
          <t>X</t>
        </is>
      </c>
      <c r="AX17" t="inlineStr">
        <is>
          <t>X</t>
        </is>
      </c>
      <c r="AY17" s="2">
        <v>45748</v>
      </c>
      <c r="AZ17" s="2">
        <v>45765</v>
      </c>
      <c r="BA17" t="inlineStr">
        <is>
          <t>X</t>
        </is>
      </c>
      <c r="BB17" t="inlineStr">
        <is>
          <t>X</t>
        </is>
      </c>
      <c r="BC17" t="inlineStr">
        <is>
          <t>YES</t>
        </is>
      </c>
      <c r="BD17" t="inlineStr">
        <is>
          <t>YES</t>
        </is>
      </c>
      <c r="BE17" t="inlineStr">
        <is>
          <t>X</t>
        </is>
      </c>
      <c r="BF17" t="inlineStr">
        <is>
          <t>X</t>
        </is>
      </c>
      <c r="BG17" t="inlineStr">
        <is>
          <t>X</t>
        </is>
      </c>
      <c r="BH17" t="inlineStr">
        <is>
          <t>YES</t>
        </is>
      </c>
      <c r="BI17" t="inlineStr">
        <is>
          <t>X</t>
        </is>
      </c>
      <c r="BJ17" t="inlineStr">
        <is>
          <t>YES</t>
        </is>
      </c>
      <c r="BK17" t="inlineStr">
        <is>
          <t>X</t>
        </is>
      </c>
      <c r="BL17" t="inlineStr">
        <is>
          <t>X</t>
        </is>
      </c>
      <c r="BM17">
        <v>1</v>
      </c>
      <c r="BN17" t="inlineStr">
        <is>
          <t>YES</t>
        </is>
      </c>
      <c r="BO17" t="inlineStr">
        <is>
          <t>YES</t>
        </is>
      </c>
      <c r="BP17" t="inlineStr">
        <is>
          <t>X</t>
        </is>
      </c>
      <c r="BQ17" t="inlineStr">
        <is>
          <t>X</t>
        </is>
      </c>
      <c r="BR17" t="inlineStr">
        <is>
          <t>X</t>
        </is>
      </c>
      <c r="BS17" t="inlineStr">
        <is>
          <t>X</t>
        </is>
      </c>
      <c r="BT17" t="inlineStr">
        <is>
          <t>X</t>
        </is>
      </c>
      <c r="BU17" s="3"/>
      <c r="BV17" t="inlineStr">
        <is>
          <t>已完成</t>
        </is>
      </c>
      <c r="BW17"/>
      <c r="BX17" s="3"/>
      <c r="BY17" s="3"/>
    </row>
    <row r="18" ht="25.5" customHeight="1">
      <c r="A18" t="inlineStr">
        <is>
          <t>R0001EU</t>
        </is>
      </c>
      <c r="B18"/>
      <c r="C18"/>
      <c r="D18" s="2">
        <v>45734</v>
      </c>
      <c r="E18" t="inlineStr">
        <is>
          <t>主推款</t>
        </is>
      </c>
      <c r="F18"/>
      <c r="G18" t="inlineStr">
        <is>
          <t>VC1_EU</t>
        </is>
      </c>
      <c r="H18" t="inlineStr">
        <is>
          <t>DE</t>
        </is>
      </c>
      <c r="I18"/>
      <c r="J18"/>
      <c r="K18"/>
      <c r="L18"/>
      <c r="M18"/>
      <c r="N18"/>
      <c r="O18"/>
      <c r="P18"/>
      <c r="Q18" t="inlineStr">
        <is>
          <t>项目跟进表查看SC</t>
        </is>
      </c>
      <c r="R18" t="inlineStr">
        <is>
          <t>-</t>
        </is>
      </c>
      <c r="S18" s="3"/>
      <c r="T18"/>
      <c r="U18" s="3"/>
      <c r="V18" s="3" t="str">
        <f>=HYPERLINK("https://shimo.im/sheets/ZzkLMZ0LzGC28eAQ/i7L3Q", "欧洲除螨仪 VC 选品利润测算表_EU V1.0欧洲五国")</f>
        <v>欧洲除螨仪 VC 选品利润测算表_EU V1.0欧洲五国</v>
      </c>
      <c r="W18" t="inlineStr">
        <is>
          <t>VC除螨仪灰色 德国站 1140海运</t>
        </is>
      </c>
      <c r="X18"/>
      <c r="Y18">
        <v>1140</v>
      </c>
      <c r="Z18" s="2">
        <v>45761</v>
      </c>
      <c r="AA18" s="2">
        <v>45808</v>
      </c>
      <c r="AB18" s="2">
        <v>45808</v>
      </c>
      <c r="AC18"/>
      <c r="AD18"/>
      <c r="AE18"/>
      <c r="AF18" t="inlineStr">
        <is>
          <t>X</t>
        </is>
      </c>
      <c r="AG18" s="2">
        <v>45761</v>
      </c>
      <c r="AH18" s="2">
        <v>45769</v>
      </c>
      <c r="AI18" t="inlineStr">
        <is>
          <t>-</t>
        </is>
      </c>
      <c r="AJ18" s="2">
        <v>45776</v>
      </c>
      <c r="AK18"/>
      <c r="AL18" t="inlineStr">
        <is>
          <t>-</t>
        </is>
      </c>
      <c r="AM18"/>
      <c r="AN18"/>
      <c r="AO18"/>
      <c r="AP18" s="2"/>
      <c r="AQ18"/>
      <c r="AR18"/>
      <c r="AS18"/>
      <c r="AT18"/>
      <c r="AU18"/>
      <c r="AV18"/>
      <c r="AW18"/>
      <c r="AX18"/>
      <c r="AY18" s="2"/>
      <c r="AZ18" s="2"/>
      <c r="BA18"/>
      <c r="BB18"/>
      <c r="BC18"/>
      <c r="BD18"/>
      <c r="BE18"/>
      <c r="BF18"/>
      <c r="BG18"/>
      <c r="BH18"/>
      <c r="BI18"/>
      <c r="BJ18"/>
      <c r="BK18"/>
      <c r="BL18"/>
      <c r="BM18"/>
      <c r="BN18"/>
      <c r="BO18"/>
      <c r="BP18"/>
      <c r="BQ18"/>
      <c r="BR18"/>
      <c r="BS18"/>
      <c r="BT18"/>
      <c r="BU18" s="3"/>
      <c r="BV18" t="inlineStr">
        <is>
          <t>已完成</t>
        </is>
      </c>
      <c r="BW18"/>
      <c r="BX18" s="3"/>
      <c r="BY18" s="3"/>
    </row>
    <row r="19" ht="25.5" customHeight="1">
      <c r="A19" t="inlineStr">
        <is>
          <t>R0001UK</t>
        </is>
      </c>
      <c r="B19"/>
      <c r="C19"/>
      <c r="D19" s="2">
        <v>45734</v>
      </c>
      <c r="E19" t="inlineStr">
        <is>
          <t>主推款</t>
        </is>
      </c>
      <c r="F19"/>
      <c r="G19" t="inlineStr">
        <is>
          <t>VC1_EU</t>
        </is>
      </c>
      <c r="H19" t="inlineStr">
        <is>
          <t>UK</t>
        </is>
      </c>
      <c r="I19"/>
      <c r="J19"/>
      <c r="K19" t="inlineStr">
        <is>
          <t>X</t>
        </is>
      </c>
      <c r="L19" t="inlineStr">
        <is>
          <t>NO</t>
        </is>
      </c>
      <c r="M19" t="inlineStr">
        <is>
          <t>德国除螨仪竞品分析</t>
        </is>
      </c>
      <c r="N19" t="inlineStr">
        <is>
          <t>YES</t>
        </is>
      </c>
      <c r="O19" t="inlineStr">
        <is>
          <t>关键词词库查看SC</t>
        </is>
      </c>
      <c r="P19"/>
      <c r="Q19" t="inlineStr">
        <is>
          <t>项目跟进表查看SC</t>
        </is>
      </c>
      <c r="R19" t="inlineStr">
        <is>
          <t>-</t>
        </is>
      </c>
      <c r="S19" s="3"/>
      <c r="T19" t="inlineStr">
        <is>
          <t>-</t>
        </is>
      </c>
      <c r="U19" s="3"/>
      <c r="V19" s="3" t="str">
        <f>=HYPERLINK("https://shimo.im/sheets/ZzkLMZ0LzGC28eAQ/i7L3Q", "欧洲除螨仪 VC 选品利润测算表_EU V1.0欧洲五国")</f>
        <v>欧洲除螨仪 VC 选品利润测算表_EU V1.0欧洲五国</v>
      </c>
      <c r="W19" t="inlineStr">
        <is>
          <t>VC除螨仪灰色 英国站 340海运</t>
        </is>
      </c>
      <c r="X19"/>
      <c r="Y19">
        <v>340</v>
      </c>
      <c r="Z19" s="2">
        <v>45761</v>
      </c>
      <c r="AA19" s="2">
        <v>45808</v>
      </c>
      <c r="AB19" s="2">
        <v>45808</v>
      </c>
      <c r="AC19" t="inlineStr">
        <is>
          <t>X</t>
        </is>
      </c>
      <c r="AD19" t="inlineStr">
        <is>
          <t>X</t>
        </is>
      </c>
      <c r="AE19" t="inlineStr">
        <is>
          <t>X</t>
        </is>
      </c>
      <c r="AF19" t="inlineStr">
        <is>
          <t>X</t>
        </is>
      </c>
      <c r="AG19" s="2">
        <v>45761</v>
      </c>
      <c r="AH19" s="2">
        <v>45769</v>
      </c>
      <c r="AI19" t="inlineStr">
        <is>
          <t>-</t>
        </is>
      </c>
      <c r="AJ19" s="2">
        <v>45776</v>
      </c>
      <c r="AK19"/>
      <c r="AL19" t="inlineStr">
        <is>
          <t>-</t>
        </is>
      </c>
      <c r="AM19"/>
      <c r="AN19"/>
      <c r="AO19"/>
      <c r="AP19" s="2"/>
      <c r="AQ19"/>
      <c r="AR19"/>
      <c r="AS19"/>
      <c r="AT19"/>
      <c r="AU19" t="inlineStr">
        <is>
          <t>X</t>
        </is>
      </c>
      <c r="AV19" t="inlineStr">
        <is>
          <t>X</t>
        </is>
      </c>
      <c r="AW19" t="inlineStr">
        <is>
          <t>X</t>
        </is>
      </c>
      <c r="AX19" t="inlineStr">
        <is>
          <t>X</t>
        </is>
      </c>
      <c r="AY19" s="2">
        <v>45748</v>
      </c>
      <c r="AZ19" s="2">
        <v>45765</v>
      </c>
      <c r="BA19" t="inlineStr">
        <is>
          <t>X</t>
        </is>
      </c>
      <c r="BB19" t="inlineStr">
        <is>
          <t>X</t>
        </is>
      </c>
      <c r="BC19" t="inlineStr">
        <is>
          <t>YES</t>
        </is>
      </c>
      <c r="BD19" t="inlineStr">
        <is>
          <t>YES</t>
        </is>
      </c>
      <c r="BE19" t="inlineStr">
        <is>
          <t>X</t>
        </is>
      </c>
      <c r="BF19" t="inlineStr">
        <is>
          <t>X</t>
        </is>
      </c>
      <c r="BG19" t="inlineStr">
        <is>
          <t>X</t>
        </is>
      </c>
      <c r="BH19" t="inlineStr">
        <is>
          <t>YES</t>
        </is>
      </c>
      <c r="BI19" t="inlineStr">
        <is>
          <t>X</t>
        </is>
      </c>
      <c r="BJ19" t="inlineStr">
        <is>
          <t>YES</t>
        </is>
      </c>
      <c r="BK19" t="inlineStr">
        <is>
          <t>X</t>
        </is>
      </c>
      <c r="BL19" t="inlineStr">
        <is>
          <t>X</t>
        </is>
      </c>
      <c r="BM19">
        <v>1</v>
      </c>
      <c r="BN19" t="inlineStr">
        <is>
          <t>YES</t>
        </is>
      </c>
      <c r="BO19" t="inlineStr">
        <is>
          <t>YES</t>
        </is>
      </c>
      <c r="BP19" t="inlineStr">
        <is>
          <t>X</t>
        </is>
      </c>
      <c r="BQ19" t="inlineStr">
        <is>
          <t>X</t>
        </is>
      </c>
      <c r="BR19" t="inlineStr">
        <is>
          <t>X</t>
        </is>
      </c>
      <c r="BS19" t="inlineStr">
        <is>
          <t>X</t>
        </is>
      </c>
      <c r="BT19" t="inlineStr">
        <is>
          <t>X</t>
        </is>
      </c>
      <c r="BU19" s="3"/>
      <c r="BV19" t="inlineStr">
        <is>
          <t>已完成</t>
        </is>
      </c>
      <c r="BW19"/>
      <c r="BX19" s="3"/>
      <c r="BY19" s="3"/>
    </row>
    <row r="20" ht="25.5" customHeight="1">
      <c r="A20" t="inlineStr">
        <is>
          <t>R0001UK</t>
        </is>
      </c>
      <c r="B20"/>
      <c r="C20"/>
      <c r="D20" s="2"/>
      <c r="E20"/>
      <c r="F20"/>
      <c r="G20"/>
      <c r="H20"/>
      <c r="I20"/>
      <c r="J20"/>
      <c r="K20"/>
      <c r="L20"/>
      <c r="M20"/>
      <c r="N20"/>
      <c r="O20"/>
      <c r="P20"/>
      <c r="Q20"/>
      <c r="R20"/>
      <c r="S20" s="3"/>
      <c r="T20"/>
      <c r="U20" s="3"/>
      <c r="V20" s="3"/>
      <c r="W20"/>
      <c r="X20"/>
      <c r="Y20"/>
      <c r="Z20" s="2"/>
      <c r="AA20" s="2"/>
      <c r="AB20" s="2"/>
      <c r="AC20"/>
      <c r="AD20"/>
      <c r="AE20"/>
      <c r="AF20"/>
      <c r="AG20" s="2"/>
      <c r="AH20" s="2"/>
      <c r="AI20"/>
      <c r="AJ20" s="2"/>
      <c r="AK20"/>
      <c r="AL20"/>
      <c r="AM20"/>
      <c r="AN20"/>
      <c r="AO20"/>
      <c r="AP20" s="2"/>
      <c r="AQ20"/>
      <c r="AR20"/>
      <c r="AS20"/>
      <c r="AT20"/>
      <c r="AU20"/>
      <c r="AV20"/>
      <c r="AW20"/>
      <c r="AX20"/>
      <c r="AY20" s="2"/>
      <c r="AZ20" s="2"/>
      <c r="BA20"/>
      <c r="BB20"/>
      <c r="BC20"/>
      <c r="BD20"/>
      <c r="BE20"/>
      <c r="BF20"/>
      <c r="BG20"/>
      <c r="BH20"/>
      <c r="BI20"/>
      <c r="BJ20"/>
      <c r="BK20"/>
      <c r="BL20"/>
      <c r="BM20"/>
      <c r="BN20"/>
      <c r="BO20"/>
      <c r="BP20"/>
      <c r="BQ20"/>
      <c r="BR20"/>
      <c r="BS20"/>
      <c r="BT20"/>
      <c r="BU20" s="3"/>
      <c r="BV20" t="inlineStr">
        <is>
          <t>已完成</t>
        </is>
      </c>
      <c r="BW20"/>
      <c r="BX20" s="3"/>
      <c r="BY20" s="3"/>
    </row>
    <row r="21" ht="25.5" customHeight="1">
      <c r="A21" t="inlineStr">
        <is>
          <t>R0001UK</t>
        </is>
      </c>
      <c r="B21"/>
      <c r="C21" t="inlineStr">
        <is>
          <t>SC牙套超声波清洗机 德国站</t>
        </is>
      </c>
      <c r="D21" s="2">
        <v>45743</v>
      </c>
      <c r="E21" t="inlineStr">
        <is>
          <t>主推款</t>
        </is>
      </c>
      <c r="F21"/>
      <c r="G21"/>
      <c r="H21" t="inlineStr">
        <is>
          <t>DE</t>
        </is>
      </c>
      <c r="I21"/>
      <c r="J21"/>
      <c r="K21" t="inlineStr">
        <is>
          <t>X</t>
        </is>
      </c>
      <c r="L21" t="inlineStr">
        <is>
          <t>NO</t>
        </is>
      </c>
      <c r="M21" t="inlineStr">
        <is>
          <t>德国超声波清洗机竞争程度分析</t>
        </is>
      </c>
      <c r="N21" t="inlineStr">
        <is>
          <t>NO</t>
        </is>
      </c>
      <c r="O21" t="inlineStr">
        <is>
          <t>德国牙套超声波清洗机标题和关键词库搭建</t>
        </is>
      </c>
      <c r="P21"/>
      <c r="Q21" t="inlineStr">
        <is>
          <t>项目跟进表查看SC</t>
        </is>
      </c>
      <c r="R21" t="inlineStr">
        <is>
          <t>超声波清洗机市调</t>
        </is>
      </c>
      <c r="S21" s="3"/>
      <c r="T21" t="inlineStr">
        <is>
          <t>-</t>
        </is>
      </c>
      <c r="U21" s="3"/>
      <c r="V21" s="3"/>
      <c r="W21" t="inlineStr">
        <is>
          <t>SC牙套超声波清洗机 德国站</t>
        </is>
      </c>
      <c r="X21"/>
      <c r="Y21"/>
      <c r="Z21" s="2"/>
      <c r="AA21" s="2"/>
      <c r="AB21" s="2"/>
      <c r="AC21" t="inlineStr">
        <is>
          <t>X</t>
        </is>
      </c>
      <c r="AD21" t="inlineStr">
        <is>
          <t>X</t>
        </is>
      </c>
      <c r="AE21" t="inlineStr">
        <is>
          <t>X</t>
        </is>
      </c>
      <c r="AF21" t="inlineStr">
        <is>
          <t>X</t>
        </is>
      </c>
      <c r="AG21" s="2"/>
      <c r="AH21" s="2"/>
      <c r="AI21" t="inlineStr">
        <is>
          <t>-</t>
        </is>
      </c>
      <c r="AJ21" s="2"/>
      <c r="AK21"/>
      <c r="AL21" t="inlineStr">
        <is>
          <t>-</t>
        </is>
      </c>
      <c r="AM21"/>
      <c r="AN21"/>
      <c r="AO21"/>
      <c r="AP21" s="2"/>
      <c r="AQ21"/>
      <c r="AR21"/>
      <c r="AS21"/>
      <c r="AT21"/>
      <c r="AU21"/>
      <c r="AV21"/>
      <c r="AW21"/>
      <c r="AX21"/>
      <c r="AY21" s="2">
        <v>45748</v>
      </c>
      <c r="AZ21" s="2">
        <v>45765</v>
      </c>
      <c r="BA21" t="inlineStr">
        <is>
          <t>X</t>
        </is>
      </c>
      <c r="BB21" t="inlineStr">
        <is>
          <t>X</t>
        </is>
      </c>
      <c r="BC21" t="inlineStr">
        <is>
          <t>YES</t>
        </is>
      </c>
      <c r="BD21" t="inlineStr">
        <is>
          <t>YES</t>
        </is>
      </c>
      <c r="BE21" t="inlineStr">
        <is>
          <t>X</t>
        </is>
      </c>
      <c r="BF21" t="inlineStr">
        <is>
          <t>X</t>
        </is>
      </c>
      <c r="BG21" t="inlineStr">
        <is>
          <t>X</t>
        </is>
      </c>
      <c r="BH21" t="inlineStr">
        <is>
          <t>YES</t>
        </is>
      </c>
      <c r="BI21" t="inlineStr">
        <is>
          <t>X</t>
        </is>
      </c>
      <c r="BJ21" t="inlineStr">
        <is>
          <t>YES</t>
        </is>
      </c>
      <c r="BK21" t="inlineStr">
        <is>
          <t>X</t>
        </is>
      </c>
      <c r="BL21" t="inlineStr">
        <is>
          <t>X</t>
        </is>
      </c>
      <c r="BM21">
        <v>1</v>
      </c>
      <c r="BN21" t="inlineStr">
        <is>
          <t>YES</t>
        </is>
      </c>
      <c r="BO21" t="inlineStr">
        <is>
          <t>YES</t>
        </is>
      </c>
      <c r="BP21" t="inlineStr">
        <is>
          <t>X</t>
        </is>
      </c>
      <c r="BQ21" t="inlineStr">
        <is>
          <t>X</t>
        </is>
      </c>
      <c r="BR21" t="inlineStr">
        <is>
          <t>X</t>
        </is>
      </c>
      <c r="BS21" t="inlineStr">
        <is>
          <t>X</t>
        </is>
      </c>
      <c r="BT21" t="inlineStr">
        <is>
          <t>X</t>
        </is>
      </c>
      <c r="BU21" s="3"/>
      <c r="BV21" t="inlineStr">
        <is>
          <t>已完成</t>
        </is>
      </c>
      <c r="BW21"/>
      <c r="BX21" s="3"/>
      <c r="BY21" s="3"/>
    </row>
    <row r="22" ht="25.5" customHeight="1">
      <c r="A22" t="inlineStr">
        <is>
          <t>R0001UK</t>
        </is>
      </c>
      <c r="B22"/>
      <c r="C22" t="inlineStr">
        <is>
          <t>SC牙套超声波清洗机 英国站</t>
        </is>
      </c>
      <c r="D22" s="2">
        <v>45743</v>
      </c>
      <c r="E22" t="inlineStr">
        <is>
          <t>主推款</t>
        </is>
      </c>
      <c r="F22"/>
      <c r="G22"/>
      <c r="H22" t="inlineStr">
        <is>
          <t>UK</t>
        </is>
      </c>
      <c r="I22"/>
      <c r="J22"/>
      <c r="K22" t="inlineStr">
        <is>
          <t>X</t>
        </is>
      </c>
      <c r="L22" t="inlineStr">
        <is>
          <t>NO</t>
        </is>
      </c>
      <c r="M22" t="inlineStr">
        <is>
          <t>德国超声波清洗机竞争程度分析</t>
        </is>
      </c>
      <c r="N22" t="inlineStr">
        <is>
          <t>NO</t>
        </is>
      </c>
      <c r="O22" t="inlineStr">
        <is>
          <t>德国牙套超声波清洗机标题和关键词库搭建</t>
        </is>
      </c>
      <c r="P22"/>
      <c r="Q22" t="inlineStr">
        <is>
          <t>项目跟进表查看SC</t>
        </is>
      </c>
      <c r="R22"/>
      <c r="S22" s="3"/>
      <c r="T22" t="inlineStr">
        <is>
          <t>-</t>
        </is>
      </c>
      <c r="U22" s="3"/>
      <c r="V22" s="3"/>
      <c r="W22" t="inlineStr">
        <is>
          <t>SC牙套超声波清洗机 英国站</t>
        </is>
      </c>
      <c r="X22"/>
      <c r="Y22"/>
      <c r="Z22" s="2"/>
      <c r="AA22" s="2"/>
      <c r="AB22" s="2"/>
      <c r="AC22" t="inlineStr">
        <is>
          <t>X</t>
        </is>
      </c>
      <c r="AD22" t="inlineStr">
        <is>
          <t>X</t>
        </is>
      </c>
      <c r="AE22" t="inlineStr">
        <is>
          <t>X</t>
        </is>
      </c>
      <c r="AF22" t="inlineStr">
        <is>
          <t>X</t>
        </is>
      </c>
      <c r="AG22" s="2"/>
      <c r="AH22" s="2"/>
      <c r="AI22" t="inlineStr">
        <is>
          <t>-</t>
        </is>
      </c>
      <c r="AJ22" s="2"/>
      <c r="AK22"/>
      <c r="AL22" t="inlineStr">
        <is>
          <t>-</t>
        </is>
      </c>
      <c r="AM22"/>
      <c r="AN22"/>
      <c r="AO22"/>
      <c r="AP22" s="2"/>
      <c r="AQ22"/>
      <c r="AR22"/>
      <c r="AS22"/>
      <c r="AT22"/>
      <c r="AU22"/>
      <c r="AV22"/>
      <c r="AW22"/>
      <c r="AX22"/>
      <c r="AY22" s="2">
        <v>45748</v>
      </c>
      <c r="AZ22" s="2">
        <v>45765</v>
      </c>
      <c r="BA22" t="inlineStr">
        <is>
          <t>X</t>
        </is>
      </c>
      <c r="BB22" t="inlineStr">
        <is>
          <t>X</t>
        </is>
      </c>
      <c r="BC22" t="inlineStr">
        <is>
          <t>YES</t>
        </is>
      </c>
      <c r="BD22" t="inlineStr">
        <is>
          <t>YES</t>
        </is>
      </c>
      <c r="BE22" t="inlineStr">
        <is>
          <t>X</t>
        </is>
      </c>
      <c r="BF22" t="inlineStr">
        <is>
          <t>X</t>
        </is>
      </c>
      <c r="BG22" t="inlineStr">
        <is>
          <t>X</t>
        </is>
      </c>
      <c r="BH22" t="inlineStr">
        <is>
          <t>YES</t>
        </is>
      </c>
      <c r="BI22" t="inlineStr">
        <is>
          <t>X</t>
        </is>
      </c>
      <c r="BJ22" t="inlineStr">
        <is>
          <t>YES</t>
        </is>
      </c>
      <c r="BK22" t="inlineStr">
        <is>
          <t>X</t>
        </is>
      </c>
      <c r="BL22" t="inlineStr">
        <is>
          <t>X</t>
        </is>
      </c>
      <c r="BM22">
        <v>1</v>
      </c>
      <c r="BN22" t="inlineStr">
        <is>
          <t>YES</t>
        </is>
      </c>
      <c r="BO22" t="inlineStr">
        <is>
          <t>YES</t>
        </is>
      </c>
      <c r="BP22" t="inlineStr">
        <is>
          <t>X</t>
        </is>
      </c>
      <c r="BQ22" t="inlineStr">
        <is>
          <t>X</t>
        </is>
      </c>
      <c r="BR22" t="inlineStr">
        <is>
          <t>X</t>
        </is>
      </c>
      <c r="BS22" t="inlineStr">
        <is>
          <t>X</t>
        </is>
      </c>
      <c r="BT22" t="inlineStr">
        <is>
          <t>X</t>
        </is>
      </c>
      <c r="BU22" s="3"/>
      <c r="BV22" t="inlineStr">
        <is>
          <t>已完成</t>
        </is>
      </c>
      <c r="BW22"/>
      <c r="BX22" s="3"/>
      <c r="BY22" s="3"/>
    </row>
    <row r="23" ht="25.5" customHeight="1">
      <c r="A23" t="inlineStr">
        <is>
          <t>R0001UK</t>
        </is>
      </c>
      <c r="B23"/>
      <c r="C23" t="inlineStr">
        <is>
          <t>SC杆式吸尘器 德国站</t>
        </is>
      </c>
      <c r="D23" s="2">
        <v>45749</v>
      </c>
      <c r="E23" t="inlineStr">
        <is>
          <t>主推款</t>
        </is>
      </c>
      <c r="F23"/>
      <c r="G23"/>
      <c r="H23" t="inlineStr">
        <is>
          <t>DE</t>
        </is>
      </c>
      <c r="I23"/>
      <c r="J23"/>
      <c r="K23" t="inlineStr">
        <is>
          <t>X</t>
        </is>
      </c>
      <c r="L23" t="inlineStr">
        <is>
          <t>NO</t>
        </is>
      </c>
      <c r="M23" t="inlineStr">
        <is>
          <t>杆式吸尘器竞品分析-84ASIN</t>
        </is>
      </c>
      <c r="N23" t="inlineStr">
        <is>
          <t>NO</t>
        </is>
      </c>
      <c r="O23" t="inlineStr">
        <is>
          <t>德国牙套超声波清洗机标题和关键词库搭建</t>
        </is>
      </c>
      <c r="P23"/>
      <c r="Q23" t="inlineStr">
        <is>
          <t>项目跟进表查看SC</t>
        </is>
      </c>
      <c r="R23" t="inlineStr">
        <is>
          <t>杆式吸尘器市调</t>
        </is>
      </c>
      <c r="S23" s="3"/>
      <c r="T23" t="inlineStr">
        <is>
          <t>-</t>
        </is>
      </c>
      <c r="U23" s="3"/>
      <c r="V23" s="3"/>
      <c r="W23" t="inlineStr">
        <is>
          <t>SC杆式吸尘器 德国站</t>
        </is>
      </c>
      <c r="X23"/>
      <c r="Y23"/>
      <c r="Z23" s="2"/>
      <c r="AA23" s="2"/>
      <c r="AB23" s="2"/>
      <c r="AC23" t="inlineStr">
        <is>
          <t>X</t>
        </is>
      </c>
      <c r="AD23" t="inlineStr">
        <is>
          <t>X</t>
        </is>
      </c>
      <c r="AE23" t="inlineStr">
        <is>
          <t>X</t>
        </is>
      </c>
      <c r="AF23" t="inlineStr">
        <is>
          <t>X</t>
        </is>
      </c>
      <c r="AG23" s="2"/>
      <c r="AH23" s="2"/>
      <c r="AI23" t="inlineStr">
        <is>
          <t>-</t>
        </is>
      </c>
      <c r="AJ23" s="2"/>
      <c r="AK23"/>
      <c r="AL23" t="inlineStr">
        <is>
          <t>-</t>
        </is>
      </c>
      <c r="AM23"/>
      <c r="AN23"/>
      <c r="AO23"/>
      <c r="AP23" s="2"/>
      <c r="AQ23"/>
      <c r="AR23"/>
      <c r="AS23"/>
      <c r="AT23"/>
      <c r="AU23"/>
      <c r="AV23"/>
      <c r="AW23"/>
      <c r="AX23"/>
      <c r="AY23" s="2">
        <v>45748</v>
      </c>
      <c r="AZ23" s="2">
        <v>45765</v>
      </c>
      <c r="BA23" t="inlineStr">
        <is>
          <t>X</t>
        </is>
      </c>
      <c r="BB23" t="inlineStr">
        <is>
          <t>X</t>
        </is>
      </c>
      <c r="BC23" t="inlineStr">
        <is>
          <t>YES</t>
        </is>
      </c>
      <c r="BD23" t="inlineStr">
        <is>
          <t>YES</t>
        </is>
      </c>
      <c r="BE23" t="inlineStr">
        <is>
          <t>X</t>
        </is>
      </c>
      <c r="BF23" t="inlineStr">
        <is>
          <t>X</t>
        </is>
      </c>
      <c r="BG23" t="inlineStr">
        <is>
          <t>X</t>
        </is>
      </c>
      <c r="BH23" t="inlineStr">
        <is>
          <t>YES</t>
        </is>
      </c>
      <c r="BI23" t="inlineStr">
        <is>
          <t>X</t>
        </is>
      </c>
      <c r="BJ23" t="inlineStr">
        <is>
          <t>YES</t>
        </is>
      </c>
      <c r="BK23" t="inlineStr">
        <is>
          <t>X</t>
        </is>
      </c>
      <c r="BL23" t="inlineStr">
        <is>
          <t>X</t>
        </is>
      </c>
      <c r="BM23">
        <v>1</v>
      </c>
      <c r="BN23" t="inlineStr">
        <is>
          <t>YES</t>
        </is>
      </c>
      <c r="BO23" t="inlineStr">
        <is>
          <t>YES</t>
        </is>
      </c>
      <c r="BP23" t="inlineStr">
        <is>
          <t>X</t>
        </is>
      </c>
      <c r="BQ23" t="inlineStr">
        <is>
          <t>X</t>
        </is>
      </c>
      <c r="BR23" t="inlineStr">
        <is>
          <t>X</t>
        </is>
      </c>
      <c r="BS23" t="inlineStr">
        <is>
          <t>X</t>
        </is>
      </c>
      <c r="BT23" t="inlineStr">
        <is>
          <t>X</t>
        </is>
      </c>
      <c r="BU23" s="3"/>
      <c r="BV23" t="inlineStr">
        <is>
          <t>已完成</t>
        </is>
      </c>
      <c r="BW23"/>
      <c r="BX23" s="3"/>
      <c r="BY23" s="3"/>
    </row>
    <row r="24" ht="25.5" customHeight="1">
      <c r="A24" t="inlineStr">
        <is>
          <t>R0001UK</t>
        </is>
      </c>
      <c r="B24"/>
      <c r="C24" t="inlineStr">
        <is>
          <t>SC杆式吸尘器 英国站</t>
        </is>
      </c>
      <c r="D24" s="2">
        <v>45749</v>
      </c>
      <c r="E24" t="inlineStr">
        <is>
          <t>主推款</t>
        </is>
      </c>
      <c r="F24"/>
      <c r="G24"/>
      <c r="H24" t="inlineStr">
        <is>
          <t>UK</t>
        </is>
      </c>
      <c r="I24"/>
      <c r="J24"/>
      <c r="K24" t="inlineStr">
        <is>
          <t>X</t>
        </is>
      </c>
      <c r="L24" t="inlineStr">
        <is>
          <t>NO</t>
        </is>
      </c>
      <c r="M24" t="inlineStr">
        <is>
          <t>杆式吸尘器竞品分析-84ASIN</t>
        </is>
      </c>
      <c r="N24" t="inlineStr">
        <is>
          <t>NO</t>
        </is>
      </c>
      <c r="O24"/>
      <c r="P24"/>
      <c r="Q24" t="inlineStr">
        <is>
          <t>项目跟进表查看SC</t>
        </is>
      </c>
      <c r="R24"/>
      <c r="S24" s="3"/>
      <c r="T24" t="inlineStr">
        <is>
          <t>-</t>
        </is>
      </c>
      <c r="U24" s="3"/>
      <c r="V24" s="3"/>
      <c r="W24" t="inlineStr">
        <is>
          <t>SC杆式吸尘器 英国站</t>
        </is>
      </c>
      <c r="X24"/>
      <c r="Y24"/>
      <c r="Z24" s="2"/>
      <c r="AA24" s="2"/>
      <c r="AB24" s="2"/>
      <c r="AC24" t="inlineStr">
        <is>
          <t>X</t>
        </is>
      </c>
      <c r="AD24" t="inlineStr">
        <is>
          <t>X</t>
        </is>
      </c>
      <c r="AE24" t="inlineStr">
        <is>
          <t>X</t>
        </is>
      </c>
      <c r="AF24" t="inlineStr">
        <is>
          <t>X</t>
        </is>
      </c>
      <c r="AG24" s="2"/>
      <c r="AH24" s="2"/>
      <c r="AI24" t="inlineStr">
        <is>
          <t>-</t>
        </is>
      </c>
      <c r="AJ24" s="2"/>
      <c r="AK24"/>
      <c r="AL24" t="inlineStr">
        <is>
          <t>-</t>
        </is>
      </c>
      <c r="AM24"/>
      <c r="AN24"/>
      <c r="AO24"/>
      <c r="AP24" s="2"/>
      <c r="AQ24"/>
      <c r="AR24"/>
      <c r="AS24"/>
      <c r="AT24"/>
      <c r="AU24"/>
      <c r="AV24"/>
      <c r="AW24"/>
      <c r="AX24"/>
      <c r="AY24" s="2">
        <v>45748</v>
      </c>
      <c r="AZ24" s="2">
        <v>45765</v>
      </c>
      <c r="BA24" t="inlineStr">
        <is>
          <t>X</t>
        </is>
      </c>
      <c r="BB24" t="inlineStr">
        <is>
          <t>X</t>
        </is>
      </c>
      <c r="BC24" t="inlineStr">
        <is>
          <t>YES</t>
        </is>
      </c>
      <c r="BD24" t="inlineStr">
        <is>
          <t>YES</t>
        </is>
      </c>
      <c r="BE24" t="inlineStr">
        <is>
          <t>X</t>
        </is>
      </c>
      <c r="BF24" t="inlineStr">
        <is>
          <t>X</t>
        </is>
      </c>
      <c r="BG24" t="inlineStr">
        <is>
          <t>X</t>
        </is>
      </c>
      <c r="BH24" t="inlineStr">
        <is>
          <t>YES</t>
        </is>
      </c>
      <c r="BI24" t="inlineStr">
        <is>
          <t>X</t>
        </is>
      </c>
      <c r="BJ24" t="inlineStr">
        <is>
          <t>YES</t>
        </is>
      </c>
      <c r="BK24" t="inlineStr">
        <is>
          <t>X</t>
        </is>
      </c>
      <c r="BL24" t="inlineStr">
        <is>
          <t>X</t>
        </is>
      </c>
      <c r="BM24">
        <v>1</v>
      </c>
      <c r="BN24" t="inlineStr">
        <is>
          <t>YES</t>
        </is>
      </c>
      <c r="BO24" t="inlineStr">
        <is>
          <t>YES</t>
        </is>
      </c>
      <c r="BP24" t="inlineStr">
        <is>
          <t>X</t>
        </is>
      </c>
      <c r="BQ24" t="inlineStr">
        <is>
          <t>X</t>
        </is>
      </c>
      <c r="BR24" t="inlineStr">
        <is>
          <t>X</t>
        </is>
      </c>
      <c r="BS24" t="inlineStr">
        <is>
          <t>X</t>
        </is>
      </c>
      <c r="BT24" t="inlineStr">
        <is>
          <t>X</t>
        </is>
      </c>
      <c r="BU24" s="3"/>
      <c r="BV24" t="inlineStr">
        <is>
          <t>已完成</t>
        </is>
      </c>
      <c r="BW24"/>
      <c r="BX24" s="3"/>
      <c r="BY24" s="3"/>
    </row>
    <row r="25" ht="25.5" customHeight="1">
      <c r="A25" t="inlineStr">
        <is>
          <t>R0001UK</t>
        </is>
      </c>
      <c r="B25"/>
      <c r="C25"/>
      <c r="D25" s="2"/>
      <c r="E25"/>
      <c r="F25"/>
      <c r="G25"/>
      <c r="H25"/>
      <c r="I25"/>
      <c r="J25"/>
      <c r="K25"/>
      <c r="L25"/>
      <c r="M25"/>
      <c r="N25"/>
      <c r="O25"/>
      <c r="P25"/>
      <c r="Q25"/>
      <c r="R25"/>
      <c r="S25" s="3"/>
      <c r="T25" t="inlineStr">
        <is>
          <t>-</t>
        </is>
      </c>
      <c r="U25" s="3"/>
      <c r="V25" s="3"/>
      <c r="W25"/>
      <c r="X25"/>
      <c r="Y25"/>
      <c r="Z25" s="2"/>
      <c r="AA25" s="2"/>
      <c r="AB25" s="2"/>
      <c r="AC25"/>
      <c r="AD25"/>
      <c r="AE25"/>
      <c r="AF25"/>
      <c r="AG25" s="2"/>
      <c r="AH25" s="2"/>
      <c r="AI25" t="inlineStr">
        <is>
          <t>-</t>
        </is>
      </c>
      <c r="AJ25" s="2"/>
      <c r="AK25"/>
      <c r="AL25" t="inlineStr">
        <is>
          <t>-</t>
        </is>
      </c>
      <c r="AM25"/>
      <c r="AN25"/>
      <c r="AO25"/>
      <c r="AP25" s="2"/>
      <c r="AQ25"/>
      <c r="AR25"/>
      <c r="AS25"/>
      <c r="AT25"/>
      <c r="AU25"/>
      <c r="AV25"/>
      <c r="AW25"/>
      <c r="AX25"/>
      <c r="AY25" s="2">
        <v>45748</v>
      </c>
      <c r="AZ25" s="2">
        <v>45765</v>
      </c>
      <c r="BA25" t="inlineStr">
        <is>
          <t>X</t>
        </is>
      </c>
      <c r="BB25" t="inlineStr">
        <is>
          <t>X</t>
        </is>
      </c>
      <c r="BC25" t="inlineStr">
        <is>
          <t>YES</t>
        </is>
      </c>
      <c r="BD25" t="inlineStr">
        <is>
          <t>YES</t>
        </is>
      </c>
      <c r="BE25" t="inlineStr">
        <is>
          <t>X</t>
        </is>
      </c>
      <c r="BF25" t="inlineStr">
        <is>
          <t>X</t>
        </is>
      </c>
      <c r="BG25" t="inlineStr">
        <is>
          <t>X</t>
        </is>
      </c>
      <c r="BH25" t="inlineStr">
        <is>
          <t>YES</t>
        </is>
      </c>
      <c r="BI25" t="inlineStr">
        <is>
          <t>X</t>
        </is>
      </c>
      <c r="BJ25" t="inlineStr">
        <is>
          <t>YES</t>
        </is>
      </c>
      <c r="BK25" t="inlineStr">
        <is>
          <t>X</t>
        </is>
      </c>
      <c r="BL25" t="inlineStr">
        <is>
          <t>X</t>
        </is>
      </c>
      <c r="BM25">
        <v>1</v>
      </c>
      <c r="BN25" t="inlineStr">
        <is>
          <t>YES</t>
        </is>
      </c>
      <c r="BO25" t="inlineStr">
        <is>
          <t>YES</t>
        </is>
      </c>
      <c r="BP25" t="inlineStr">
        <is>
          <t>X</t>
        </is>
      </c>
      <c r="BQ25" t="inlineStr">
        <is>
          <t>X</t>
        </is>
      </c>
      <c r="BR25" t="inlineStr">
        <is>
          <t>X</t>
        </is>
      </c>
      <c r="BS25" t="inlineStr">
        <is>
          <t>X</t>
        </is>
      </c>
      <c r="BT25" t="inlineStr">
        <is>
          <t>X</t>
        </is>
      </c>
      <c r="BU25" s="3"/>
      <c r="BV25" t="inlineStr">
        <is>
          <t>已完成</t>
        </is>
      </c>
      <c r="BW25"/>
      <c r="BX25" s="3"/>
      <c r="BY25" s="3"/>
    </row>
    <row r="26" ht="25.5" customHeight="1">
      <c r="A26" t="inlineStr">
        <is>
          <t>R0001UK</t>
        </is>
      </c>
      <c r="B26"/>
      <c r="C26" t="inlineStr">
        <is>
          <t>SC空气净化器德国站</t>
        </is>
      </c>
      <c r="D26" s="2">
        <v>45754</v>
      </c>
      <c r="E26" t="inlineStr">
        <is>
          <t>主推款</t>
        </is>
      </c>
      <c r="F26"/>
      <c r="G26"/>
      <c r="H26" t="inlineStr">
        <is>
          <t>DE</t>
        </is>
      </c>
      <c r="I26"/>
      <c r="J26"/>
      <c r="K26" t="inlineStr">
        <is>
          <t>X</t>
        </is>
      </c>
      <c r="L26" t="inlineStr">
        <is>
          <t>NO</t>
        </is>
      </c>
      <c r="M26" t="inlineStr">
        <is>
          <t>空气净化器 竞品分析</t>
        </is>
      </c>
      <c r="N26" t="inlineStr">
        <is>
          <t>NO</t>
        </is>
      </c>
      <c r="O26" t="inlineStr">
        <is>
          <t>德国空气净化器标题和关键词库搭建</t>
        </is>
      </c>
      <c r="P26"/>
      <c r="Q26" t="inlineStr">
        <is>
          <t>德国空气净化器 - 项目跟进表-阳亚运-20250611</t>
        </is>
      </c>
      <c r="R26" t="inlineStr">
        <is>
          <t>空气净化器市调</t>
        </is>
      </c>
      <c r="S26" s="3"/>
      <c r="T26" t="inlineStr">
        <is>
          <t>-</t>
        </is>
      </c>
      <c r="U26" s="3"/>
      <c r="V26" s="3"/>
      <c r="W26" t="inlineStr">
        <is>
          <t>SC空气净化器德国站</t>
        </is>
      </c>
      <c r="X26"/>
      <c r="Y26"/>
      <c r="Z26" s="2"/>
      <c r="AA26" s="2"/>
      <c r="AB26" s="2"/>
      <c r="AC26" t="inlineStr">
        <is>
          <t>X</t>
        </is>
      </c>
      <c r="AD26" t="inlineStr">
        <is>
          <t>X</t>
        </is>
      </c>
      <c r="AE26" t="inlineStr">
        <is>
          <t>X</t>
        </is>
      </c>
      <c r="AF26" t="inlineStr">
        <is>
          <t>X</t>
        </is>
      </c>
      <c r="AG26" s="2"/>
      <c r="AH26" s="2"/>
      <c r="AI26" t="inlineStr">
        <is>
          <t>-</t>
        </is>
      </c>
      <c r="AJ26" s="2"/>
      <c r="AK26"/>
      <c r="AL26" t="inlineStr">
        <is>
          <t>-</t>
        </is>
      </c>
      <c r="AM26"/>
      <c r="AN26"/>
      <c r="AO26"/>
      <c r="AP26" s="2"/>
      <c r="AQ26"/>
      <c r="AR26"/>
      <c r="AS26"/>
      <c r="AT26"/>
      <c r="AU26"/>
      <c r="AV26"/>
      <c r="AW26"/>
      <c r="AX26"/>
      <c r="AY26" s="2">
        <v>45748</v>
      </c>
      <c r="AZ26" s="2">
        <v>45765</v>
      </c>
      <c r="BA26" t="inlineStr">
        <is>
          <t>X</t>
        </is>
      </c>
      <c r="BB26" t="inlineStr">
        <is>
          <t>X</t>
        </is>
      </c>
      <c r="BC26" t="inlineStr">
        <is>
          <t>YES</t>
        </is>
      </c>
      <c r="BD26" t="inlineStr">
        <is>
          <t>YES</t>
        </is>
      </c>
      <c r="BE26" t="inlineStr">
        <is>
          <t>X</t>
        </is>
      </c>
      <c r="BF26" t="inlineStr">
        <is>
          <t>X</t>
        </is>
      </c>
      <c r="BG26" t="inlineStr">
        <is>
          <t>X</t>
        </is>
      </c>
      <c r="BH26" t="inlineStr">
        <is>
          <t>YES</t>
        </is>
      </c>
      <c r="BI26" t="inlineStr">
        <is>
          <t>X</t>
        </is>
      </c>
      <c r="BJ26" t="inlineStr">
        <is>
          <t>YES</t>
        </is>
      </c>
      <c r="BK26" t="inlineStr">
        <is>
          <t>X</t>
        </is>
      </c>
      <c r="BL26" t="inlineStr">
        <is>
          <t>X</t>
        </is>
      </c>
      <c r="BM26">
        <v>1</v>
      </c>
      <c r="BN26" t="inlineStr">
        <is>
          <t>YES</t>
        </is>
      </c>
      <c r="BO26" t="inlineStr">
        <is>
          <t>YES</t>
        </is>
      </c>
      <c r="BP26" t="inlineStr">
        <is>
          <t>X</t>
        </is>
      </c>
      <c r="BQ26" t="inlineStr">
        <is>
          <t>X</t>
        </is>
      </c>
      <c r="BR26" t="inlineStr">
        <is>
          <t>X</t>
        </is>
      </c>
      <c r="BS26" t="inlineStr">
        <is>
          <t>X</t>
        </is>
      </c>
      <c r="BT26" t="inlineStr">
        <is>
          <t>X</t>
        </is>
      </c>
      <c r="BU26" s="3"/>
      <c r="BV26" t="inlineStr">
        <is>
          <t>已完成</t>
        </is>
      </c>
      <c r="BW26"/>
      <c r="BX26" s="3"/>
      <c r="BY26" s="3"/>
    </row>
    <row r="27" ht="25.5" customHeight="1">
      <c r="A27" t="inlineStr">
        <is>
          <t>R0001UK</t>
        </is>
      </c>
      <c r="B27"/>
      <c r="C27" t="inlineStr">
        <is>
          <t>SC空气净化器英国站</t>
        </is>
      </c>
      <c r="D27" s="2">
        <v>45754</v>
      </c>
      <c r="E27" t="inlineStr">
        <is>
          <t>主推款</t>
        </is>
      </c>
      <c r="F27"/>
      <c r="G27"/>
      <c r="H27" t="inlineStr">
        <is>
          <t>UK</t>
        </is>
      </c>
      <c r="I27"/>
      <c r="J27"/>
      <c r="K27" t="inlineStr">
        <is>
          <t>X</t>
        </is>
      </c>
      <c r="L27"/>
      <c r="M27" t="inlineStr">
        <is>
          <t>空气净化器 竞品分析</t>
        </is>
      </c>
      <c r="N27"/>
      <c r="O27"/>
      <c r="P27"/>
      <c r="Q27" t="inlineStr">
        <is>
          <t>英国空气净化器 - 项目跟进表-阳亚运-20250611</t>
        </is>
      </c>
      <c r="R27" t="inlineStr">
        <is>
          <t>空气净化器市调</t>
        </is>
      </c>
      <c r="S27" s="3"/>
      <c r="T27" t="inlineStr">
        <is>
          <t>-</t>
        </is>
      </c>
      <c r="U27" s="3"/>
      <c r="V27" s="3"/>
      <c r="W27" t="inlineStr">
        <is>
          <t>SC空气净化器英国站</t>
        </is>
      </c>
      <c r="X27"/>
      <c r="Y27"/>
      <c r="Z27" s="2"/>
      <c r="AA27" s="2"/>
      <c r="AB27" s="2"/>
      <c r="AC27" t="inlineStr">
        <is>
          <t>X</t>
        </is>
      </c>
      <c r="AD27" t="inlineStr">
        <is>
          <t>X</t>
        </is>
      </c>
      <c r="AE27" t="inlineStr">
        <is>
          <t>X</t>
        </is>
      </c>
      <c r="AF27" t="inlineStr">
        <is>
          <t>X</t>
        </is>
      </c>
      <c r="AG27" s="2"/>
      <c r="AH27" s="2"/>
      <c r="AI27" t="inlineStr">
        <is>
          <t>-</t>
        </is>
      </c>
      <c r="AJ27" s="2"/>
      <c r="AK27"/>
      <c r="AL27" t="inlineStr">
        <is>
          <t>-</t>
        </is>
      </c>
      <c r="AM27"/>
      <c r="AN27"/>
      <c r="AO27"/>
      <c r="AP27" s="2"/>
      <c r="AQ27"/>
      <c r="AR27"/>
      <c r="AS27"/>
      <c r="AT27"/>
      <c r="AU27"/>
      <c r="AV27"/>
      <c r="AW27"/>
      <c r="AX27"/>
      <c r="AY27" s="2">
        <v>45748</v>
      </c>
      <c r="AZ27" s="2">
        <v>45765</v>
      </c>
      <c r="BA27" t="inlineStr">
        <is>
          <t>X</t>
        </is>
      </c>
      <c r="BB27" t="inlineStr">
        <is>
          <t>X</t>
        </is>
      </c>
      <c r="BC27" t="inlineStr">
        <is>
          <t>YES</t>
        </is>
      </c>
      <c r="BD27" t="inlineStr">
        <is>
          <t>YES</t>
        </is>
      </c>
      <c r="BE27" t="inlineStr">
        <is>
          <t>X</t>
        </is>
      </c>
      <c r="BF27" t="inlineStr">
        <is>
          <t>X</t>
        </is>
      </c>
      <c r="BG27" t="inlineStr">
        <is>
          <t>X</t>
        </is>
      </c>
      <c r="BH27" t="inlineStr">
        <is>
          <t>YES</t>
        </is>
      </c>
      <c r="BI27" t="inlineStr">
        <is>
          <t>X</t>
        </is>
      </c>
      <c r="BJ27" t="inlineStr">
        <is>
          <t>YES</t>
        </is>
      </c>
      <c r="BK27" t="inlineStr">
        <is>
          <t>X</t>
        </is>
      </c>
      <c r="BL27" t="inlineStr">
        <is>
          <t>X</t>
        </is>
      </c>
      <c r="BM27">
        <v>1</v>
      </c>
      <c r="BN27" t="inlineStr">
        <is>
          <t>YES</t>
        </is>
      </c>
      <c r="BO27" t="inlineStr">
        <is>
          <t>YES</t>
        </is>
      </c>
      <c r="BP27" t="inlineStr">
        <is>
          <t>X</t>
        </is>
      </c>
      <c r="BQ27" t="inlineStr">
        <is>
          <t>X</t>
        </is>
      </c>
      <c r="BR27" t="inlineStr">
        <is>
          <t>X</t>
        </is>
      </c>
      <c r="BS27" t="inlineStr">
        <is>
          <t>X</t>
        </is>
      </c>
      <c r="BT27" t="inlineStr">
        <is>
          <t>X</t>
        </is>
      </c>
      <c r="BU27" s="3"/>
      <c r="BV27" t="inlineStr">
        <is>
          <t>已完成</t>
        </is>
      </c>
      <c r="BW27"/>
      <c r="BX27" s="3"/>
      <c r="BY27" s="3"/>
    </row>
    <row r="28" ht="25.5" customHeight="1">
      <c r="A28" t="inlineStr">
        <is>
          <t>R0001UK</t>
        </is>
      </c>
      <c r="B28"/>
      <c r="C28" t="inlineStr">
        <is>
          <t>VC空气净化器  德国站</t>
        </is>
      </c>
      <c r="D28" s="2">
        <v>45754</v>
      </c>
      <c r="E28" t="inlineStr">
        <is>
          <t>主推款</t>
        </is>
      </c>
      <c r="F28"/>
      <c r="G28"/>
      <c r="H28" t="inlineStr">
        <is>
          <t>DE</t>
        </is>
      </c>
      <c r="I28"/>
      <c r="J28"/>
      <c r="K28" t="inlineStr">
        <is>
          <t>X</t>
        </is>
      </c>
      <c r="L28" t="inlineStr">
        <is>
          <t>NO</t>
        </is>
      </c>
      <c r="M28" t="inlineStr">
        <is>
          <t>空气净化器 竞品分析</t>
        </is>
      </c>
      <c r="N28" t="inlineStr">
        <is>
          <t>NO</t>
        </is>
      </c>
      <c r="O28" t="inlineStr">
        <is>
          <t>德国空气净化器标题和关键词库搭建</t>
        </is>
      </c>
      <c r="P28"/>
      <c r="Q28" t="inlineStr">
        <is>
          <t>德国空气净化器 - 项目跟进表-阳亚运-20250611</t>
        </is>
      </c>
      <c r="R28" t="inlineStr">
        <is>
          <t>空气净化器市调</t>
        </is>
      </c>
      <c r="S28" s="3"/>
      <c r="T28" t="inlineStr">
        <is>
          <t>-</t>
        </is>
      </c>
      <c r="U28" s="3"/>
      <c r="V28" s="3"/>
      <c r="W28" t="inlineStr">
        <is>
          <t>VC空气净化器  德国站</t>
        </is>
      </c>
      <c r="X28"/>
      <c r="Y28"/>
      <c r="Z28" s="2"/>
      <c r="AA28" s="2"/>
      <c r="AB28" s="2"/>
      <c r="AC28" t="inlineStr">
        <is>
          <t>X</t>
        </is>
      </c>
      <c r="AD28" t="inlineStr">
        <is>
          <t>X</t>
        </is>
      </c>
      <c r="AE28" t="inlineStr">
        <is>
          <t>X</t>
        </is>
      </c>
      <c r="AF28" t="inlineStr">
        <is>
          <t>X</t>
        </is>
      </c>
      <c r="AG28" s="2"/>
      <c r="AH28" s="2"/>
      <c r="AI28" t="inlineStr">
        <is>
          <t>-</t>
        </is>
      </c>
      <c r="AJ28" s="2"/>
      <c r="AK28"/>
      <c r="AL28" t="inlineStr">
        <is>
          <t>-</t>
        </is>
      </c>
      <c r="AM28"/>
      <c r="AN28"/>
      <c r="AO28"/>
      <c r="AP28" s="2"/>
      <c r="AQ28"/>
      <c r="AR28"/>
      <c r="AS28"/>
      <c r="AT28"/>
      <c r="AU28"/>
      <c r="AV28"/>
      <c r="AW28"/>
      <c r="AX28"/>
      <c r="AY28" s="2">
        <v>45748</v>
      </c>
      <c r="AZ28" s="2">
        <v>45765</v>
      </c>
      <c r="BA28" t="inlineStr">
        <is>
          <t>X</t>
        </is>
      </c>
      <c r="BB28" t="inlineStr">
        <is>
          <t>X</t>
        </is>
      </c>
      <c r="BC28" t="inlineStr">
        <is>
          <t>YES</t>
        </is>
      </c>
      <c r="BD28" t="inlineStr">
        <is>
          <t>YES</t>
        </is>
      </c>
      <c r="BE28" t="inlineStr">
        <is>
          <t>X</t>
        </is>
      </c>
      <c r="BF28" t="inlineStr">
        <is>
          <t>X</t>
        </is>
      </c>
      <c r="BG28" t="inlineStr">
        <is>
          <t>X</t>
        </is>
      </c>
      <c r="BH28" t="inlineStr">
        <is>
          <t>YES</t>
        </is>
      </c>
      <c r="BI28" t="inlineStr">
        <is>
          <t>X</t>
        </is>
      </c>
      <c r="BJ28" t="inlineStr">
        <is>
          <t>YES</t>
        </is>
      </c>
      <c r="BK28" t="inlineStr">
        <is>
          <t>X</t>
        </is>
      </c>
      <c r="BL28" t="inlineStr">
        <is>
          <t>X</t>
        </is>
      </c>
      <c r="BM28">
        <v>1</v>
      </c>
      <c r="BN28" t="inlineStr">
        <is>
          <t>YES</t>
        </is>
      </c>
      <c r="BO28" t="inlineStr">
        <is>
          <t>YES</t>
        </is>
      </c>
      <c r="BP28" t="inlineStr">
        <is>
          <t>X</t>
        </is>
      </c>
      <c r="BQ28" t="inlineStr">
        <is>
          <t>X</t>
        </is>
      </c>
      <c r="BR28" t="inlineStr">
        <is>
          <t>X</t>
        </is>
      </c>
      <c r="BS28" t="inlineStr">
        <is>
          <t>X</t>
        </is>
      </c>
      <c r="BT28" t="inlineStr">
        <is>
          <t>X</t>
        </is>
      </c>
      <c r="BU28" s="3"/>
      <c r="BV28" t="inlineStr">
        <is>
          <t>已完成</t>
        </is>
      </c>
      <c r="BW28"/>
      <c r="BX28" s="3"/>
      <c r="BY28" s="3"/>
    </row>
    <row r="29" ht="25.5" customHeight="1">
      <c r="A29" t="inlineStr">
        <is>
          <t>R0001UK</t>
        </is>
      </c>
      <c r="B29"/>
      <c r="C29" t="inlineStr">
        <is>
          <t>VC空气净化器  英国站</t>
        </is>
      </c>
      <c r="D29" s="2">
        <v>45754</v>
      </c>
      <c r="E29" t="inlineStr">
        <is>
          <t>主推款</t>
        </is>
      </c>
      <c r="F29"/>
      <c r="G29"/>
      <c r="H29" t="inlineStr">
        <is>
          <t>UK</t>
        </is>
      </c>
      <c r="I29"/>
      <c r="J29"/>
      <c r="K29" t="inlineStr">
        <is>
          <t>X</t>
        </is>
      </c>
      <c r="L29"/>
      <c r="M29" t="inlineStr">
        <is>
          <t>空气净化器 竞品分析</t>
        </is>
      </c>
      <c r="N29"/>
      <c r="O29"/>
      <c r="P29"/>
      <c r="Q29" t="inlineStr">
        <is>
          <t>英国空气净化器 - 项目跟进表-阳亚运-20250611</t>
        </is>
      </c>
      <c r="R29" t="inlineStr">
        <is>
          <t>空气净化器市调</t>
        </is>
      </c>
      <c r="S29" s="3"/>
      <c r="T29" t="inlineStr">
        <is>
          <t>-</t>
        </is>
      </c>
      <c r="U29" s="3"/>
      <c r="V29" s="3"/>
      <c r="W29" t="inlineStr">
        <is>
          <t>VC空气净化器  英国站</t>
        </is>
      </c>
      <c r="X29"/>
      <c r="Y29"/>
      <c r="Z29" s="2"/>
      <c r="AA29" s="2"/>
      <c r="AB29" s="2"/>
      <c r="AC29" t="inlineStr">
        <is>
          <t>X</t>
        </is>
      </c>
      <c r="AD29" t="inlineStr">
        <is>
          <t>X</t>
        </is>
      </c>
      <c r="AE29" t="inlineStr">
        <is>
          <t>X</t>
        </is>
      </c>
      <c r="AF29" t="inlineStr">
        <is>
          <t>X</t>
        </is>
      </c>
      <c r="AG29" s="2"/>
      <c r="AH29" s="2"/>
      <c r="AI29" t="inlineStr">
        <is>
          <t>-</t>
        </is>
      </c>
      <c r="AJ29" s="2"/>
      <c r="AK29"/>
      <c r="AL29" t="inlineStr">
        <is>
          <t>-</t>
        </is>
      </c>
      <c r="AM29"/>
      <c r="AN29"/>
      <c r="AO29"/>
      <c r="AP29" s="2"/>
      <c r="AQ29"/>
      <c r="AR29"/>
      <c r="AS29"/>
      <c r="AT29"/>
      <c r="AU29"/>
      <c r="AV29"/>
      <c r="AW29"/>
      <c r="AX29"/>
      <c r="AY29" s="2">
        <v>45748</v>
      </c>
      <c r="AZ29" s="2">
        <v>45765</v>
      </c>
      <c r="BA29" t="inlineStr">
        <is>
          <t>X</t>
        </is>
      </c>
      <c r="BB29" t="inlineStr">
        <is>
          <t>X</t>
        </is>
      </c>
      <c r="BC29" t="inlineStr">
        <is>
          <t>YES</t>
        </is>
      </c>
      <c r="BD29" t="inlineStr">
        <is>
          <t>YES</t>
        </is>
      </c>
      <c r="BE29" t="inlineStr">
        <is>
          <t>X</t>
        </is>
      </c>
      <c r="BF29" t="inlineStr">
        <is>
          <t>X</t>
        </is>
      </c>
      <c r="BG29" t="inlineStr">
        <is>
          <t>X</t>
        </is>
      </c>
      <c r="BH29" t="inlineStr">
        <is>
          <t>YES</t>
        </is>
      </c>
      <c r="BI29" t="inlineStr">
        <is>
          <t>X</t>
        </is>
      </c>
      <c r="BJ29" t="inlineStr">
        <is>
          <t>YES</t>
        </is>
      </c>
      <c r="BK29" t="inlineStr">
        <is>
          <t>X</t>
        </is>
      </c>
      <c r="BL29" t="inlineStr">
        <is>
          <t>X</t>
        </is>
      </c>
      <c r="BM29">
        <v>1</v>
      </c>
      <c r="BN29" t="inlineStr">
        <is>
          <t>YES</t>
        </is>
      </c>
      <c r="BO29" t="inlineStr">
        <is>
          <t>YES</t>
        </is>
      </c>
      <c r="BP29" t="inlineStr">
        <is>
          <t>X</t>
        </is>
      </c>
      <c r="BQ29" t="inlineStr">
        <is>
          <t>X</t>
        </is>
      </c>
      <c r="BR29" t="inlineStr">
        <is>
          <t>X</t>
        </is>
      </c>
      <c r="BS29" t="inlineStr">
        <is>
          <t>X</t>
        </is>
      </c>
      <c r="BT29" t="inlineStr">
        <is>
          <t>X</t>
        </is>
      </c>
      <c r="BU29" s="3"/>
      <c r="BV29" t="inlineStr">
        <is>
          <t>已完成</t>
        </is>
      </c>
      <c r="BW29"/>
      <c r="BX29" s="3"/>
      <c r="BY29" s="3"/>
    </row>
    <row r="30" ht="25.5" customHeight="1">
      <c r="A30" t="inlineStr">
        <is>
          <t>R0001UK</t>
        </is>
      </c>
      <c r="B30"/>
      <c r="C30"/>
      <c r="D30" s="2"/>
      <c r="E30"/>
      <c r="F30"/>
      <c r="G30"/>
      <c r="H30"/>
      <c r="I30"/>
      <c r="J30"/>
      <c r="K30"/>
      <c r="L30"/>
      <c r="M30"/>
      <c r="N30"/>
      <c r="O30"/>
      <c r="P30"/>
      <c r="Q30"/>
      <c r="R30"/>
      <c r="S30" s="3"/>
      <c r="T30" t="inlineStr">
        <is>
          <t>-</t>
        </is>
      </c>
      <c r="U30" s="3"/>
      <c r="V30" s="3"/>
      <c r="W30"/>
      <c r="X30"/>
      <c r="Y30"/>
      <c r="Z30" s="2"/>
      <c r="AA30" s="2"/>
      <c r="AB30" s="2"/>
      <c r="AC30"/>
      <c r="AD30"/>
      <c r="AE30"/>
      <c r="AF30"/>
      <c r="AG30" s="2"/>
      <c r="AH30" s="2"/>
      <c r="AI30"/>
      <c r="AJ30" s="2"/>
      <c r="AK30"/>
      <c r="AL30"/>
      <c r="AM30"/>
      <c r="AN30"/>
      <c r="AO30"/>
      <c r="AP30" s="2"/>
      <c r="AQ30"/>
      <c r="AR30"/>
      <c r="AS30"/>
      <c r="AT30"/>
      <c r="AU30"/>
      <c r="AV30"/>
      <c r="AW30"/>
      <c r="AX30"/>
      <c r="AY30" s="2"/>
      <c r="AZ30" s="2"/>
      <c r="BA30"/>
      <c r="BB30"/>
      <c r="BC30"/>
      <c r="BD30"/>
      <c r="BE30"/>
      <c r="BF30"/>
      <c r="BG30"/>
      <c r="BH30"/>
      <c r="BI30"/>
      <c r="BJ30"/>
      <c r="BK30"/>
      <c r="BL30"/>
      <c r="BM30"/>
      <c r="BN30"/>
      <c r="BO30"/>
      <c r="BP30"/>
      <c r="BQ30"/>
      <c r="BR30"/>
      <c r="BS30"/>
      <c r="BT30"/>
      <c r="BU30" s="3"/>
      <c r="BV30"/>
      <c r="BW30"/>
      <c r="BX30" s="3"/>
      <c r="BY30" s="3"/>
    </row>
    <row r="31" ht="25.5" customHeight="1">
      <c r="A31" t="inlineStr">
        <is>
          <t>R0001UK</t>
        </is>
      </c>
      <c r="B31"/>
      <c r="C31"/>
      <c r="D31" s="2"/>
      <c r="E31"/>
      <c r="F31"/>
      <c r="G31"/>
      <c r="H31"/>
      <c r="I31"/>
      <c r="J31"/>
      <c r="K31"/>
      <c r="L31"/>
      <c r="M31"/>
      <c r="N31"/>
      <c r="O31"/>
      <c r="P31"/>
      <c r="Q31"/>
      <c r="R31"/>
      <c r="S31" s="3"/>
      <c r="T31" t="inlineStr">
        <is>
          <t>-</t>
        </is>
      </c>
      <c r="U31" s="3"/>
      <c r="V31" s="3"/>
      <c r="W31"/>
      <c r="X31"/>
      <c r="Y31"/>
      <c r="Z31" s="2"/>
      <c r="AA31" s="2"/>
      <c r="AB31" s="2"/>
      <c r="AC31"/>
      <c r="AD31"/>
      <c r="AE31"/>
      <c r="AF31"/>
      <c r="AG31" s="2"/>
      <c r="AH31" s="2"/>
      <c r="AI31"/>
      <c r="AJ31" s="2"/>
      <c r="AK31"/>
      <c r="AL31"/>
      <c r="AM31"/>
      <c r="AN31"/>
      <c r="AO31"/>
      <c r="AP31" s="2"/>
      <c r="AQ31"/>
      <c r="AR31"/>
      <c r="AS31"/>
      <c r="AT31"/>
      <c r="AU31"/>
      <c r="AV31"/>
      <c r="AW31"/>
      <c r="AX31"/>
      <c r="AY31" s="2"/>
      <c r="AZ31" s="2"/>
      <c r="BA31"/>
      <c r="BB31"/>
      <c r="BC31"/>
      <c r="BD31"/>
      <c r="BE31"/>
      <c r="BF31"/>
      <c r="BG31"/>
      <c r="BH31"/>
      <c r="BI31"/>
      <c r="BJ31"/>
      <c r="BK31"/>
      <c r="BL31"/>
      <c r="BM31"/>
      <c r="BN31"/>
      <c r="BO31"/>
      <c r="BP31"/>
      <c r="BQ31"/>
      <c r="BR31"/>
      <c r="BS31"/>
      <c r="BT31"/>
      <c r="BU31" s="3"/>
      <c r="BV31"/>
      <c r="BW31"/>
      <c r="BX31" s="3"/>
      <c r="BY31" s="3"/>
    </row>
    <row r="32" ht="25.5" customHeight="1">
      <c r="A32" t="inlineStr">
        <is>
          <t>R0001UK</t>
        </is>
      </c>
      <c r="B32"/>
      <c r="C32" t="inlineStr">
        <is>
          <t>牙齿美白德国</t>
        </is>
      </c>
      <c r="D32" s="2">
        <v>45758</v>
      </c>
      <c r="E32" t="inlineStr">
        <is>
          <t>主推款</t>
        </is>
      </c>
      <c r="F32"/>
      <c r="G32"/>
      <c r="H32" t="inlineStr">
        <is>
          <t>DE</t>
        </is>
      </c>
      <c r="I32"/>
      <c r="J32"/>
      <c r="K32" t="inlineStr">
        <is>
          <t>X</t>
        </is>
      </c>
      <c r="L32" t="inlineStr">
        <is>
          <t>NO</t>
        </is>
      </c>
      <c r="M32"/>
      <c r="N32" t="inlineStr">
        <is>
          <t>NO</t>
        </is>
      </c>
      <c r="O32"/>
      <c r="P32"/>
      <c r="Q32"/>
      <c r="R32"/>
      <c r="S32" s="3"/>
      <c r="T32" t="inlineStr">
        <is>
          <t>-</t>
        </is>
      </c>
      <c r="U32" s="3"/>
      <c r="V32" s="3"/>
      <c r="W32" t="inlineStr">
        <is>
          <t>牙齿美白德国</t>
        </is>
      </c>
      <c r="X32"/>
      <c r="Y32"/>
      <c r="Z32" s="2"/>
      <c r="AA32" s="2"/>
      <c r="AB32" s="2"/>
      <c r="AC32"/>
      <c r="AD32"/>
      <c r="AE32"/>
      <c r="AF32"/>
      <c r="AG32" s="2"/>
      <c r="AH32" s="2"/>
      <c r="AI32"/>
      <c r="AJ32" s="2"/>
      <c r="AK32"/>
      <c r="AL32"/>
      <c r="AM32"/>
      <c r="AN32"/>
      <c r="AO32"/>
      <c r="AP32" s="2"/>
      <c r="AQ32"/>
      <c r="AR32"/>
      <c r="AS32"/>
      <c r="AT32"/>
      <c r="AU32"/>
      <c r="AV32"/>
      <c r="AW32"/>
      <c r="AX32"/>
      <c r="AY32" s="2"/>
      <c r="AZ32" s="2"/>
      <c r="BA32"/>
      <c r="BB32"/>
      <c r="BC32"/>
      <c r="BD32"/>
      <c r="BE32"/>
      <c r="BF32"/>
      <c r="BG32"/>
      <c r="BH32"/>
      <c r="BI32"/>
      <c r="BJ32"/>
      <c r="BK32"/>
      <c r="BL32"/>
      <c r="BM32"/>
      <c r="BN32"/>
      <c r="BO32"/>
      <c r="BP32"/>
      <c r="BQ32"/>
      <c r="BR32"/>
      <c r="BS32"/>
      <c r="BT32"/>
      <c r="BU32" s="3"/>
      <c r="BV32"/>
      <c r="BW32"/>
      <c r="BX32" s="3"/>
      <c r="BY32" s="3"/>
    </row>
    <row r="33" ht="25.5" customHeight="1">
      <c r="A33" t="inlineStr">
        <is>
          <t>R0001UK</t>
        </is>
      </c>
      <c r="B33"/>
      <c r="C33" t="inlineStr">
        <is>
          <t>牙齿美白英国</t>
        </is>
      </c>
      <c r="D33" s="2">
        <v>45758</v>
      </c>
      <c r="E33" t="inlineStr">
        <is>
          <t>主推款</t>
        </is>
      </c>
      <c r="F33"/>
      <c r="G33"/>
      <c r="H33" t="inlineStr">
        <is>
          <t>UK</t>
        </is>
      </c>
      <c r="I33"/>
      <c r="J33"/>
      <c r="K33" t="inlineStr">
        <is>
          <t>X</t>
        </is>
      </c>
      <c r="L33" t="inlineStr">
        <is>
          <t>NO</t>
        </is>
      </c>
      <c r="M33"/>
      <c r="N33" t="inlineStr">
        <is>
          <t>NO</t>
        </is>
      </c>
      <c r="O33"/>
      <c r="P33"/>
      <c r="Q33"/>
      <c r="R33"/>
      <c r="S33" s="3"/>
      <c r="T33" t="inlineStr">
        <is>
          <t>-</t>
        </is>
      </c>
      <c r="U33" s="3"/>
      <c r="V33" s="3"/>
      <c r="W33" t="inlineStr">
        <is>
          <t>牙齿美白英国</t>
        </is>
      </c>
      <c r="X33"/>
      <c r="Y33"/>
      <c r="Z33" s="2"/>
      <c r="AA33" s="2"/>
      <c r="AB33" s="2"/>
      <c r="AC33"/>
      <c r="AD33"/>
      <c r="AE33"/>
      <c r="AF33"/>
      <c r="AG33" s="2"/>
      <c r="AH33" s="2"/>
      <c r="AI33"/>
      <c r="AJ33" s="2"/>
      <c r="AK33"/>
      <c r="AL33"/>
      <c r="AM33"/>
      <c r="AN33"/>
      <c r="AO33"/>
      <c r="AP33" s="2"/>
      <c r="AQ33"/>
      <c r="AR33"/>
      <c r="AS33"/>
      <c r="AT33"/>
      <c r="AU33"/>
      <c r="AV33"/>
      <c r="AW33"/>
      <c r="AX33"/>
      <c r="AY33" s="2"/>
      <c r="AZ33" s="2"/>
      <c r="BA33"/>
      <c r="BB33"/>
      <c r="BC33"/>
      <c r="BD33"/>
      <c r="BE33"/>
      <c r="BF33"/>
      <c r="BG33"/>
      <c r="BH33"/>
      <c r="BI33"/>
      <c r="BJ33"/>
      <c r="BK33"/>
      <c r="BL33"/>
      <c r="BM33"/>
      <c r="BN33"/>
      <c r="BO33"/>
      <c r="BP33"/>
      <c r="BQ33"/>
      <c r="BR33"/>
      <c r="BS33"/>
      <c r="BT33"/>
      <c r="BU33" s="3"/>
      <c r="BV33"/>
      <c r="BW33"/>
      <c r="BX33" s="3"/>
      <c r="BY33" s="3"/>
    </row>
    <row r="34" ht="25.5" customHeight="1">
      <c r="A34" t="inlineStr">
        <is>
          <t>R0001UK</t>
        </is>
      </c>
      <c r="B34"/>
      <c r="C34"/>
      <c r="D34" s="2"/>
      <c r="E34"/>
      <c r="F34"/>
      <c r="G34"/>
      <c r="H34"/>
      <c r="I34"/>
      <c r="J34"/>
      <c r="K34"/>
      <c r="L34"/>
      <c r="M34"/>
      <c r="N34"/>
      <c r="O34"/>
      <c r="P34"/>
      <c r="Q34"/>
      <c r="R34"/>
      <c r="S34" s="3"/>
      <c r="T34" t="inlineStr">
        <is>
          <t>-</t>
        </is>
      </c>
      <c r="U34" s="3"/>
      <c r="V34" s="3"/>
      <c r="W34"/>
      <c r="X34"/>
      <c r="Y34"/>
      <c r="Z34" s="2"/>
      <c r="AA34" s="2"/>
      <c r="AB34" s="2"/>
      <c r="AC34"/>
      <c r="AD34"/>
      <c r="AE34"/>
      <c r="AF34"/>
      <c r="AG34" s="2"/>
      <c r="AH34" s="2"/>
      <c r="AI34"/>
      <c r="AJ34" s="2"/>
      <c r="AK34"/>
      <c r="AL34"/>
      <c r="AM34"/>
      <c r="AN34"/>
      <c r="AO34"/>
      <c r="AP34" s="2"/>
      <c r="AQ34"/>
      <c r="AR34"/>
      <c r="AS34"/>
      <c r="AT34"/>
      <c r="AU34"/>
      <c r="AV34"/>
      <c r="AW34"/>
      <c r="AX34"/>
      <c r="AY34" s="2"/>
      <c r="AZ34" s="2"/>
      <c r="BA34"/>
      <c r="BB34"/>
      <c r="BC34"/>
      <c r="BD34"/>
      <c r="BE34"/>
      <c r="BF34"/>
      <c r="BG34"/>
      <c r="BH34"/>
      <c r="BI34"/>
      <c r="BJ34"/>
      <c r="BK34"/>
      <c r="BL34"/>
      <c r="BM34"/>
      <c r="BN34"/>
      <c r="BO34"/>
      <c r="BP34"/>
      <c r="BQ34"/>
      <c r="BR34"/>
      <c r="BS34"/>
      <c r="BT34"/>
      <c r="BU34" s="3"/>
      <c r="BV34"/>
      <c r="BW34"/>
      <c r="BX34" s="3"/>
      <c r="BY34" s="3"/>
    </row>
    <row r="35" ht="25.5" customHeight="1">
      <c r="A35" t="inlineStr">
        <is>
          <t>R0001UK</t>
        </is>
      </c>
      <c r="B35"/>
      <c r="C35"/>
      <c r="D35" s="2"/>
      <c r="E35"/>
      <c r="F35"/>
      <c r="G35"/>
      <c r="H35"/>
      <c r="I35"/>
      <c r="J35"/>
      <c r="K35"/>
      <c r="L35"/>
      <c r="M35"/>
      <c r="N35"/>
      <c r="O35"/>
      <c r="P35"/>
      <c r="Q35"/>
      <c r="R35"/>
      <c r="S35" s="3"/>
      <c r="T35" t="inlineStr">
        <is>
          <t>-</t>
        </is>
      </c>
      <c r="U35" s="3"/>
      <c r="V35" s="3"/>
      <c r="W35"/>
      <c r="X35"/>
      <c r="Y35"/>
      <c r="Z35" s="2"/>
      <c r="AA35" s="2"/>
      <c r="AB35" s="2"/>
      <c r="AC35"/>
      <c r="AD35"/>
      <c r="AE35"/>
      <c r="AF35"/>
      <c r="AG35" s="2"/>
      <c r="AH35" s="2"/>
      <c r="AI35"/>
      <c r="AJ35" s="2"/>
      <c r="AK35"/>
      <c r="AL35"/>
      <c r="AM35"/>
      <c r="AN35"/>
      <c r="AO35"/>
      <c r="AP35" s="2"/>
      <c r="AQ35"/>
      <c r="AR35"/>
      <c r="AS35"/>
      <c r="AT35"/>
      <c r="AU35"/>
      <c r="AV35"/>
      <c r="AW35"/>
      <c r="AX35"/>
      <c r="AY35" s="2"/>
      <c r="AZ35" s="2"/>
      <c r="BA35"/>
      <c r="BB35"/>
      <c r="BC35"/>
      <c r="BD35"/>
      <c r="BE35"/>
      <c r="BF35"/>
      <c r="BG35"/>
      <c r="BH35"/>
      <c r="BI35"/>
      <c r="BJ35"/>
      <c r="BK35"/>
      <c r="BL35"/>
      <c r="BM35"/>
      <c r="BN35"/>
      <c r="BO35"/>
      <c r="BP35"/>
      <c r="BQ35"/>
      <c r="BR35"/>
      <c r="BS35"/>
      <c r="BT35"/>
      <c r="BU35" s="3"/>
      <c r="BV35"/>
      <c r="BW35"/>
      <c r="BX35" s="3"/>
      <c r="BY35" s="3"/>
    </row>
    <row r="36" ht="25.5" customHeight="1">
      <c r="A36" t="inlineStr">
        <is>
          <t>R0001UK</t>
        </is>
      </c>
      <c r="B36"/>
      <c r="C36" t="inlineStr">
        <is>
          <t>面部按摩器德国</t>
        </is>
      </c>
      <c r="D36" s="2">
        <v>45758</v>
      </c>
      <c r="E36" t="inlineStr">
        <is>
          <t>主推款</t>
        </is>
      </c>
      <c r="F36"/>
      <c r="G36"/>
      <c r="H36" t="inlineStr">
        <is>
          <t>DE</t>
        </is>
      </c>
      <c r="I36"/>
      <c r="J36"/>
      <c r="K36" t="inlineStr">
        <is>
          <t>X</t>
        </is>
      </c>
      <c r="L36" t="inlineStr">
        <is>
          <t>NO</t>
        </is>
      </c>
      <c r="M36" t="inlineStr">
        <is>
          <t>市调</t>
        </is>
      </c>
      <c r="N36" t="inlineStr">
        <is>
          <t>NO</t>
        </is>
      </c>
      <c r="O36"/>
      <c r="P36"/>
      <c r="Q36"/>
      <c r="R36" t="inlineStr">
        <is>
          <t>市调</t>
        </is>
      </c>
      <c r="S36" s="3"/>
      <c r="T36" t="inlineStr">
        <is>
          <t>-</t>
        </is>
      </c>
      <c r="U36" s="3"/>
      <c r="V36" s="3"/>
      <c r="W36" t="inlineStr">
        <is>
          <t>面部按摩器德国</t>
        </is>
      </c>
      <c r="X36"/>
      <c r="Y36"/>
      <c r="Z36" s="2"/>
      <c r="AA36" s="2"/>
      <c r="AB36" s="2"/>
      <c r="AC36"/>
      <c r="AD36"/>
      <c r="AE36"/>
      <c r="AF36"/>
      <c r="AG36" s="2"/>
      <c r="AH36" s="2"/>
      <c r="AI36"/>
      <c r="AJ36" s="2"/>
      <c r="AK36"/>
      <c r="AL36"/>
      <c r="AM36"/>
      <c r="AN36"/>
      <c r="AO36"/>
      <c r="AP36" s="2"/>
      <c r="AQ36"/>
      <c r="AR36"/>
      <c r="AS36"/>
      <c r="AT36"/>
      <c r="AU36"/>
      <c r="AV36"/>
      <c r="AW36"/>
      <c r="AX36"/>
      <c r="AY36" s="2"/>
      <c r="AZ36" s="2"/>
      <c r="BA36"/>
      <c r="BB36"/>
      <c r="BC36"/>
      <c r="BD36"/>
      <c r="BE36"/>
      <c r="BF36"/>
      <c r="BG36"/>
      <c r="BH36"/>
      <c r="BI36"/>
      <c r="BJ36"/>
      <c r="BK36"/>
      <c r="BL36"/>
      <c r="BM36"/>
      <c r="BN36"/>
      <c r="BO36"/>
      <c r="BP36"/>
      <c r="BQ36"/>
      <c r="BR36"/>
      <c r="BS36"/>
      <c r="BT36"/>
      <c r="BU36" s="3"/>
      <c r="BV36"/>
      <c r="BW36"/>
      <c r="BX36" s="3"/>
      <c r="BY36" s="3"/>
    </row>
    <row r="37" ht="25.5" customHeight="1">
      <c r="A37" t="inlineStr">
        <is>
          <t>R0001UK</t>
        </is>
      </c>
      <c r="B37"/>
      <c r="C37" t="inlineStr">
        <is>
          <t>面部按摩器英国</t>
        </is>
      </c>
      <c r="D37" s="2">
        <v>45758</v>
      </c>
      <c r="E37" t="inlineStr">
        <is>
          <t>主推款</t>
        </is>
      </c>
      <c r="F37"/>
      <c r="G37"/>
      <c r="H37" t="inlineStr">
        <is>
          <t>UK</t>
        </is>
      </c>
      <c r="I37"/>
      <c r="J37"/>
      <c r="K37" t="inlineStr">
        <is>
          <t>X</t>
        </is>
      </c>
      <c r="L37" t="inlineStr">
        <is>
          <t>NO</t>
        </is>
      </c>
      <c r="M37" t="inlineStr">
        <is>
          <t>市调</t>
        </is>
      </c>
      <c r="N37" t="inlineStr">
        <is>
          <t>NO</t>
        </is>
      </c>
      <c r="O37"/>
      <c r="P37"/>
      <c r="Q37"/>
      <c r="R37" t="inlineStr">
        <is>
          <t>市调</t>
        </is>
      </c>
      <c r="S37" s="3"/>
      <c r="T37" t="inlineStr">
        <is>
          <t>-</t>
        </is>
      </c>
      <c r="U37" s="3"/>
      <c r="V37" s="3"/>
      <c r="W37" t="inlineStr">
        <is>
          <t>面部按摩器英国</t>
        </is>
      </c>
      <c r="X37"/>
      <c r="Y37"/>
      <c r="Z37" s="2"/>
      <c r="AA37" s="2"/>
      <c r="AB37" s="2"/>
      <c r="AC37"/>
      <c r="AD37"/>
      <c r="AE37"/>
      <c r="AF37"/>
      <c r="AG37" s="2"/>
      <c r="AH37" s="2"/>
      <c r="AI37"/>
      <c r="AJ37" s="2"/>
      <c r="AK37"/>
      <c r="AL37"/>
      <c r="AM37"/>
      <c r="AN37"/>
      <c r="AO37"/>
      <c r="AP37" s="2"/>
      <c r="AQ37"/>
      <c r="AR37"/>
      <c r="AS37"/>
      <c r="AT37"/>
      <c r="AU37"/>
      <c r="AV37"/>
      <c r="AW37"/>
      <c r="AX37"/>
      <c r="AY37" s="2"/>
      <c r="AZ37" s="2"/>
      <c r="BA37"/>
      <c r="BB37"/>
      <c r="BC37"/>
      <c r="BD37"/>
      <c r="BE37"/>
      <c r="BF37"/>
      <c r="BG37"/>
      <c r="BH37"/>
      <c r="BI37"/>
      <c r="BJ37"/>
      <c r="BK37"/>
      <c r="BL37"/>
      <c r="BM37"/>
      <c r="BN37"/>
      <c r="BO37"/>
      <c r="BP37"/>
      <c r="BQ37"/>
      <c r="BR37"/>
      <c r="BS37"/>
      <c r="BT37"/>
      <c r="BU37" s="3"/>
      <c r="BV37"/>
      <c r="BW37"/>
      <c r="BX37" s="3"/>
      <c r="BY37" s="3"/>
    </row>
    <row r="38" ht="25.5" customHeight="1">
      <c r="A38" t="inlineStr">
        <is>
          <t>R0001UK</t>
        </is>
      </c>
      <c r="B38"/>
      <c r="C38"/>
      <c r="D38" s="2"/>
      <c r="E38"/>
      <c r="F38"/>
      <c r="G38"/>
      <c r="H38"/>
      <c r="I38"/>
      <c r="J38"/>
      <c r="K38"/>
      <c r="L38"/>
      <c r="M38"/>
      <c r="N38"/>
      <c r="O38"/>
      <c r="P38"/>
      <c r="Q38"/>
      <c r="R38"/>
      <c r="S38" s="3"/>
      <c r="T38"/>
      <c r="U38" s="3"/>
      <c r="V38" s="3"/>
      <c r="W38"/>
      <c r="X38"/>
      <c r="Y38"/>
      <c r="Z38" s="2"/>
      <c r="AA38" s="2"/>
      <c r="AB38" s="2"/>
      <c r="AC38"/>
      <c r="AD38"/>
      <c r="AE38"/>
      <c r="AF38"/>
      <c r="AG38" s="2"/>
      <c r="AH38" s="2"/>
      <c r="AI38"/>
      <c r="AJ38" s="2"/>
      <c r="AK38"/>
      <c r="AL38"/>
      <c r="AM38"/>
      <c r="AN38"/>
      <c r="AO38"/>
      <c r="AP38" s="2"/>
      <c r="AQ38"/>
      <c r="AR38"/>
      <c r="AS38"/>
      <c r="AT38"/>
      <c r="AU38"/>
      <c r="AV38"/>
      <c r="AW38"/>
      <c r="AX38"/>
      <c r="AY38" s="2"/>
      <c r="AZ38" s="2"/>
      <c r="BA38"/>
      <c r="BB38"/>
      <c r="BC38"/>
      <c r="BD38"/>
      <c r="BE38"/>
      <c r="BF38"/>
      <c r="BG38"/>
      <c r="BH38"/>
      <c r="BI38"/>
      <c r="BJ38"/>
      <c r="BK38"/>
      <c r="BL38"/>
      <c r="BM38"/>
      <c r="BN38"/>
      <c r="BO38"/>
      <c r="BP38"/>
      <c r="BQ38"/>
      <c r="BR38"/>
      <c r="BS38"/>
      <c r="BT38"/>
      <c r="BU38" s="3"/>
      <c r="BV38"/>
      <c r="BW38"/>
      <c r="BX38" s="3"/>
      <c r="BY38" s="3"/>
    </row>
    <row r="39" ht="25.5" customHeight="1">
      <c r="A39" t="inlineStr">
        <is>
          <t>R0001UK</t>
        </is>
      </c>
      <c r="B39"/>
      <c r="C39"/>
      <c r="D39" s="2"/>
      <c r="E39"/>
      <c r="F39"/>
      <c r="G39"/>
      <c r="H39"/>
      <c r="I39"/>
      <c r="J39"/>
      <c r="K39"/>
      <c r="L39"/>
      <c r="M39"/>
      <c r="N39"/>
      <c r="O39"/>
      <c r="P39"/>
      <c r="Q39"/>
      <c r="R39"/>
      <c r="S39" s="3"/>
      <c r="T39" t="inlineStr">
        <is>
          <t>-</t>
        </is>
      </c>
      <c r="U39" s="3"/>
      <c r="V39" s="3"/>
      <c r="W39"/>
      <c r="X39"/>
      <c r="Y39"/>
      <c r="Z39" s="2"/>
      <c r="AA39" s="2"/>
      <c r="AB39" s="2"/>
      <c r="AC39"/>
      <c r="AD39"/>
      <c r="AE39"/>
      <c r="AF39"/>
      <c r="AG39" s="2"/>
      <c r="AH39" s="2"/>
      <c r="AI39"/>
      <c r="AJ39" s="2"/>
      <c r="AK39"/>
      <c r="AL39"/>
      <c r="AM39"/>
      <c r="AN39"/>
      <c r="AO39"/>
      <c r="AP39" s="2"/>
      <c r="AQ39"/>
      <c r="AR39"/>
      <c r="AS39"/>
      <c r="AT39"/>
      <c r="AU39"/>
      <c r="AV39"/>
      <c r="AW39"/>
      <c r="AX39"/>
      <c r="AY39" s="2"/>
      <c r="AZ39" s="2"/>
      <c r="BA39"/>
      <c r="BB39"/>
      <c r="BC39"/>
      <c r="BD39"/>
      <c r="BE39"/>
      <c r="BF39"/>
      <c r="BG39"/>
      <c r="BH39"/>
      <c r="BI39"/>
      <c r="BJ39"/>
      <c r="BK39"/>
      <c r="BL39"/>
      <c r="BM39"/>
      <c r="BN39"/>
      <c r="BO39"/>
      <c r="BP39"/>
      <c r="BQ39"/>
      <c r="BR39"/>
      <c r="BS39"/>
      <c r="BT39"/>
      <c r="BU39" s="3"/>
      <c r="BV39"/>
      <c r="BW39"/>
      <c r="BX39" s="3"/>
      <c r="BY39" s="3"/>
    </row>
    <row r="40" ht="25.5" customHeight="1">
      <c r="A40" t="inlineStr">
        <is>
          <t>R0001UK</t>
        </is>
      </c>
      <c r="B40"/>
      <c r="C40" t="inlineStr">
        <is>
          <t>雾化器德国</t>
        </is>
      </c>
      <c r="D40" s="2">
        <v>45758</v>
      </c>
      <c r="E40" t="inlineStr">
        <is>
          <t>主推款</t>
        </is>
      </c>
      <c r="F40"/>
      <c r="G40"/>
      <c r="H40" t="inlineStr">
        <is>
          <t>DE</t>
        </is>
      </c>
      <c r="I40"/>
      <c r="J40"/>
      <c r="K40" t="inlineStr">
        <is>
          <t>X</t>
        </is>
      </c>
      <c r="L40" t="inlineStr">
        <is>
          <t>NO</t>
        </is>
      </c>
      <c r="M40"/>
      <c r="N40" t="inlineStr">
        <is>
          <t>NO</t>
        </is>
      </c>
      <c r="O40"/>
      <c r="P40"/>
      <c r="Q40"/>
      <c r="R40"/>
      <c r="S40" s="3"/>
      <c r="T40" t="inlineStr">
        <is>
          <t>-</t>
        </is>
      </c>
      <c r="U40" s="3"/>
      <c r="V40" s="3"/>
      <c r="W40" t="inlineStr">
        <is>
          <t>雾化器德国</t>
        </is>
      </c>
      <c r="X40"/>
      <c r="Y40"/>
      <c r="Z40" s="2"/>
      <c r="AA40" s="2"/>
      <c r="AB40" s="2"/>
      <c r="AC40"/>
      <c r="AD40"/>
      <c r="AE40"/>
      <c r="AF40"/>
      <c r="AG40" s="2"/>
      <c r="AH40" s="2"/>
      <c r="AI40"/>
      <c r="AJ40" s="2"/>
      <c r="AK40"/>
      <c r="AL40"/>
      <c r="AM40"/>
      <c r="AN40"/>
      <c r="AO40"/>
      <c r="AP40" s="2"/>
      <c r="AQ40"/>
      <c r="AR40"/>
      <c r="AS40"/>
      <c r="AT40"/>
      <c r="AU40"/>
      <c r="AV40"/>
      <c r="AW40"/>
      <c r="AX40"/>
      <c r="AY40" s="2"/>
      <c r="AZ40" s="2"/>
      <c r="BA40"/>
      <c r="BB40"/>
      <c r="BC40"/>
      <c r="BD40"/>
      <c r="BE40"/>
      <c r="BF40"/>
      <c r="BG40"/>
      <c r="BH40"/>
      <c r="BI40"/>
      <c r="BJ40"/>
      <c r="BK40"/>
      <c r="BL40"/>
      <c r="BM40"/>
      <c r="BN40"/>
      <c r="BO40"/>
      <c r="BP40"/>
      <c r="BQ40"/>
      <c r="BR40"/>
      <c r="BS40"/>
      <c r="BT40"/>
      <c r="BU40" s="3"/>
      <c r="BV40"/>
      <c r="BW40"/>
      <c r="BX40" s="3"/>
      <c r="BY40" s="3"/>
    </row>
    <row r="41" ht="25.5" customHeight="1">
      <c r="A41" t="inlineStr">
        <is>
          <t>R0001UK</t>
        </is>
      </c>
      <c r="B41"/>
      <c r="C41" t="inlineStr">
        <is>
          <t>雾化器英国</t>
        </is>
      </c>
      <c r="D41" s="2">
        <v>45758</v>
      </c>
      <c r="E41" t="inlineStr">
        <is>
          <t>主推款</t>
        </is>
      </c>
      <c r="F41"/>
      <c r="G41"/>
      <c r="H41" t="inlineStr">
        <is>
          <t>UK</t>
        </is>
      </c>
      <c r="I41"/>
      <c r="J41"/>
      <c r="K41" t="inlineStr">
        <is>
          <t>X</t>
        </is>
      </c>
      <c r="L41" t="inlineStr">
        <is>
          <t>NO</t>
        </is>
      </c>
      <c r="M41"/>
      <c r="N41" t="inlineStr">
        <is>
          <t>NO</t>
        </is>
      </c>
      <c r="O41"/>
      <c r="P41"/>
      <c r="Q41"/>
      <c r="R41"/>
      <c r="S41" s="3"/>
      <c r="T41" t="inlineStr">
        <is>
          <t>-</t>
        </is>
      </c>
      <c r="U41" s="3"/>
      <c r="V41" s="3"/>
      <c r="W41" t="inlineStr">
        <is>
          <t>雾化器英国</t>
        </is>
      </c>
      <c r="X41"/>
      <c r="Y41"/>
      <c r="Z41" s="2"/>
      <c r="AA41" s="2"/>
      <c r="AB41" s="2"/>
      <c r="AC41"/>
      <c r="AD41"/>
      <c r="AE41"/>
      <c r="AF41"/>
      <c r="AG41" s="2"/>
      <c r="AH41" s="2"/>
      <c r="AI41"/>
      <c r="AJ41" s="2"/>
      <c r="AK41"/>
      <c r="AL41"/>
      <c r="AM41"/>
      <c r="AN41"/>
      <c r="AO41"/>
      <c r="AP41" s="2"/>
      <c r="AQ41"/>
      <c r="AR41"/>
      <c r="AS41"/>
      <c r="AT41"/>
      <c r="AU41"/>
      <c r="AV41"/>
      <c r="AW41"/>
      <c r="AX41"/>
      <c r="AY41" s="2"/>
      <c r="AZ41" s="2"/>
      <c r="BA41"/>
      <c r="BB41"/>
      <c r="BC41"/>
      <c r="BD41"/>
      <c r="BE41"/>
      <c r="BF41"/>
      <c r="BG41"/>
      <c r="BH41"/>
      <c r="BI41"/>
      <c r="BJ41"/>
      <c r="BK41"/>
      <c r="BL41"/>
      <c r="BM41"/>
      <c r="BN41"/>
      <c r="BO41"/>
      <c r="BP41"/>
      <c r="BQ41"/>
      <c r="BR41"/>
      <c r="BS41"/>
      <c r="BT41"/>
      <c r="BU41" s="3"/>
      <c r="BV41"/>
      <c r="BW41"/>
      <c r="BX41" s="3"/>
      <c r="BY41" s="3"/>
    </row>
    <row r="42" ht="25.5" customHeight="1">
      <c r="A42" t="inlineStr">
        <is>
          <t>R0001UK</t>
        </is>
      </c>
      <c r="B42"/>
      <c r="C42"/>
      <c r="D42" s="2"/>
      <c r="E42"/>
      <c r="F42"/>
      <c r="G42"/>
      <c r="H42"/>
      <c r="I42"/>
      <c r="J42"/>
      <c r="K42"/>
      <c r="L42"/>
      <c r="M42"/>
      <c r="N42"/>
      <c r="O42"/>
      <c r="P42"/>
      <c r="Q42"/>
      <c r="R42"/>
      <c r="S42" s="3"/>
      <c r="T42"/>
      <c r="U42" s="3"/>
      <c r="V42" s="3"/>
      <c r="W42"/>
      <c r="X42"/>
      <c r="Y42"/>
      <c r="Z42" s="2"/>
      <c r="AA42" s="2"/>
      <c r="AB42" s="2"/>
      <c r="AC42"/>
      <c r="AD42"/>
      <c r="AE42"/>
      <c r="AF42"/>
      <c r="AG42" s="2"/>
      <c r="AH42" s="2"/>
      <c r="AI42"/>
      <c r="AJ42" s="2"/>
      <c r="AK42"/>
      <c r="AL42"/>
      <c r="AM42"/>
      <c r="AN42"/>
      <c r="AO42"/>
      <c r="AP42" s="2"/>
      <c r="AQ42"/>
      <c r="AR42"/>
      <c r="AS42"/>
      <c r="AT42"/>
      <c r="AU42"/>
      <c r="AV42"/>
      <c r="AW42"/>
      <c r="AX42"/>
      <c r="AY42" s="2"/>
      <c r="AZ42" s="2"/>
      <c r="BA42"/>
      <c r="BB42"/>
      <c r="BC42"/>
      <c r="BD42"/>
      <c r="BE42"/>
      <c r="BF42"/>
      <c r="BG42"/>
      <c r="BH42"/>
      <c r="BI42"/>
      <c r="BJ42"/>
      <c r="BK42"/>
      <c r="BL42"/>
      <c r="BM42"/>
      <c r="BN42"/>
      <c r="BO42"/>
      <c r="BP42"/>
      <c r="BQ42"/>
      <c r="BR42"/>
      <c r="BS42"/>
      <c r="BT42"/>
      <c r="BU42" s="3"/>
      <c r="BV42"/>
      <c r="BW42"/>
      <c r="BX42" s="3"/>
      <c r="BY42" s="3"/>
    </row>
    <row r="43" ht="25.5" customHeight="1">
      <c r="A43" t="inlineStr">
        <is>
          <t>R0001UK</t>
        </is>
      </c>
      <c r="B43"/>
      <c r="C43" t="inlineStr">
        <is>
          <t>智能电子口喷美国</t>
        </is>
      </c>
      <c r="D43" s="2">
        <v>45770</v>
      </c>
      <c r="E43"/>
      <c r="F43"/>
      <c r="G43"/>
      <c r="H43"/>
      <c r="I43"/>
      <c r="J43"/>
      <c r="K43" t="inlineStr">
        <is>
          <t>X</t>
        </is>
      </c>
      <c r="L43" t="inlineStr">
        <is>
          <t>NO</t>
        </is>
      </c>
      <c r="M43" t="inlineStr">
        <is>
          <t>智能电子口喷美国</t>
        </is>
      </c>
      <c r="N43" t="inlineStr">
        <is>
          <t>NO</t>
        </is>
      </c>
      <c r="O43"/>
      <c r="P43"/>
      <c r="Q43" t="inlineStr">
        <is>
          <t>US 口喷市调 SIF所有数据oral spray</t>
        </is>
      </c>
      <c r="R43" t="inlineStr">
        <is>
          <t>US口喷市调 Tik Tok所有数据ALL</t>
        </is>
      </c>
      <c r="S43" s="3"/>
      <c r="T43"/>
      <c r="U43" s="3"/>
      <c r="V43" s="3"/>
      <c r="W43"/>
      <c r="X43"/>
      <c r="Y43"/>
      <c r="Z43" s="2"/>
      <c r="AA43" s="2"/>
      <c r="AB43" s="2"/>
      <c r="AC43"/>
      <c r="AD43"/>
      <c r="AE43"/>
      <c r="AF43"/>
      <c r="AG43" s="2"/>
      <c r="AH43" s="2"/>
      <c r="AI43"/>
      <c r="AJ43" s="2"/>
      <c r="AK43"/>
      <c r="AL43"/>
      <c r="AM43"/>
      <c r="AN43"/>
      <c r="AO43"/>
      <c r="AP43" s="2"/>
      <c r="AQ43"/>
      <c r="AR43"/>
      <c r="AS43"/>
      <c r="AT43"/>
      <c r="AU43"/>
      <c r="AV43"/>
      <c r="AW43"/>
      <c r="AX43"/>
      <c r="AY43" s="2"/>
      <c r="AZ43" s="2"/>
      <c r="BA43"/>
      <c r="BB43"/>
      <c r="BC43"/>
      <c r="BD43"/>
      <c r="BE43"/>
      <c r="BF43"/>
      <c r="BG43"/>
      <c r="BH43"/>
      <c r="BI43"/>
      <c r="BJ43"/>
      <c r="BK43"/>
      <c r="BL43"/>
      <c r="BM43"/>
      <c r="BN43"/>
      <c r="BO43"/>
      <c r="BP43"/>
      <c r="BQ43"/>
      <c r="BR43"/>
      <c r="BS43"/>
      <c r="BT43"/>
      <c r="BU43" s="3"/>
      <c r="BV43"/>
      <c r="BW43"/>
      <c r="BX43" s="3"/>
      <c r="BY43" s="3"/>
    </row>
    <row r="44" ht="25.5" customHeight="1">
      <c r="A44" t="inlineStr">
        <is>
          <t>R0001UK</t>
        </is>
      </c>
      <c r="B44"/>
      <c r="C44" t="inlineStr">
        <is>
          <t>智能电子口喷德国</t>
        </is>
      </c>
      <c r="D44" s="2">
        <v>45770</v>
      </c>
      <c r="E44" t="inlineStr">
        <is>
          <t>主推款</t>
        </is>
      </c>
      <c r="F44"/>
      <c r="G44"/>
      <c r="H44" t="inlineStr">
        <is>
          <t>UK</t>
        </is>
      </c>
      <c r="I44"/>
      <c r="J44"/>
      <c r="K44" t="inlineStr">
        <is>
          <t>X</t>
        </is>
      </c>
      <c r="L44" t="inlineStr">
        <is>
          <t>NO</t>
        </is>
      </c>
      <c r="M44" t="inlineStr">
        <is>
          <t>DE 口腔喷雾剂Mundsprays(卖家精灵)</t>
        </is>
      </c>
      <c r="N44" t="inlineStr">
        <is>
          <t>NO</t>
        </is>
      </c>
      <c r="O44"/>
      <c r="P44"/>
      <c r="Q44"/>
      <c r="R44"/>
      <c r="S44" s="3"/>
      <c r="T44"/>
      <c r="U44" s="3"/>
      <c r="V44" s="3"/>
      <c r="W44" t="inlineStr">
        <is>
          <t>智能电子口喷德国</t>
        </is>
      </c>
      <c r="X44"/>
      <c r="Y44"/>
      <c r="Z44" s="2"/>
      <c r="AA44" s="2"/>
      <c r="AB44" s="2"/>
      <c r="AC44"/>
      <c r="AD44"/>
      <c r="AE44"/>
      <c r="AF44"/>
      <c r="AG44" s="2"/>
      <c r="AH44" s="2"/>
      <c r="AI44"/>
      <c r="AJ44" s="2"/>
      <c r="AK44"/>
      <c r="AL44"/>
      <c r="AM44"/>
      <c r="AN44"/>
      <c r="AO44"/>
      <c r="AP44" s="2"/>
      <c r="AQ44"/>
      <c r="AR44"/>
      <c r="AS44"/>
      <c r="AT44"/>
      <c r="AU44"/>
      <c r="AV44"/>
      <c r="AW44"/>
      <c r="AX44"/>
      <c r="AY44" s="2"/>
      <c r="AZ44" s="2"/>
      <c r="BA44"/>
      <c r="BB44"/>
      <c r="BC44"/>
      <c r="BD44"/>
      <c r="BE44"/>
      <c r="BF44"/>
      <c r="BG44"/>
      <c r="BH44"/>
      <c r="BI44"/>
      <c r="BJ44"/>
      <c r="BK44"/>
      <c r="BL44"/>
      <c r="BM44"/>
      <c r="BN44"/>
      <c r="BO44"/>
      <c r="BP44"/>
      <c r="BQ44"/>
      <c r="BR44"/>
      <c r="BS44"/>
      <c r="BT44"/>
      <c r="BU44" s="3"/>
      <c r="BV44"/>
      <c r="BW44"/>
      <c r="BX44" s="3"/>
      <c r="BY44" s="3"/>
    </row>
    <row r="45" ht="25.5" customHeight="1">
      <c r="A45" t="inlineStr">
        <is>
          <t>R0001UK</t>
        </is>
      </c>
      <c r="B45"/>
      <c r="C45" t="inlineStr">
        <is>
          <t>智能电子口喷英国</t>
        </is>
      </c>
      <c r="D45" s="2">
        <v>45770</v>
      </c>
      <c r="E45" t="inlineStr">
        <is>
          <t>主推款</t>
        </is>
      </c>
      <c r="F45"/>
      <c r="G45"/>
      <c r="H45" t="inlineStr">
        <is>
          <t>UK</t>
        </is>
      </c>
      <c r="I45"/>
      <c r="J45"/>
      <c r="K45" t="inlineStr">
        <is>
          <t>X</t>
        </is>
      </c>
      <c r="L45" t="inlineStr">
        <is>
          <t>NO</t>
        </is>
      </c>
      <c r="M45" t="inlineStr">
        <is>
          <t>UK(口腔喷雾剂)Sprays</t>
        </is>
      </c>
      <c r="N45" t="inlineStr">
        <is>
          <t>NO</t>
        </is>
      </c>
      <c r="O45"/>
      <c r="P45"/>
      <c r="Q45"/>
      <c r="R45"/>
      <c r="S45" s="3"/>
      <c r="T45"/>
      <c r="U45" s="3"/>
      <c r="V45" s="3"/>
      <c r="W45" t="inlineStr">
        <is>
          <t>智能电子口喷英国</t>
        </is>
      </c>
      <c r="X45"/>
      <c r="Y45"/>
      <c r="Z45" s="2"/>
      <c r="AA45" s="2"/>
      <c r="AB45" s="2"/>
      <c r="AC45"/>
      <c r="AD45"/>
      <c r="AE45"/>
      <c r="AF45"/>
      <c r="AG45" s="2"/>
      <c r="AH45" s="2"/>
      <c r="AI45"/>
      <c r="AJ45" s="2"/>
      <c r="AK45"/>
      <c r="AL45"/>
      <c r="AM45"/>
      <c r="AN45"/>
      <c r="AO45"/>
      <c r="AP45" s="2"/>
      <c r="AQ45"/>
      <c r="AR45"/>
      <c r="AS45"/>
      <c r="AT45"/>
      <c r="AU45"/>
      <c r="AV45"/>
      <c r="AW45"/>
      <c r="AX45"/>
      <c r="AY45" s="2"/>
      <c r="AZ45" s="2"/>
      <c r="BA45"/>
      <c r="BB45"/>
      <c r="BC45"/>
      <c r="BD45"/>
      <c r="BE45"/>
      <c r="BF45"/>
      <c r="BG45"/>
      <c r="BH45"/>
      <c r="BI45"/>
      <c r="BJ45"/>
      <c r="BK45"/>
      <c r="BL45"/>
      <c r="BM45"/>
      <c r="BN45"/>
      <c r="BO45"/>
      <c r="BP45"/>
      <c r="BQ45"/>
      <c r="BR45"/>
      <c r="BS45"/>
      <c r="BT45"/>
      <c r="BU45" s="3"/>
      <c r="BV45"/>
      <c r="BW45"/>
      <c r="BX45" s="3"/>
      <c r="BY45" s="3"/>
    </row>
    <row r="46" ht="25.5" customHeight="1">
      <c r="A46" t="inlineStr">
        <is>
          <t>R0004UK</t>
        </is>
      </c>
      <c r="B46"/>
      <c r="C46" t="inlineStr">
        <is>
          <t>RS1棘轮螺丝刀套装英国</t>
        </is>
      </c>
      <c r="D46" s="2">
        <v>45859</v>
      </c>
      <c r="E46" t="inlineStr">
        <is>
          <t>新款</t>
        </is>
      </c>
      <c r="F46"/>
      <c r="G46"/>
      <c r="H46" t="inlineStr">
        <is>
          <t>EU</t>
        </is>
      </c>
      <c r="I46"/>
      <c r="J46"/>
      <c r="K46" t="inlineStr">
        <is>
          <t>X</t>
        </is>
      </c>
      <c r="L46" t="inlineStr">
        <is>
          <t>NO</t>
        </is>
      </c>
      <c r="M46"/>
      <c r="N46"/>
      <c r="O46"/>
      <c r="P46"/>
      <c r="Q46"/>
      <c r="R46"/>
      <c r="S46" s="3"/>
      <c r="T46"/>
      <c r="U46" s="3"/>
      <c r="V46" s="3"/>
      <c r="W46"/>
      <c r="X46"/>
      <c r="Y46"/>
      <c r="Z46" s="2"/>
      <c r="AA46" s="2"/>
      <c r="AB46" s="2"/>
      <c r="AC46"/>
      <c r="AD46"/>
      <c r="AE46"/>
      <c r="AF46"/>
      <c r="AG46" s="2"/>
      <c r="AH46" s="2"/>
      <c r="AI46"/>
      <c r="AJ46" s="2"/>
      <c r="AK46"/>
      <c r="AL46"/>
      <c r="AM46"/>
      <c r="AN46"/>
      <c r="AO46"/>
      <c r="AP46" s="2"/>
      <c r="AQ46"/>
      <c r="AR46"/>
      <c r="AS46"/>
      <c r="AT46"/>
      <c r="AU46"/>
      <c r="AV46"/>
      <c r="AW46"/>
      <c r="AX46"/>
      <c r="AY46" s="2"/>
      <c r="AZ46" s="2"/>
      <c r="BA46"/>
      <c r="BB46"/>
      <c r="BC46"/>
      <c r="BD46"/>
      <c r="BE46"/>
      <c r="BF46"/>
      <c r="BG46"/>
      <c r="BH46"/>
      <c r="BI46"/>
      <c r="BJ46"/>
      <c r="BK46"/>
      <c r="BL46"/>
      <c r="BM46"/>
      <c r="BN46"/>
      <c r="BO46"/>
      <c r="BP46"/>
      <c r="BQ46"/>
      <c r="BR46"/>
      <c r="BS46"/>
      <c r="BT46"/>
      <c r="BU46" s="3"/>
      <c r="BV46"/>
      <c r="BW46"/>
      <c r="BX46" s="3"/>
      <c r="BY46" s="3"/>
    </row>
    <row r="47" ht="25.5" customHeight="1">
      <c r="A47" t="inlineStr">
        <is>
          <t>R0004EU</t>
        </is>
      </c>
      <c r="B47"/>
      <c r="C47" t="inlineStr">
        <is>
          <t>RS1棘轮螺丝刀套装, 欧洲</t>
        </is>
      </c>
      <c r="D47" s="2">
        <v>45859</v>
      </c>
      <c r="E47" t="inlineStr">
        <is>
          <t>新款</t>
        </is>
      </c>
      <c r="F47"/>
      <c r="G47"/>
      <c r="H47" t="inlineStr">
        <is>
          <t>EU</t>
        </is>
      </c>
      <c r="I47"/>
      <c r="J47"/>
      <c r="K47" t="inlineStr">
        <is>
          <t>X</t>
        </is>
      </c>
      <c r="L47" t="inlineStr">
        <is>
          <t>NO</t>
        </is>
      </c>
      <c r="M47"/>
      <c r="N47"/>
      <c r="O47"/>
      <c r="P47"/>
      <c r="Q47"/>
      <c r="R47"/>
      <c r="S47" s="3"/>
      <c r="T47"/>
      <c r="U47" s="3"/>
      <c r="V47" s="3"/>
      <c r="W47"/>
      <c r="X47"/>
      <c r="Y47"/>
      <c r="Z47" s="2"/>
      <c r="AA47" s="2"/>
      <c r="AB47" s="2"/>
      <c r="AC47"/>
      <c r="AD47"/>
      <c r="AE47"/>
      <c r="AF47"/>
      <c r="AG47" s="2"/>
      <c r="AH47" s="2"/>
      <c r="AI47"/>
      <c r="AJ47" s="2"/>
      <c r="AK47"/>
      <c r="AL47"/>
      <c r="AM47"/>
      <c r="AN47"/>
      <c r="AO47"/>
      <c r="AP47" s="2"/>
      <c r="AQ47"/>
      <c r="AR47"/>
      <c r="AS47"/>
      <c r="AT47"/>
      <c r="AU47"/>
      <c r="AV47"/>
      <c r="AW47"/>
      <c r="AX47"/>
      <c r="AY47" s="2"/>
      <c r="AZ47" s="2"/>
      <c r="BA47"/>
      <c r="BB47"/>
      <c r="BC47"/>
      <c r="BD47"/>
      <c r="BE47"/>
      <c r="BF47"/>
      <c r="BG47"/>
      <c r="BH47"/>
      <c r="BI47"/>
      <c r="BJ47"/>
      <c r="BK47"/>
      <c r="BL47"/>
      <c r="BM47"/>
      <c r="BN47"/>
      <c r="BO47"/>
      <c r="BP47"/>
      <c r="BQ47"/>
      <c r="BR47"/>
      <c r="BS47"/>
      <c r="BT47"/>
      <c r="BU47" s="3"/>
      <c r="BV47"/>
      <c r="BW47"/>
      <c r="BX47" s="3"/>
      <c r="BY47" s="3"/>
    </row>
    <row r="48" ht="25.5" customHeight="1">
      <c r="A48" t="inlineStr">
        <is>
          <t>HM0006-EU-XLN</t>
        </is>
      </c>
      <c r="B48"/>
      <c r="C48" t="inlineStr">
        <is>
          <t>T2225启动电源&amp;充气泵</t>
        </is>
      </c>
      <c r="D48" s="2">
        <v>45859</v>
      </c>
      <c r="E48" t="inlineStr">
        <is>
          <t>新款</t>
        </is>
      </c>
      <c r="F48"/>
      <c r="G48"/>
      <c r="H48" t="inlineStr">
        <is>
          <t>EU</t>
        </is>
      </c>
      <c r="I48"/>
      <c r="J48"/>
      <c r="K48" t="inlineStr">
        <is>
          <t>X</t>
        </is>
      </c>
      <c r="L48" t="inlineStr">
        <is>
          <t>NO</t>
        </is>
      </c>
      <c r="M48"/>
      <c r="N48"/>
      <c r="O48"/>
      <c r="P48"/>
      <c r="Q48"/>
      <c r="R48"/>
      <c r="S48" s="3"/>
      <c r="T48"/>
      <c r="U48" s="3"/>
      <c r="V48" s="3"/>
      <c r="W48"/>
      <c r="X48"/>
      <c r="Y48"/>
      <c r="Z48" s="2"/>
      <c r="AA48" s="2"/>
      <c r="AB48" s="2"/>
      <c r="AC48"/>
      <c r="AD48"/>
      <c r="AE48"/>
      <c r="AF48"/>
      <c r="AG48" s="2"/>
      <c r="AH48" s="2"/>
      <c r="AI48"/>
      <c r="AJ48" s="2"/>
      <c r="AK48"/>
      <c r="AL48"/>
      <c r="AM48"/>
      <c r="AN48"/>
      <c r="AO48"/>
      <c r="AP48" s="2"/>
      <c r="AQ48"/>
      <c r="AR48"/>
      <c r="AS48"/>
      <c r="AT48"/>
      <c r="AU48"/>
      <c r="AV48"/>
      <c r="AW48"/>
      <c r="AX48"/>
      <c r="AY48" s="2"/>
      <c r="AZ48" s="2"/>
      <c r="BA48"/>
      <c r="BB48"/>
      <c r="BC48"/>
      <c r="BD48"/>
      <c r="BE48"/>
      <c r="BF48"/>
      <c r="BG48"/>
      <c r="BH48"/>
      <c r="BI48"/>
      <c r="BJ48"/>
      <c r="BK48"/>
      <c r="BL48"/>
      <c r="BM48"/>
      <c r="BN48"/>
      <c r="BO48"/>
      <c r="BP48"/>
      <c r="BQ48"/>
      <c r="BR48"/>
      <c r="BS48"/>
      <c r="BT48"/>
      <c r="BU48" s="3"/>
      <c r="BV48"/>
      <c r="BW48"/>
      <c r="BX48" s="3"/>
      <c r="BY48" s="3"/>
    </row>
    <row r="49" ht="25.5" customHeight="1">
      <c r="A49" t="inlineStr">
        <is>
          <t>HM0003-EU-XLN</t>
        </is>
      </c>
      <c r="B49"/>
      <c r="C49" t="inlineStr">
        <is>
          <t>HPS39精密螺丝刀套装</t>
        </is>
      </c>
      <c r="D49" s="2">
        <v>45859</v>
      </c>
      <c r="E49" t="inlineStr">
        <is>
          <t>新款</t>
        </is>
      </c>
      <c r="F49"/>
      <c r="G49"/>
      <c r="H49" t="inlineStr">
        <is>
          <t>EU</t>
        </is>
      </c>
      <c r="I49"/>
      <c r="J49"/>
      <c r="K49" t="inlineStr">
        <is>
          <t>X</t>
        </is>
      </c>
      <c r="L49" t="inlineStr">
        <is>
          <t>NO</t>
        </is>
      </c>
      <c r="M49"/>
      <c r="N49"/>
      <c r="O49"/>
      <c r="P49"/>
      <c r="Q49"/>
      <c r="R49"/>
      <c r="S49" s="3"/>
      <c r="T49"/>
      <c r="U49" s="3"/>
      <c r="V49" s="3"/>
      <c r="W49"/>
      <c r="X49"/>
      <c r="Y49"/>
      <c r="Z49" s="2"/>
      <c r="AA49" s="2"/>
      <c r="AB49" s="2"/>
      <c r="AC49"/>
      <c r="AD49"/>
      <c r="AE49"/>
      <c r="AF49"/>
      <c r="AG49" s="2"/>
      <c r="AH49" s="2"/>
      <c r="AI49"/>
      <c r="AJ49" s="2"/>
      <c r="AK49"/>
      <c r="AL49"/>
      <c r="AM49"/>
      <c r="AN49"/>
      <c r="AO49"/>
      <c r="AP49" s="2"/>
      <c r="AQ49"/>
      <c r="AR49"/>
      <c r="AS49"/>
      <c r="AT49"/>
      <c r="AU49"/>
      <c r="AV49"/>
      <c r="AW49"/>
      <c r="AX49"/>
      <c r="AY49" s="2"/>
      <c r="AZ49" s="2"/>
      <c r="BA49"/>
      <c r="BB49"/>
      <c r="BC49"/>
      <c r="BD49"/>
      <c r="BE49"/>
      <c r="BF49"/>
      <c r="BG49"/>
      <c r="BH49"/>
      <c r="BI49"/>
      <c r="BJ49"/>
      <c r="BK49"/>
      <c r="BL49"/>
      <c r="BM49"/>
      <c r="BN49"/>
      <c r="BO49"/>
      <c r="BP49"/>
      <c r="BQ49"/>
      <c r="BR49"/>
      <c r="BS49"/>
      <c r="BT49"/>
      <c r="BU49" s="3"/>
      <c r="BV49"/>
      <c r="BW49"/>
      <c r="BX49" s="3"/>
      <c r="BY49" s="3"/>
    </row>
    <row r="50" ht="25.5" customHeight="1">
      <c r="A50" t="inlineStr">
        <is>
          <t>HM0002-EU-XLN</t>
        </is>
      </c>
      <c r="B50"/>
      <c r="C50" t="inlineStr">
        <is>
          <t>HES62电动精密螺丝刀</t>
        </is>
      </c>
      <c r="D50" s="2">
        <v>45859</v>
      </c>
      <c r="E50" t="inlineStr">
        <is>
          <t>新款</t>
        </is>
      </c>
      <c r="F50"/>
      <c r="G50"/>
      <c r="H50" t="inlineStr">
        <is>
          <t>EU</t>
        </is>
      </c>
      <c r="I50"/>
      <c r="J50"/>
      <c r="K50" t="inlineStr">
        <is>
          <t>X</t>
        </is>
      </c>
      <c r="L50" t="inlineStr">
        <is>
          <t>NO</t>
        </is>
      </c>
      <c r="M50"/>
      <c r="N50"/>
      <c r="O50"/>
      <c r="P50"/>
      <c r="Q50"/>
      <c r="R50"/>
      <c r="S50" s="3"/>
      <c r="T50"/>
      <c r="U50" s="3"/>
      <c r="V50" s="3"/>
      <c r="W50"/>
      <c r="X50"/>
      <c r="Y50"/>
      <c r="Z50" s="2"/>
      <c r="AA50" s="2"/>
      <c r="AB50" s="2"/>
      <c r="AC50"/>
      <c r="AD50"/>
      <c r="AE50"/>
      <c r="AF50"/>
      <c r="AG50" s="2"/>
      <c r="AH50" s="2"/>
      <c r="AI50"/>
      <c r="AJ50" s="2"/>
      <c r="AK50"/>
      <c r="AL50"/>
      <c r="AM50"/>
      <c r="AN50"/>
      <c r="AO50"/>
      <c r="AP50" s="2"/>
      <c r="AQ50"/>
      <c r="AR50"/>
      <c r="AS50"/>
      <c r="AT50"/>
      <c r="AU50"/>
      <c r="AV50"/>
      <c r="AW50"/>
      <c r="AX50"/>
      <c r="AY50" s="2"/>
      <c r="AZ50" s="2"/>
      <c r="BA50"/>
      <c r="BB50"/>
      <c r="BC50"/>
      <c r="BD50"/>
      <c r="BE50"/>
      <c r="BF50"/>
      <c r="BG50"/>
      <c r="BH50"/>
      <c r="BI50"/>
      <c r="BJ50"/>
      <c r="BK50"/>
      <c r="BL50"/>
      <c r="BM50"/>
      <c r="BN50"/>
      <c r="BO50"/>
      <c r="BP50"/>
      <c r="BQ50"/>
      <c r="BR50"/>
      <c r="BS50"/>
      <c r="BT50"/>
      <c r="BU50" s="3"/>
      <c r="BV50"/>
      <c r="BW50"/>
      <c r="BX50" s="3"/>
      <c r="BY50" s="3"/>
    </row>
    <row r="51" ht="25.5" customHeight="1">
      <c r="A51" t="inlineStr">
        <is>
          <t>HM0007EU-XLN</t>
        </is>
      </c>
      <c r="B51"/>
      <c r="C51" t="inlineStr">
        <is>
          <t>EGSl11电烙铁套装</t>
        </is>
      </c>
      <c r="D51" s="2">
        <v>45859</v>
      </c>
      <c r="E51" t="inlineStr">
        <is>
          <t>新款</t>
        </is>
      </c>
      <c r="F51"/>
      <c r="G51"/>
      <c r="H51" t="inlineStr">
        <is>
          <t>EU</t>
        </is>
      </c>
      <c r="I51"/>
      <c r="J51"/>
      <c r="K51" t="inlineStr">
        <is>
          <t>X</t>
        </is>
      </c>
      <c r="L51" t="inlineStr">
        <is>
          <t>NO</t>
        </is>
      </c>
      <c r="M51"/>
      <c r="N51"/>
      <c r="O51"/>
      <c r="P51"/>
      <c r="Q51"/>
      <c r="R51"/>
      <c r="S51" s="3"/>
      <c r="T51"/>
      <c r="U51" s="3"/>
      <c r="V51" s="3"/>
      <c r="W51"/>
      <c r="X51"/>
      <c r="Y51"/>
      <c r="Z51" s="2"/>
      <c r="AA51" s="2"/>
      <c r="AB51" s="2"/>
      <c r="AC51"/>
      <c r="AD51"/>
      <c r="AE51"/>
      <c r="AF51"/>
      <c r="AG51" s="2"/>
      <c r="AH51" s="2"/>
      <c r="AI51"/>
      <c r="AJ51" s="2"/>
      <c r="AK51"/>
      <c r="AL51"/>
      <c r="AM51"/>
      <c r="AN51"/>
      <c r="AO51"/>
      <c r="AP51" s="2"/>
      <c r="AQ51"/>
      <c r="AR51"/>
      <c r="AS51"/>
      <c r="AT51"/>
      <c r="AU51"/>
      <c r="AV51"/>
      <c r="AW51"/>
      <c r="AX51"/>
      <c r="AY51" s="2"/>
      <c r="AZ51" s="2"/>
      <c r="BA51"/>
      <c r="BB51"/>
      <c r="BC51"/>
      <c r="BD51"/>
      <c r="BE51"/>
      <c r="BF51"/>
      <c r="BG51"/>
      <c r="BH51"/>
      <c r="BI51"/>
      <c r="BJ51"/>
      <c r="BK51"/>
      <c r="BL51"/>
      <c r="BM51"/>
      <c r="BN51"/>
      <c r="BO51"/>
      <c r="BP51"/>
      <c r="BQ51"/>
      <c r="BR51"/>
      <c r="BS51"/>
      <c r="BT51"/>
      <c r="BU51" s="3"/>
      <c r="BV51"/>
      <c r="BW51"/>
      <c r="BX51" s="3"/>
      <c r="BY51" s="3"/>
    </row>
    <row r="52" ht="25.5" customHeight="1">
      <c r="A52" t="inlineStr">
        <is>
          <t>HM0008EU-XLN</t>
        </is>
      </c>
      <c r="B52"/>
      <c r="C52" t="inlineStr">
        <is>
          <t>ESG11电动精密螺丝批套件</t>
        </is>
      </c>
      <c r="D52" s="2">
        <v>45859</v>
      </c>
      <c r="E52" t="inlineStr">
        <is>
          <t>新款</t>
        </is>
      </c>
      <c r="F52"/>
      <c r="G52"/>
      <c r="H52" t="inlineStr">
        <is>
          <t>EU</t>
        </is>
      </c>
      <c r="I52"/>
      <c r="J52"/>
      <c r="K52" t="inlineStr">
        <is>
          <t>X</t>
        </is>
      </c>
      <c r="L52" t="inlineStr">
        <is>
          <t>NO</t>
        </is>
      </c>
      <c r="M52" t="inlineStr">
        <is>
          <t>R0007US-1</t>
        </is>
      </c>
      <c r="N52"/>
      <c r="O52" t="inlineStr">
        <is>
          <t>US-AP100A</t>
        </is>
      </c>
      <c r="P52"/>
      <c r="Q52"/>
      <c r="R52"/>
      <c r="S52" s="3"/>
      <c r="T52"/>
      <c r="U52" s="3"/>
      <c r="V52" s="3"/>
      <c r="W52"/>
      <c r="X52"/>
      <c r="Y52"/>
      <c r="Z52" s="2"/>
      <c r="AA52" s="2"/>
      <c r="AB52" s="2"/>
      <c r="AC52"/>
      <c r="AD52"/>
      <c r="AE52"/>
      <c r="AF52"/>
      <c r="AG52" s="2"/>
      <c r="AH52" s="2"/>
      <c r="AI52"/>
      <c r="AJ52" s="2"/>
      <c r="AK52"/>
      <c r="AL52"/>
      <c r="AM52"/>
      <c r="AN52"/>
      <c r="AO52"/>
      <c r="AP52" s="2"/>
      <c r="AQ52"/>
      <c r="AR52"/>
      <c r="AS52"/>
      <c r="AT52"/>
      <c r="AU52"/>
      <c r="AV52"/>
      <c r="AW52"/>
      <c r="AX52"/>
      <c r="AY52" s="2"/>
      <c r="AZ52" s="2"/>
      <c r="BA52"/>
      <c r="BB52"/>
      <c r="BC52"/>
      <c r="BD52"/>
      <c r="BE52"/>
      <c r="BF52"/>
      <c r="BG52"/>
      <c r="BH52"/>
      <c r="BI52"/>
      <c r="BJ52"/>
      <c r="BK52"/>
      <c r="BL52"/>
      <c r="BM52"/>
      <c r="BN52"/>
      <c r="BO52"/>
      <c r="BP52"/>
      <c r="BQ52"/>
      <c r="BR52"/>
      <c r="BS52"/>
      <c r="BT52"/>
      <c r="BU52" s="3"/>
      <c r="BV52"/>
      <c r="BW52"/>
      <c r="BX52" s="3"/>
      <c r="BY52" s="3"/>
    </row>
    <row r="53" ht="25.5" customHeight="1">
      <c r="A53" t="inlineStr">
        <is>
          <t>/</t>
        </is>
      </c>
      <c r="B53"/>
      <c r="C53" t="inlineStr">
        <is>
          <t>VC025手持吸尘器</t>
        </is>
      </c>
      <c r="D53" s="2">
        <v>45859</v>
      </c>
      <c r="E53" t="inlineStr">
        <is>
          <t>新款</t>
        </is>
      </c>
      <c r="F53"/>
      <c r="G53"/>
      <c r="H53" t="inlineStr">
        <is>
          <t>EU</t>
        </is>
      </c>
      <c r="I53"/>
      <c r="J53"/>
      <c r="K53" t="inlineStr">
        <is>
          <t>X</t>
        </is>
      </c>
      <c r="L53" t="inlineStr">
        <is>
          <t>NO</t>
        </is>
      </c>
      <c r="M53" t="inlineStr">
        <is>
          <t>R0007EU</t>
        </is>
      </c>
      <c r="N53"/>
      <c r="O53" t="inlineStr">
        <is>
          <t>EU-AP100A</t>
        </is>
      </c>
      <c r="P53"/>
      <c r="Q53"/>
      <c r="R53"/>
      <c r="S53" s="3"/>
      <c r="T53"/>
      <c r="U53" s="3"/>
      <c r="V53" s="3"/>
      <c r="W53"/>
      <c r="X53"/>
      <c r="Y53"/>
      <c r="Z53" s="2"/>
      <c r="AA53" s="2"/>
      <c r="AB53" s="2"/>
      <c r="AC53"/>
      <c r="AD53"/>
      <c r="AE53"/>
      <c r="AF53"/>
      <c r="AG53" s="2"/>
      <c r="AH53" s="2"/>
      <c r="AI53"/>
      <c r="AJ53" s="2"/>
      <c r="AK53"/>
      <c r="AL53"/>
      <c r="AM53"/>
      <c r="AN53"/>
      <c r="AO53"/>
      <c r="AP53" s="2"/>
      <c r="AQ53"/>
      <c r="AR53"/>
      <c r="AS53"/>
      <c r="AT53"/>
      <c r="AU53"/>
      <c r="AV53"/>
      <c r="AW53"/>
      <c r="AX53"/>
      <c r="AY53" s="2"/>
      <c r="AZ53" s="2"/>
      <c r="BA53"/>
      <c r="BB53"/>
      <c r="BC53"/>
      <c r="BD53"/>
      <c r="BE53"/>
      <c r="BF53"/>
      <c r="BG53"/>
      <c r="BH53"/>
      <c r="BI53"/>
      <c r="BJ53"/>
      <c r="BK53"/>
      <c r="BL53"/>
      <c r="BM53"/>
      <c r="BN53"/>
      <c r="BO53"/>
      <c r="BP53"/>
      <c r="BQ53"/>
      <c r="BR53"/>
      <c r="BS53"/>
      <c r="BT53"/>
      <c r="BU53" s="3"/>
      <c r="BV53"/>
      <c r="BW53"/>
      <c r="BX53" s="3"/>
      <c r="BY53" s="3"/>
    </row>
    <row r="54" ht="25.5" customHeight="1">
      <c r="A54" t="inlineStr">
        <is>
          <t>/</t>
        </is>
      </c>
      <c r="B54"/>
      <c r="C54" t="inlineStr">
        <is>
          <t>空净</t>
        </is>
      </c>
      <c r="D54" s="2">
        <v>45859</v>
      </c>
      <c r="E54" t="inlineStr">
        <is>
          <t>新款</t>
        </is>
      </c>
      <c r="F54"/>
      <c r="G54"/>
      <c r="H54" t="inlineStr">
        <is>
          <t>EU</t>
        </is>
      </c>
      <c r="I54"/>
      <c r="J54"/>
      <c r="K54" t="inlineStr">
        <is>
          <t>X</t>
        </is>
      </c>
      <c r="L54" t="inlineStr">
        <is>
          <t>NO</t>
        </is>
      </c>
      <c r="M54" t="inlineStr">
        <is>
          <t>R0007UK</t>
        </is>
      </c>
      <c r="N54"/>
      <c r="O54" t="inlineStr">
        <is>
          <t>UK-AP100A</t>
        </is>
      </c>
      <c r="P54"/>
      <c r="Q54"/>
      <c r="R54"/>
      <c r="S54" s="3"/>
      <c r="T54"/>
      <c r="U54" s="3"/>
      <c r="V54" s="3"/>
      <c r="W54"/>
      <c r="X54"/>
      <c r="Y54"/>
      <c r="Z54" s="2"/>
      <c r="AA54" s="2"/>
      <c r="AB54" s="2"/>
      <c r="AC54"/>
      <c r="AD54"/>
      <c r="AE54"/>
      <c r="AF54"/>
      <c r="AG54" s="2"/>
      <c r="AH54" s="2"/>
      <c r="AI54"/>
      <c r="AJ54" s="2"/>
      <c r="AK54"/>
      <c r="AL54"/>
      <c r="AM54"/>
      <c r="AN54"/>
      <c r="AO54"/>
      <c r="AP54" s="2"/>
      <c r="AQ54"/>
      <c r="AR54"/>
      <c r="AS54"/>
      <c r="AT54"/>
      <c r="AU54"/>
      <c r="AV54"/>
      <c r="AW54"/>
      <c r="AX54"/>
      <c r="AY54" s="2"/>
      <c r="AZ54" s="2"/>
      <c r="BA54"/>
      <c r="BB54"/>
      <c r="BC54"/>
      <c r="BD54"/>
      <c r="BE54"/>
      <c r="BF54"/>
      <c r="BG54"/>
      <c r="BH54"/>
      <c r="BI54"/>
      <c r="BJ54"/>
      <c r="BK54"/>
      <c r="BL54"/>
      <c r="BM54"/>
      <c r="BN54"/>
      <c r="BO54"/>
      <c r="BP54"/>
      <c r="BQ54"/>
      <c r="BR54"/>
      <c r="BS54"/>
      <c r="BT54"/>
      <c r="BU54" s="3"/>
      <c r="BV54"/>
      <c r="BW54"/>
      <c r="BX54" s="3"/>
      <c r="BY54" s="3"/>
    </row>
    <row r="55" ht="25.5" customHeight="1">
      <c r="A55" t="inlineStr">
        <is>
          <t>/</t>
        </is>
      </c>
      <c r="B55"/>
      <c r="C55" t="inlineStr">
        <is>
          <t>UV杀菌牙刷架</t>
        </is>
      </c>
      <c r="D55" s="2">
        <v>45859</v>
      </c>
      <c r="E55" t="inlineStr">
        <is>
          <t>新款</t>
        </is>
      </c>
      <c r="F55"/>
      <c r="G55"/>
      <c r="H55" t="inlineStr">
        <is>
          <t>EU</t>
        </is>
      </c>
      <c r="I55"/>
      <c r="J55"/>
      <c r="K55" t="inlineStr">
        <is>
          <t>X</t>
        </is>
      </c>
      <c r="L55" t="inlineStr">
        <is>
          <t>NO</t>
        </is>
      </c>
      <c r="M55" t="inlineStr">
        <is>
          <t>R0008US</t>
        </is>
      </c>
      <c r="N55"/>
      <c r="O55" t="inlineStr">
        <is>
          <t>EU-F100A</t>
        </is>
      </c>
      <c r="P55"/>
      <c r="Q55"/>
      <c r="R55"/>
      <c r="S55" s="3"/>
      <c r="T55"/>
      <c r="U55" s="3"/>
      <c r="V55" s="3"/>
      <c r="W55"/>
      <c r="X55"/>
      <c r="Y55"/>
      <c r="Z55" s="2"/>
      <c r="AA55" s="2"/>
      <c r="AB55" s="2"/>
      <c r="AC55"/>
      <c r="AD55"/>
      <c r="AE55"/>
      <c r="AF55"/>
      <c r="AG55" s="2"/>
      <c r="AH55" s="2"/>
      <c r="AI55"/>
      <c r="AJ55" s="2"/>
      <c r="AK55"/>
      <c r="AL55"/>
      <c r="AM55"/>
      <c r="AN55"/>
      <c r="AO55"/>
      <c r="AP55" s="2"/>
      <c r="AQ55"/>
      <c r="AR55"/>
      <c r="AS55"/>
      <c r="AT55"/>
      <c r="AU55"/>
      <c r="AV55"/>
      <c r="AW55"/>
      <c r="AX55"/>
      <c r="AY55" s="2"/>
      <c r="AZ55" s="2"/>
      <c r="BA55"/>
      <c r="BB55"/>
      <c r="BC55"/>
      <c r="BD55"/>
      <c r="BE55"/>
      <c r="BF55"/>
      <c r="BG55"/>
      <c r="BH55"/>
      <c r="BI55"/>
      <c r="BJ55"/>
      <c r="BK55"/>
      <c r="BL55"/>
      <c r="BM55"/>
      <c r="BN55"/>
      <c r="BO55"/>
      <c r="BP55"/>
      <c r="BQ55"/>
      <c r="BR55"/>
      <c r="BS55"/>
      <c r="BT55"/>
      <c r="BU55" s="3"/>
      <c r="BV55"/>
      <c r="BW55"/>
      <c r="BX55" s="3"/>
      <c r="BY55" s="3"/>
    </row>
    <row r="56" ht="25.5" customHeight="1">
      <c r="A56" t="inlineStr">
        <is>
          <t>HM0001UK-XLN</t>
        </is>
      </c>
      <c r="B56"/>
      <c r="C56" t="inlineStr">
        <is>
          <t>VC025手持吸尘器英国</t>
        </is>
      </c>
      <c r="D56" s="2">
        <v>45860</v>
      </c>
      <c r="E56" t="inlineStr">
        <is>
          <t>新款</t>
        </is>
      </c>
      <c r="F56"/>
      <c r="G56"/>
      <c r="H56" t="inlineStr">
        <is>
          <t>UK</t>
        </is>
      </c>
      <c r="I56"/>
      <c r="J56"/>
      <c r="K56" t="inlineStr">
        <is>
          <t>X</t>
        </is>
      </c>
      <c r="L56" t="inlineStr">
        <is>
          <t>NO</t>
        </is>
      </c>
      <c r="M56" t="inlineStr">
        <is>
          <t>R0008EU-1</t>
        </is>
      </c>
      <c r="N56"/>
      <c r="O56" t="inlineStr">
        <is>
          <t>EU-F100A</t>
        </is>
      </c>
      <c r="P56"/>
      <c r="Q56"/>
      <c r="R56"/>
      <c r="S56" s="3"/>
      <c r="T56"/>
      <c r="U56" s="3"/>
      <c r="V56" s="3"/>
      <c r="W56"/>
      <c r="X56"/>
      <c r="Y56"/>
      <c r="Z56" s="2"/>
      <c r="AA56" s="2"/>
      <c r="AB56" s="2"/>
      <c r="AC56"/>
      <c r="AD56"/>
      <c r="AE56"/>
      <c r="AF56"/>
      <c r="AG56" s="2"/>
      <c r="AH56" s="2"/>
      <c r="AI56"/>
      <c r="AJ56" s="2"/>
      <c r="AK56"/>
      <c r="AL56"/>
      <c r="AM56"/>
      <c r="AN56"/>
      <c r="AO56"/>
      <c r="AP56" s="2"/>
      <c r="AQ56"/>
      <c r="AR56"/>
      <c r="AS56"/>
      <c r="AT56"/>
      <c r="AU56"/>
      <c r="AV56"/>
      <c r="AW56"/>
      <c r="AX56"/>
      <c r="AY56" s="2"/>
      <c r="AZ56" s="2"/>
      <c r="BA56"/>
      <c r="BB56"/>
      <c r="BC56"/>
      <c r="BD56"/>
      <c r="BE56"/>
      <c r="BF56"/>
      <c r="BG56"/>
      <c r="BH56"/>
      <c r="BI56"/>
      <c r="BJ56"/>
      <c r="BK56"/>
      <c r="BL56"/>
      <c r="BM56"/>
      <c r="BN56"/>
      <c r="BO56"/>
      <c r="BP56"/>
      <c r="BQ56"/>
      <c r="BR56"/>
      <c r="BS56"/>
      <c r="BT56"/>
      <c r="BU56" s="3"/>
      <c r="BV56"/>
      <c r="BW56"/>
      <c r="BX56" s="3"/>
      <c r="BY56" s="3"/>
    </row>
    <row r="57" ht="25.5" customHeight="1">
      <c r="A57" t="inlineStr">
        <is>
          <t>HM0001EU-XLN</t>
        </is>
      </c>
      <c r="B57"/>
      <c r="C57" t="inlineStr">
        <is>
          <t>VC025手持吸尘器欧洲</t>
        </is>
      </c>
      <c r="D57" s="2">
        <v>45860</v>
      </c>
      <c r="E57" t="inlineStr">
        <is>
          <t>新款</t>
        </is>
      </c>
      <c r="F57"/>
      <c r="G57"/>
      <c r="H57" t="inlineStr">
        <is>
          <t>EU</t>
        </is>
      </c>
      <c r="I57"/>
      <c r="J57"/>
      <c r="K57" t="inlineStr">
        <is>
          <t>X</t>
        </is>
      </c>
      <c r="L57" t="inlineStr">
        <is>
          <t>NO</t>
        </is>
      </c>
      <c r="M57" t="inlineStr">
        <is>
          <t>R0008UK</t>
        </is>
      </c>
      <c r="N57"/>
      <c r="O57" t="inlineStr">
        <is>
          <t>EU-F100A</t>
        </is>
      </c>
      <c r="P57"/>
      <c r="Q57"/>
      <c r="R57"/>
      <c r="S57" s="3"/>
      <c r="T57"/>
      <c r="U57" s="3"/>
      <c r="V57" s="3"/>
      <c r="W57"/>
      <c r="X57"/>
      <c r="Y57"/>
      <c r="Z57" s="2"/>
      <c r="AA57" s="2"/>
      <c r="AB57" s="2"/>
      <c r="AC57"/>
      <c r="AD57"/>
      <c r="AE57"/>
      <c r="AF57"/>
      <c r="AG57" s="2"/>
      <c r="AH57" s="2"/>
      <c r="AI57"/>
      <c r="AJ57" s="2"/>
      <c r="AK57"/>
      <c r="AL57"/>
      <c r="AM57"/>
      <c r="AN57"/>
      <c r="AO57"/>
      <c r="AP57" s="2"/>
      <c r="AQ57"/>
      <c r="AR57"/>
      <c r="AS57"/>
      <c r="AT57"/>
      <c r="AU57"/>
      <c r="AV57"/>
      <c r="AW57"/>
      <c r="AX57"/>
      <c r="AY57" s="2"/>
      <c r="AZ57" s="2"/>
      <c r="BA57"/>
      <c r="BB57"/>
      <c r="BC57"/>
      <c r="BD57"/>
      <c r="BE57"/>
      <c r="BF57"/>
      <c r="BG57"/>
      <c r="BH57"/>
      <c r="BI57"/>
      <c r="BJ57"/>
      <c r="BK57"/>
      <c r="BL57"/>
      <c r="BM57"/>
      <c r="BN57"/>
      <c r="BO57"/>
      <c r="BP57"/>
      <c r="BQ57"/>
      <c r="BR57"/>
      <c r="BS57"/>
      <c r="BT57"/>
      <c r="BU57" s="3"/>
      <c r="BV57"/>
      <c r="BW57"/>
      <c r="BX57" s="3"/>
      <c r="BY57" s="3"/>
    </row>
    <row r="58" ht="25.5" customHeight="1">
      <c r="A58"/>
      <c r="B58"/>
      <c r="C58"/>
      <c r="D58" s="2"/>
      <c r="E58"/>
      <c r="F58"/>
      <c r="G58"/>
      <c r="H58"/>
      <c r="I58"/>
      <c r="J58"/>
      <c r="K58"/>
      <c r="L58"/>
      <c r="M58"/>
      <c r="N58"/>
      <c r="O58"/>
      <c r="P58"/>
      <c r="Q58"/>
      <c r="R58"/>
      <c r="S58" s="3"/>
      <c r="T58"/>
      <c r="U58" s="3"/>
      <c r="V58" s="3"/>
      <c r="W58"/>
      <c r="X58"/>
      <c r="Y58"/>
      <c r="Z58" s="2"/>
      <c r="AA58" s="2"/>
      <c r="AB58" s="2"/>
      <c r="AC58"/>
      <c r="AD58"/>
      <c r="AE58"/>
      <c r="AF58"/>
      <c r="AG58" s="2"/>
      <c r="AH58" s="2"/>
      <c r="AI58"/>
      <c r="AJ58" s="2"/>
      <c r="AK58"/>
      <c r="AL58"/>
      <c r="AM58"/>
      <c r="AN58"/>
      <c r="AO58"/>
      <c r="AP58" s="2"/>
      <c r="AQ58"/>
      <c r="AR58"/>
      <c r="AS58"/>
      <c r="AT58"/>
      <c r="AU58"/>
      <c r="AV58"/>
      <c r="AW58"/>
      <c r="AX58"/>
      <c r="AY58" s="2"/>
      <c r="AZ58" s="2"/>
      <c r="BA58"/>
      <c r="BB58"/>
      <c r="BC58"/>
      <c r="BD58"/>
      <c r="BE58"/>
      <c r="BF58"/>
      <c r="BG58"/>
      <c r="BH58"/>
      <c r="BI58"/>
      <c r="BJ58"/>
      <c r="BK58"/>
      <c r="BL58"/>
      <c r="BM58"/>
      <c r="BN58"/>
      <c r="BO58"/>
      <c r="BP58"/>
      <c r="BQ58"/>
      <c r="BR58"/>
      <c r="BS58"/>
      <c r="BT58"/>
      <c r="BU58" s="3"/>
      <c r="BV58"/>
      <c r="BW58"/>
      <c r="BX58" s="3"/>
      <c r="BY58" s="3"/>
    </row>
    <row r="59" ht="25.5" customHeight="1">
      <c r="A59" t="inlineStr">
        <is>
          <t>R0007US-1</t>
        </is>
      </c>
      <c r="B59"/>
      <c r="C59" t="inlineStr">
        <is>
          <t>美国空净100 机子</t>
        </is>
      </c>
      <c r="D59" s="2">
        <v>45860</v>
      </c>
      <c r="E59" t="inlineStr">
        <is>
          <t>新款</t>
        </is>
      </c>
      <c r="F59"/>
      <c r="G59"/>
      <c r="H59" t="inlineStr">
        <is>
          <t>US</t>
        </is>
      </c>
      <c r="I59"/>
      <c r="J59"/>
      <c r="K59" t="inlineStr">
        <is>
          <t>X</t>
        </is>
      </c>
      <c r="L59" t="inlineStr">
        <is>
          <t>NO</t>
        </is>
      </c>
      <c r="M59"/>
      <c r="N59"/>
      <c r="O59"/>
      <c r="P59"/>
      <c r="Q59"/>
      <c r="R59"/>
      <c r="S59" s="3"/>
      <c r="T59"/>
      <c r="U59" s="3"/>
      <c r="V59" s="3"/>
      <c r="W59"/>
      <c r="X59"/>
      <c r="Y59"/>
      <c r="Z59" s="2"/>
      <c r="AA59" s="2"/>
      <c r="AB59" s="2"/>
      <c r="AC59"/>
      <c r="AD59"/>
      <c r="AE59"/>
      <c r="AF59"/>
      <c r="AG59" s="2"/>
      <c r="AH59" s="2"/>
      <c r="AI59"/>
      <c r="AJ59" s="2"/>
      <c r="AK59"/>
      <c r="AL59"/>
      <c r="AM59"/>
      <c r="AN59"/>
      <c r="AO59"/>
      <c r="AP59" s="2"/>
      <c r="AQ59"/>
      <c r="AR59"/>
      <c r="AS59"/>
      <c r="AT59"/>
      <c r="AU59"/>
      <c r="AV59"/>
      <c r="AW59"/>
      <c r="AX59"/>
      <c r="AY59" s="2"/>
      <c r="AZ59" s="2"/>
      <c r="BA59"/>
      <c r="BB59"/>
      <c r="BC59"/>
      <c r="BD59"/>
      <c r="BE59"/>
      <c r="BF59"/>
      <c r="BG59"/>
      <c r="BH59"/>
      <c r="BI59"/>
      <c r="BJ59"/>
      <c r="BK59"/>
      <c r="BL59"/>
      <c r="BM59"/>
      <c r="BN59"/>
      <c r="BO59"/>
      <c r="BP59"/>
      <c r="BQ59"/>
      <c r="BR59"/>
      <c r="BS59"/>
      <c r="BT59"/>
      <c r="BU59" s="3"/>
      <c r="BV59"/>
      <c r="BW59"/>
      <c r="BX59" s="3"/>
      <c r="BY59" s="3"/>
    </row>
    <row r="60" ht="25.5" customHeight="1">
      <c r="A60" t="inlineStr">
        <is>
          <t>R0007EU</t>
        </is>
      </c>
      <c r="B60"/>
      <c r="C60" t="inlineStr">
        <is>
          <t>欧洲 空净100 机子</t>
        </is>
      </c>
      <c r="D60" s="2">
        <v>45860</v>
      </c>
      <c r="E60" t="inlineStr">
        <is>
          <t>新款</t>
        </is>
      </c>
      <c r="F60"/>
      <c r="G60"/>
      <c r="H60" t="inlineStr">
        <is>
          <t>EU</t>
        </is>
      </c>
      <c r="I60"/>
      <c r="J60"/>
      <c r="K60" t="inlineStr">
        <is>
          <t>X</t>
        </is>
      </c>
      <c r="L60" t="inlineStr">
        <is>
          <t>NO</t>
        </is>
      </c>
      <c r="M60"/>
      <c r="N60"/>
      <c r="O60"/>
      <c r="P60"/>
      <c r="Q60"/>
      <c r="R60"/>
      <c r="S60" s="3"/>
      <c r="T60"/>
      <c r="U60" s="3"/>
      <c r="V60" s="3"/>
      <c r="W60"/>
      <c r="X60"/>
      <c r="Y60"/>
      <c r="Z60" s="2"/>
      <c r="AA60" s="2"/>
      <c r="AB60" s="2"/>
      <c r="AC60"/>
      <c r="AD60"/>
      <c r="AE60"/>
      <c r="AF60"/>
      <c r="AG60" s="2"/>
      <c r="AH60" s="2"/>
      <c r="AI60"/>
      <c r="AJ60" s="2"/>
      <c r="AK60"/>
      <c r="AL60"/>
      <c r="AM60"/>
      <c r="AN60"/>
      <c r="AO60"/>
      <c r="AP60" s="2"/>
      <c r="AQ60"/>
      <c r="AR60"/>
      <c r="AS60"/>
      <c r="AT60"/>
      <c r="AU60"/>
      <c r="AV60"/>
      <c r="AW60"/>
      <c r="AX60"/>
      <c r="AY60" s="2"/>
      <c r="AZ60" s="2"/>
      <c r="BA60"/>
      <c r="BB60"/>
      <c r="BC60"/>
      <c r="BD60"/>
      <c r="BE60"/>
      <c r="BF60"/>
      <c r="BG60"/>
      <c r="BH60"/>
      <c r="BI60"/>
      <c r="BJ60"/>
      <c r="BK60"/>
      <c r="BL60"/>
      <c r="BM60"/>
      <c r="BN60"/>
      <c r="BO60"/>
      <c r="BP60"/>
      <c r="BQ60"/>
      <c r="BR60"/>
      <c r="BS60"/>
      <c r="BT60"/>
      <c r="BU60" s="3"/>
      <c r="BV60"/>
      <c r="BW60"/>
      <c r="BX60" s="3"/>
      <c r="BY60" s="3"/>
    </row>
    <row r="61" ht="25.5" customHeight="1">
      <c r="A61" t="inlineStr">
        <is>
          <t>R0007UK</t>
        </is>
      </c>
      <c r="B61"/>
      <c r="C61" t="inlineStr">
        <is>
          <t>英国空净100 机子</t>
        </is>
      </c>
      <c r="D61" s="2">
        <v>45860</v>
      </c>
      <c r="E61" t="inlineStr">
        <is>
          <t>新款</t>
        </is>
      </c>
      <c r="F61"/>
      <c r="G61"/>
      <c r="H61" t="inlineStr">
        <is>
          <t>UK</t>
        </is>
      </c>
      <c r="I61"/>
      <c r="J61"/>
      <c r="K61" t="inlineStr">
        <is>
          <t>X</t>
        </is>
      </c>
      <c r="L61" t="inlineStr">
        <is>
          <t>NO</t>
        </is>
      </c>
      <c r="M61"/>
      <c r="N61"/>
      <c r="O61"/>
      <c r="P61"/>
      <c r="Q61"/>
      <c r="R61"/>
      <c r="S61" s="3"/>
      <c r="T61"/>
      <c r="U61" s="3"/>
      <c r="V61" s="3"/>
      <c r="W61"/>
      <c r="X61"/>
      <c r="Y61"/>
      <c r="Z61" s="2"/>
      <c r="AA61" s="2"/>
      <c r="AB61" s="2"/>
      <c r="AC61"/>
      <c r="AD61"/>
      <c r="AE61"/>
      <c r="AF61"/>
      <c r="AG61" s="2"/>
      <c r="AH61" s="2"/>
      <c r="AI61"/>
      <c r="AJ61" s="2"/>
      <c r="AK61"/>
      <c r="AL61"/>
      <c r="AM61"/>
      <c r="AN61"/>
      <c r="AO61"/>
      <c r="AP61" s="2"/>
      <c r="AQ61"/>
      <c r="AR61"/>
      <c r="AS61"/>
      <c r="AT61"/>
      <c r="AU61"/>
      <c r="AV61"/>
      <c r="AW61"/>
      <c r="AX61"/>
      <c r="AY61" s="2"/>
      <c r="AZ61" s="2"/>
      <c r="BA61"/>
      <c r="BB61"/>
      <c r="BC61"/>
      <c r="BD61"/>
      <c r="BE61"/>
      <c r="BF61"/>
      <c r="BG61"/>
      <c r="BH61"/>
      <c r="BI61"/>
      <c r="BJ61"/>
      <c r="BK61"/>
      <c r="BL61"/>
      <c r="BM61"/>
      <c r="BN61"/>
      <c r="BO61"/>
      <c r="BP61"/>
      <c r="BQ61"/>
      <c r="BR61"/>
      <c r="BS61"/>
      <c r="BT61"/>
      <c r="BU61" s="3"/>
      <c r="BV61"/>
      <c r="BW61"/>
      <c r="BX61" s="3"/>
      <c r="BY61" s="3"/>
    </row>
    <row r="62" ht="25.5" customHeight="1">
      <c r="A62" t="inlineStr">
        <is>
          <t>R0008US</t>
        </is>
      </c>
      <c r="B62"/>
      <c r="C62" t="inlineStr">
        <is>
          <t>美国空净100 滤芯</t>
        </is>
      </c>
      <c r="D62" s="2">
        <v>45860</v>
      </c>
      <c r="E62" t="inlineStr">
        <is>
          <t>新款</t>
        </is>
      </c>
      <c r="F62"/>
      <c r="G62"/>
      <c r="H62" t="inlineStr">
        <is>
          <t>US</t>
        </is>
      </c>
      <c r="I62"/>
      <c r="J62"/>
      <c r="K62" t="inlineStr">
        <is>
          <t>X</t>
        </is>
      </c>
      <c r="L62" t="inlineStr">
        <is>
          <t>NO</t>
        </is>
      </c>
      <c r="M62"/>
      <c r="N62"/>
      <c r="O62"/>
      <c r="P62"/>
      <c r="Q62"/>
      <c r="R62"/>
      <c r="S62" s="3"/>
      <c r="T62"/>
      <c r="U62" s="3"/>
      <c r="V62" s="3"/>
      <c r="W62"/>
      <c r="X62"/>
      <c r="Y62"/>
      <c r="Z62" s="2"/>
      <c r="AA62" s="2"/>
      <c r="AB62" s="2"/>
      <c r="AC62"/>
      <c r="AD62"/>
      <c r="AE62"/>
      <c r="AF62"/>
      <c r="AG62" s="2"/>
      <c r="AH62" s="2"/>
      <c r="AI62"/>
      <c r="AJ62" s="2"/>
      <c r="AK62"/>
      <c r="AL62"/>
      <c r="AM62"/>
      <c r="AN62"/>
      <c r="AO62"/>
      <c r="AP62" s="2"/>
      <c r="AQ62"/>
      <c r="AR62"/>
      <c r="AS62"/>
      <c r="AT62"/>
      <c r="AU62"/>
      <c r="AV62"/>
      <c r="AW62"/>
      <c r="AX62"/>
      <c r="AY62" s="2"/>
      <c r="AZ62" s="2"/>
      <c r="BA62"/>
      <c r="BB62"/>
      <c r="BC62"/>
      <c r="BD62"/>
      <c r="BE62"/>
      <c r="BF62"/>
      <c r="BG62"/>
      <c r="BH62"/>
      <c r="BI62"/>
      <c r="BJ62"/>
      <c r="BK62"/>
      <c r="BL62"/>
      <c r="BM62"/>
      <c r="BN62"/>
      <c r="BO62"/>
      <c r="BP62"/>
      <c r="BQ62"/>
      <c r="BR62"/>
      <c r="BS62"/>
      <c r="BT62"/>
      <c r="BU62" s="3"/>
      <c r="BV62"/>
      <c r="BW62"/>
      <c r="BX62" s="3"/>
      <c r="BY62" s="3"/>
    </row>
    <row r="63" ht="25.5" customHeight="1">
      <c r="A63" t="inlineStr">
        <is>
          <t>R0008EU-1</t>
        </is>
      </c>
      <c r="B63"/>
      <c r="C63" t="inlineStr">
        <is>
          <t>欧洲 空净100 滤芯</t>
        </is>
      </c>
      <c r="D63" s="2">
        <v>45860</v>
      </c>
      <c r="E63" t="inlineStr">
        <is>
          <t>新款</t>
        </is>
      </c>
      <c r="F63"/>
      <c r="G63"/>
      <c r="H63" t="inlineStr">
        <is>
          <t>EU</t>
        </is>
      </c>
      <c r="I63"/>
      <c r="J63"/>
      <c r="K63" t="inlineStr">
        <is>
          <t>X</t>
        </is>
      </c>
      <c r="L63" t="inlineStr">
        <is>
          <t>NO</t>
        </is>
      </c>
      <c r="M63"/>
      <c r="N63"/>
      <c r="O63"/>
      <c r="P63"/>
      <c r="Q63"/>
      <c r="R63"/>
      <c r="S63" s="3"/>
      <c r="T63"/>
      <c r="U63" s="3"/>
      <c r="V63" s="3"/>
      <c r="W63"/>
      <c r="X63"/>
      <c r="Y63"/>
      <c r="Z63" s="2"/>
      <c r="AA63" s="2"/>
      <c r="AB63" s="2"/>
      <c r="AC63"/>
      <c r="AD63"/>
      <c r="AE63"/>
      <c r="AF63"/>
      <c r="AG63" s="2"/>
      <c r="AH63" s="2"/>
      <c r="AI63"/>
      <c r="AJ63" s="2"/>
      <c r="AK63"/>
      <c r="AL63"/>
      <c r="AM63"/>
      <c r="AN63"/>
      <c r="AO63"/>
      <c r="AP63" s="2"/>
      <c r="AQ63"/>
      <c r="AR63"/>
      <c r="AS63"/>
      <c r="AT63"/>
      <c r="AU63"/>
      <c r="AV63"/>
      <c r="AW63"/>
      <c r="AX63"/>
      <c r="AY63" s="2"/>
      <c r="AZ63" s="2"/>
      <c r="BA63"/>
      <c r="BB63"/>
      <c r="BC63"/>
      <c r="BD63"/>
      <c r="BE63"/>
      <c r="BF63"/>
      <c r="BG63"/>
      <c r="BH63"/>
      <c r="BI63"/>
      <c r="BJ63"/>
      <c r="BK63"/>
      <c r="BL63"/>
      <c r="BM63"/>
      <c r="BN63"/>
      <c r="BO63"/>
      <c r="BP63"/>
      <c r="BQ63"/>
      <c r="BR63"/>
      <c r="BS63"/>
      <c r="BT63"/>
      <c r="BU63" s="3"/>
      <c r="BV63"/>
      <c r="BW63"/>
      <c r="BX63" s="3"/>
      <c r="BY63" s="3"/>
    </row>
    <row r="64" ht="25.5" customHeight="1">
      <c r="A64" t="inlineStr">
        <is>
          <t>R0008UK</t>
        </is>
      </c>
      <c r="B64"/>
      <c r="C64" t="inlineStr">
        <is>
          <t>英国空净100 滤芯</t>
        </is>
      </c>
      <c r="D64" s="2">
        <v>45860</v>
      </c>
      <c r="E64" t="inlineStr">
        <is>
          <t>新款</t>
        </is>
      </c>
      <c r="F64"/>
      <c r="G64"/>
      <c r="H64" t="inlineStr">
        <is>
          <t>UK</t>
        </is>
      </c>
      <c r="I64"/>
      <c r="J64"/>
      <c r="K64" t="inlineStr">
        <is>
          <t>X</t>
        </is>
      </c>
      <c r="L64" t="inlineStr">
        <is>
          <t>NO</t>
        </is>
      </c>
      <c r="M64"/>
      <c r="N64"/>
      <c r="O64"/>
      <c r="P64"/>
      <c r="Q64"/>
      <c r="R64"/>
      <c r="S64" s="3"/>
      <c r="T64"/>
      <c r="U64" s="3"/>
      <c r="V64" s="3"/>
      <c r="W64"/>
      <c r="X64"/>
      <c r="Y64"/>
      <c r="Z64" s="2"/>
      <c r="AA64" s="2"/>
      <c r="AB64" s="2"/>
      <c r="AC64"/>
      <c r="AD64"/>
      <c r="AE64"/>
      <c r="AF64"/>
      <c r="AG64" s="2"/>
      <c r="AH64" s="2"/>
      <c r="AI64"/>
      <c r="AJ64" s="2"/>
      <c r="AK64"/>
      <c r="AL64"/>
      <c r="AM64"/>
      <c r="AN64"/>
      <c r="AO64"/>
      <c r="AP64" s="2"/>
      <c r="AQ64"/>
      <c r="AR64"/>
      <c r="AS64"/>
      <c r="AT64"/>
      <c r="AU64"/>
      <c r="AV64"/>
      <c r="AW64"/>
      <c r="AX64"/>
      <c r="AY64" s="2"/>
      <c r="AZ64" s="2"/>
      <c r="BA64"/>
      <c r="BB64"/>
      <c r="BC64"/>
      <c r="BD64"/>
      <c r="BE64"/>
      <c r="BF64"/>
      <c r="BG64"/>
      <c r="BH64"/>
      <c r="BI64"/>
      <c r="BJ64"/>
      <c r="BK64"/>
      <c r="BL64"/>
      <c r="BM64"/>
      <c r="BN64"/>
      <c r="BO64"/>
      <c r="BP64"/>
      <c r="BQ64"/>
      <c r="BR64"/>
      <c r="BS64"/>
      <c r="BT64"/>
      <c r="BU64" s="3"/>
      <c r="BV64"/>
      <c r="BW64"/>
      <c r="BX64" s="3"/>
      <c r="BY64" s="3"/>
    </row>
  </sheetData>
  <dataValidations count="8">
    <dataValidation allowBlank="false" sqref="E2:E63" type="list">
      <formula1>"主推款,新款"</formula1>
    </dataValidation>
    <dataValidation allowBlank="false" sqref="G2:G63" type="list">
      <formula1>"祥乐牛 EU+US和tiktok店铺,VC1_EU"</formula1>
    </dataValidation>
    <dataValidation allowBlank="false" sqref="H2:H63" type="list">
      <formula1>"DE,UK,EU,US"</formula1>
    </dataValidation>
    <dataValidation allowBlank="false" sqref="I2:I63" type="list">
      <formula1>"马孝飞,唐高峰"</formula1>
    </dataValidation>
    <dataValidation allowBlank="false" sqref="P2:P63" type="list">
      <formula1>"YES,HYCHIKA-AP100A-空净,HYCHIKA-F100A-滤芯"</formula1>
    </dataValidation>
    <dataValidation allowBlank="false" sqref="X2:X63" type="list">
      <formula1>"B0F1F6W85W,B0F1F5JSWK,B0F1TQRVJK,B0F1TWR4BJ,B0F1F7J8V3,B0F1F535PC"</formula1>
    </dataValidation>
    <dataValidation allowBlank="false" sqref="AI2:AI63" type="list">
      <formula1>"1+10+10VP+10VINE,1+10+9VP+2VINE,-"</formula1>
    </dataValidation>
    <dataValidation allowBlank="false" sqref="AL2:AL63" type="list">
      <formula1>"3组,-"</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s>
  <sheetData>
    <row r="1" ht="13" customHeight="1">
      <c r="A1" s="1" t="inlineStr">
        <is>
          <t>列1</t>
        </is>
      </c>
      <c r="B1" s="1" t="inlineStr">
        <is>
          <t>品名</t>
        </is>
      </c>
      <c r="C1" s="1" t="inlineStr">
        <is>
          <t>售价</t>
        </is>
      </c>
      <c r="D1" s="1" t="inlineStr">
        <is>
          <t>汇率</t>
        </is>
      </c>
      <c r="E1" s="1" t="inlineStr">
        <is>
          <t>进价（￥不含税价）</t>
        </is>
      </c>
      <c r="F1" s="1" t="inlineStr">
        <is>
          <t>进价（$）</t>
        </is>
      </c>
      <c r="G1" s="1" t="inlineStr">
        <is>
          <t>头程￥</t>
        </is>
      </c>
      <c r="H1" s="1" t="inlineStr">
        <is>
          <t>头程（$）</t>
        </is>
      </c>
      <c r="I1" s="1" t="inlineStr">
        <is>
          <t>FBA</t>
        </is>
      </c>
      <c r="J1" s="1" t="inlineStr">
        <is>
          <t>成本合计</t>
        </is>
      </c>
      <c r="K1" s="1" t="inlineStr">
        <is>
          <t>抽佣比例</t>
        </is>
      </c>
      <c r="L1" s="1" t="inlineStr">
        <is>
          <t>佣金</t>
        </is>
      </c>
      <c r="M1" s="1" t="inlineStr">
        <is>
          <t>配送费</t>
        </is>
      </c>
      <c r="N1" s="1" t="inlineStr">
        <is>
          <t>毛利（1）</t>
        </is>
      </c>
      <c r="O1" s="1" t="inlineStr">
        <is>
          <t>毛利率（1）</t>
        </is>
      </c>
      <c r="P1" s="1" t="inlineStr">
        <is>
          <t>仓库调拨费</t>
        </is>
      </c>
      <c r="Q1" s="1" t="inlineStr">
        <is>
          <t>退货率</t>
        </is>
      </c>
      <c r="R1" s="1" t="inlineStr">
        <is>
          <t>送测成本</t>
        </is>
      </c>
      <c r="S1" s="1" t="inlineStr">
        <is>
          <t>广告费</t>
        </is>
      </c>
      <c r="T1" s="1" t="inlineStr">
        <is>
          <t>毛利</t>
        </is>
      </c>
      <c r="U1" s="1" t="inlineStr">
        <is>
          <t>毛利率</t>
        </is>
      </c>
      <c r="V1" s="1" t="inlineStr">
        <is>
          <t>备注</t>
        </is>
      </c>
      <c r="W1" s="1" t="inlineStr">
        <is>
          <t>采购比</t>
        </is>
      </c>
      <c r="X1" s="1" t="inlineStr">
        <is>
          <t>头程占比</t>
        </is>
      </c>
      <c r="Y1" s="1" t="inlineStr">
        <is>
          <t>尾程占比</t>
        </is>
      </c>
      <c r="Z1" s="1" t="inlineStr">
        <is>
          <t>FBA配送费占比</t>
        </is>
      </c>
      <c r="AA1" s="1" t="inlineStr">
        <is>
          <t>佣金占比</t>
        </is>
      </c>
      <c r="AB1" s="1" t="inlineStr">
        <is>
          <t>广告占比</t>
        </is>
      </c>
      <c r="AC1" s="1" t="inlineStr">
        <is>
          <t>其他费用占比</t>
        </is>
      </c>
      <c r="AD1" s="1" t="inlineStr">
        <is>
          <t>预估退货率</t>
        </is>
      </c>
      <c r="AE1" s="1" t="inlineStr">
        <is>
          <t>站外推广</t>
        </is>
      </c>
      <c r="AF1" s="1" t="inlineStr">
        <is>
          <t>毛利率（2）</t>
        </is>
      </c>
    </row>
    <row r="2" ht="25.5" customHeight="1">
      <c r="A2" t="inlineStr">
        <is>
          <t>海运</t>
        </is>
      </c>
      <c r="B2"/>
      <c r="C2">
        <v>99.99</v>
      </c>
      <c r="D2">
        <v>7.1</v>
      </c>
      <c r="E2">
        <v>120.8</v>
      </c>
      <c r="F2" t="inlineStr">
        <is>
          <t>17.014</t>
        </is>
      </c>
      <c r="G2">
        <v>55</v>
      </c>
      <c r="H2" t="inlineStr">
        <is>
          <t>7.75</t>
        </is>
      </c>
      <c r="I2">
        <v>13.41</v>
      </c>
      <c r="J2" t="inlineStr">
        <is>
          <t>62.24</t>
        </is>
      </c>
      <c r="K2">
        <v>0.15</v>
      </c>
      <c r="L2" t="inlineStr">
        <is>
          <t>15.00</t>
        </is>
      </c>
      <c r="M2">
        <v>0</v>
      </c>
      <c r="N2" t="inlineStr">
        <is>
          <t>37.75</t>
        </is>
      </c>
      <c r="O2" t="inlineStr">
        <is>
          <t>38%</t>
        </is>
      </c>
      <c r="P2">
        <v>0.9999</v>
      </c>
      <c r="Q2">
        <v>0.07</v>
      </c>
      <c r="R2">
        <v>0.9999</v>
      </c>
      <c r="S2" t="inlineStr">
        <is>
          <t>8.0</t>
        </is>
      </c>
      <c r="T2" t="inlineStr">
        <is>
          <t>37.751836620</t>
        </is>
      </c>
      <c r="U2" t="inlineStr">
        <is>
          <t>38%</t>
        </is>
      </c>
      <c r="V2" t="inlineStr">
        <is>
          <t>物流运费总账单金额59259.1, 发货数量1000</t>
        </is>
      </c>
      <c r="W2"/>
      <c r="X2"/>
      <c r="Y2"/>
      <c r="Z2"/>
      <c r="AA2">
        <v>0.15</v>
      </c>
      <c r="AB2"/>
      <c r="AC2">
        <v>1.9998</v>
      </c>
      <c r="AD2">
        <v>0.07</v>
      </c>
      <c r="AE2">
        <v>1</v>
      </c>
      <c r="AF2"/>
    </row>
    <row r="3" ht="25.5" customHeight="1">
      <c r="A3" t="inlineStr">
        <is>
          <t>海运</t>
        </is>
      </c>
      <c r="B3"/>
      <c r="C3">
        <v>64.99</v>
      </c>
      <c r="D3">
        <v>7.1</v>
      </c>
      <c r="E3">
        <v>120.8</v>
      </c>
      <c r="F3" t="inlineStr">
        <is>
          <t>17.014</t>
        </is>
      </c>
      <c r="G3">
        <v>55</v>
      </c>
      <c r="H3" t="inlineStr">
        <is>
          <t>7.75</t>
        </is>
      </c>
      <c r="I3">
        <v>13.41</v>
      </c>
      <c r="J3" t="inlineStr">
        <is>
          <t>53.84</t>
        </is>
      </c>
      <c r="K3">
        <v>0.15</v>
      </c>
      <c r="L3" t="inlineStr">
        <is>
          <t>9.75</t>
        </is>
      </c>
      <c r="M3">
        <v>0</v>
      </c>
      <c r="N3" t="inlineStr">
        <is>
          <t>11.15</t>
        </is>
      </c>
      <c r="O3" t="inlineStr">
        <is>
          <t>17%</t>
        </is>
      </c>
      <c r="P3">
        <v>0.6499</v>
      </c>
      <c r="Q3">
        <v>0.07</v>
      </c>
      <c r="R3">
        <v>0.6499</v>
      </c>
      <c r="S3" t="inlineStr">
        <is>
          <t>5.2</t>
        </is>
      </c>
      <c r="T3" t="inlineStr">
        <is>
          <t>11.151836620</t>
        </is>
      </c>
      <c r="U3" t="inlineStr">
        <is>
          <t>17%</t>
        </is>
      </c>
      <c r="V3" t="inlineStr">
        <is>
          <t>物流运费总账单金额59259.1, 发货数量1000</t>
        </is>
      </c>
      <c r="W3"/>
      <c r="X3"/>
      <c r="Y3"/>
      <c r="Z3"/>
      <c r="AA3">
        <v>0.15</v>
      </c>
      <c r="AB3"/>
      <c r="AC3">
        <v>1.2998</v>
      </c>
      <c r="AD3">
        <v>0.07</v>
      </c>
      <c r="AE3">
        <v>1</v>
      </c>
      <c r="AF3"/>
    </row>
    <row r="4" ht="25.5" customHeight="1">
      <c r="A4" t="inlineStr">
        <is>
          <t>海运</t>
        </is>
      </c>
      <c r="B4"/>
      <c r="C4">
        <v>59.99</v>
      </c>
      <c r="D4">
        <v>7.1</v>
      </c>
      <c r="E4">
        <v>120.8</v>
      </c>
      <c r="F4" t="inlineStr">
        <is>
          <t>17.014</t>
        </is>
      </c>
      <c r="G4">
        <v>55</v>
      </c>
      <c r="H4" t="inlineStr">
        <is>
          <t>7.75</t>
        </is>
      </c>
      <c r="I4">
        <v>13.41</v>
      </c>
      <c r="J4" t="inlineStr">
        <is>
          <t>52.64</t>
        </is>
      </c>
      <c r="K4">
        <v>0.15</v>
      </c>
      <c r="L4" t="inlineStr">
        <is>
          <t>9.00</t>
        </is>
      </c>
      <c r="M4">
        <v>0</v>
      </c>
      <c r="N4" t="inlineStr">
        <is>
          <t>7.35</t>
        </is>
      </c>
      <c r="O4" t="inlineStr">
        <is>
          <t>12%</t>
        </is>
      </c>
      <c r="P4">
        <v>0.5999</v>
      </c>
      <c r="Q4">
        <v>0.07</v>
      </c>
      <c r="R4">
        <v>0.5999</v>
      </c>
      <c r="S4" t="inlineStr">
        <is>
          <t>4.8</t>
        </is>
      </c>
      <c r="T4" t="inlineStr">
        <is>
          <t>7.351836620</t>
        </is>
      </c>
      <c r="U4" t="inlineStr">
        <is>
          <t>12%</t>
        </is>
      </c>
      <c r="V4" t="inlineStr">
        <is>
          <t>物流运费总账单金额59259.1, 发货数量1000</t>
        </is>
      </c>
      <c r="W4"/>
      <c r="X4"/>
      <c r="Y4"/>
      <c r="Z4"/>
      <c r="AA4">
        <v>0.15</v>
      </c>
      <c r="AB4"/>
      <c r="AC4">
        <v>1.1998</v>
      </c>
      <c r="AD4">
        <v>0.07</v>
      </c>
      <c r="AE4">
        <v>1</v>
      </c>
      <c r="AF4"/>
    </row>
    <row r="5" ht="25.5" customHeight="1">
      <c r="A5" t="inlineStr">
        <is>
          <t>海运</t>
        </is>
      </c>
      <c r="B5"/>
      <c r="C5">
        <v>45</v>
      </c>
      <c r="D5">
        <v>7.1</v>
      </c>
      <c r="E5">
        <v>120.8</v>
      </c>
      <c r="F5" t="inlineStr">
        <is>
          <t>17.014</t>
        </is>
      </c>
      <c r="G5">
        <v>55</v>
      </c>
      <c r="H5" t="inlineStr">
        <is>
          <t>7.75</t>
        </is>
      </c>
      <c r="I5">
        <v>13.41</v>
      </c>
      <c r="J5" t="inlineStr">
        <is>
          <t>49.04</t>
        </is>
      </c>
      <c r="K5">
        <v>0.15</v>
      </c>
      <c r="L5" t="inlineStr">
        <is>
          <t>6.75</t>
        </is>
      </c>
      <c r="M5">
        <v>0</v>
      </c>
      <c r="N5" t="inlineStr">
        <is>
          <t>-4.04</t>
        </is>
      </c>
      <c r="O5" t="inlineStr">
        <is>
          <t>-9%</t>
        </is>
      </c>
      <c r="P5">
        <v>0.45</v>
      </c>
      <c r="Q5">
        <v>0.07</v>
      </c>
      <c r="R5">
        <v>0.45</v>
      </c>
      <c r="S5" t="inlineStr">
        <is>
          <t>3.6</t>
        </is>
      </c>
      <c r="T5" t="inlineStr">
        <is>
          <t>-4.040563380</t>
        </is>
      </c>
      <c r="U5" t="inlineStr">
        <is>
          <t>-9%</t>
        </is>
      </c>
      <c r="V5" t="inlineStr">
        <is>
          <t>物流运费总账单金额59259.1, 发货数量1000</t>
        </is>
      </c>
      <c r="W5"/>
      <c r="X5"/>
      <c r="Y5"/>
      <c r="Z5"/>
      <c r="AA5">
        <v>0.15</v>
      </c>
      <c r="AB5"/>
      <c r="AC5">
        <v>0.9</v>
      </c>
      <c r="AD5">
        <v>0.07</v>
      </c>
      <c r="AE5">
        <v>1</v>
      </c>
      <c r="AF5"/>
    </row>
    <row r="6" ht="25.5" customHeight="1">
      <c r="A6" t="inlineStr">
        <is>
          <t>海运</t>
        </is>
      </c>
      <c r="B6"/>
      <c r="C6">
        <v>19.99</v>
      </c>
      <c r="D6">
        <v>7.1</v>
      </c>
      <c r="E6">
        <v>40</v>
      </c>
      <c r="F6" t="inlineStr">
        <is>
          <t>5.634</t>
        </is>
      </c>
      <c r="G6">
        <v>55</v>
      </c>
      <c r="H6" t="inlineStr">
        <is>
          <t>7.75</t>
        </is>
      </c>
      <c r="I6">
        <v>3.99</v>
      </c>
      <c r="J6" t="inlineStr">
        <is>
          <t>22.24</t>
        </is>
      </c>
      <c r="K6">
        <v>0.15</v>
      </c>
      <c r="L6" t="inlineStr">
        <is>
          <t>3.00</t>
        </is>
      </c>
      <c r="M6">
        <v>0</v>
      </c>
      <c r="N6" t="inlineStr">
        <is>
          <t>-2.25</t>
        </is>
      </c>
      <c r="O6" t="inlineStr">
        <is>
          <t>-11%</t>
        </is>
      </c>
      <c r="P6">
        <v>0.1999</v>
      </c>
      <c r="Q6">
        <v>0.07</v>
      </c>
      <c r="R6">
        <v>0.1999</v>
      </c>
      <c r="S6" t="inlineStr">
        <is>
          <t>1.6</t>
        </is>
      </c>
      <c r="T6" t="inlineStr">
        <is>
          <t>-2.247881690</t>
        </is>
      </c>
      <c r="U6" t="inlineStr">
        <is>
          <t>-11%</t>
        </is>
      </c>
      <c r="V6" t="inlineStr">
        <is>
          <t>物流运费总账单金额59259.1, 发货数量1000</t>
        </is>
      </c>
      <c r="W6"/>
      <c r="X6"/>
      <c r="Y6"/>
      <c r="Z6"/>
      <c r="AA6">
        <v>0.15</v>
      </c>
      <c r="AB6"/>
      <c r="AC6">
        <v>0.3998</v>
      </c>
      <c r="AD6">
        <v>0.07</v>
      </c>
      <c r="AE6">
        <v>1</v>
      </c>
      <c r="AF6"/>
    </row>
    <row r="7" ht="25.5" customHeight="1">
      <c r="A7" t="inlineStr">
        <is>
          <t>海运</t>
        </is>
      </c>
      <c r="B7"/>
      <c r="C7">
        <v>119.99</v>
      </c>
      <c r="D7">
        <v>7.1</v>
      </c>
      <c r="E7">
        <v>238.938</v>
      </c>
      <c r="F7" t="inlineStr">
        <is>
          <t>33.653</t>
        </is>
      </c>
      <c r="G7">
        <v>40</v>
      </c>
      <c r="H7" t="inlineStr">
        <is>
          <t>5.63</t>
        </is>
      </c>
      <c r="I7">
        <v>9.81</v>
      </c>
      <c r="J7" t="inlineStr">
        <is>
          <t>77.96</t>
        </is>
      </c>
      <c r="K7">
        <v>0.15</v>
      </c>
      <c r="L7" t="inlineStr">
        <is>
          <t>18.00</t>
        </is>
      </c>
      <c r="M7">
        <v>0</v>
      </c>
      <c r="N7" t="inlineStr">
        <is>
          <t>42.03</t>
        </is>
      </c>
      <c r="O7" t="inlineStr">
        <is>
          <t>35%</t>
        </is>
      </c>
      <c r="P7">
        <v>1.1999</v>
      </c>
      <c r="Q7">
        <v>0.07</v>
      </c>
      <c r="R7">
        <v>1.1999</v>
      </c>
      <c r="S7" t="inlineStr">
        <is>
          <t>9.6</t>
        </is>
      </c>
      <c r="T7" t="inlineStr">
        <is>
          <t>42.025357746</t>
        </is>
      </c>
      <c r="U7" t="inlineStr">
        <is>
          <t>35%</t>
        </is>
      </c>
      <c r="V7" t="inlineStr">
        <is>
          <t>物流运费总账单金额59259.1, 发货数量1000</t>
        </is>
      </c>
      <c r="W7"/>
      <c r="X7"/>
      <c r="Y7"/>
      <c r="Z7"/>
      <c r="AA7">
        <v>0.15</v>
      </c>
      <c r="AB7"/>
      <c r="AC7">
        <v>2.3998</v>
      </c>
      <c r="AD7">
        <v>0.07</v>
      </c>
      <c r="AE7">
        <v>1</v>
      </c>
      <c r="AF7"/>
    </row>
    <row r="8" ht="25.5" customHeight="1">
      <c r="A8" t="inlineStr">
        <is>
          <t>海运</t>
        </is>
      </c>
      <c r="B8"/>
      <c r="C8">
        <v>119.99</v>
      </c>
      <c r="D8">
        <v>7.1</v>
      </c>
      <c r="E8">
        <v>203.54</v>
      </c>
      <c r="F8" t="inlineStr">
        <is>
          <t>28.668</t>
        </is>
      </c>
      <c r="G8">
        <v>40</v>
      </c>
      <c r="H8" t="inlineStr">
        <is>
          <t>5.63</t>
        </is>
      </c>
      <c r="I8">
        <v>9.81</v>
      </c>
      <c r="J8" t="inlineStr">
        <is>
          <t>72.62</t>
        </is>
      </c>
      <c r="K8">
        <v>0.15</v>
      </c>
      <c r="L8" t="inlineStr">
        <is>
          <t>18.00</t>
        </is>
      </c>
      <c r="M8">
        <v>0</v>
      </c>
      <c r="N8" t="inlineStr">
        <is>
          <t>47.37</t>
        </is>
      </c>
      <c r="O8" t="inlineStr">
        <is>
          <t>39%</t>
        </is>
      </c>
      <c r="P8">
        <v>0.83993</v>
      </c>
      <c r="Q8">
        <v>0.07</v>
      </c>
      <c r="R8">
        <v>0.83993</v>
      </c>
      <c r="S8" t="inlineStr">
        <is>
          <t>9.6</t>
        </is>
      </c>
      <c r="T8" t="inlineStr">
        <is>
          <t>47.370961549</t>
        </is>
      </c>
      <c r="U8" t="inlineStr">
        <is>
          <t>39%</t>
        </is>
      </c>
      <c r="V8" t="inlineStr">
        <is>
          <t>物流运费总账单金额59259.1, 发货数量1000</t>
        </is>
      </c>
      <c r="W8"/>
      <c r="X8"/>
      <c r="Y8"/>
      <c r="Z8"/>
      <c r="AA8">
        <v>0.15</v>
      </c>
      <c r="AB8"/>
      <c r="AC8">
        <v>1.67986</v>
      </c>
      <c r="AD8">
        <v>0.07</v>
      </c>
      <c r="AE8">
        <v>1</v>
      </c>
      <c r="AF8"/>
    </row>
    <row r="9" ht="25.5" customHeight="1">
      <c r="A9" t="inlineStr">
        <is>
          <t>海运</t>
        </is>
      </c>
      <c r="B9"/>
      <c r="C9">
        <v>119.99</v>
      </c>
      <c r="D9">
        <v>7.1</v>
      </c>
      <c r="E9">
        <v>203.54</v>
      </c>
      <c r="F9" t="inlineStr">
        <is>
          <t>28.668</t>
        </is>
      </c>
      <c r="G9">
        <v>40</v>
      </c>
      <c r="H9" t="inlineStr">
        <is>
          <t>5.63</t>
        </is>
      </c>
      <c r="I9">
        <v>9.81</v>
      </c>
      <c r="J9" t="inlineStr">
        <is>
          <t>72.45</t>
        </is>
      </c>
      <c r="K9">
        <v>0.15</v>
      </c>
      <c r="L9" t="inlineStr">
        <is>
          <t>18.00</t>
        </is>
      </c>
      <c r="M9">
        <v>0</v>
      </c>
      <c r="N9" t="inlineStr">
        <is>
          <t>47.54</t>
        </is>
      </c>
      <c r="O9" t="inlineStr">
        <is>
          <t>40%</t>
        </is>
      </c>
      <c r="P9">
        <v>0.671944</v>
      </c>
      <c r="Q9">
        <v>0.07</v>
      </c>
      <c r="R9">
        <v>0.671944</v>
      </c>
      <c r="S9" t="inlineStr">
        <is>
          <t>9.6</t>
        </is>
      </c>
      <c r="T9" t="inlineStr">
        <is>
          <t>47.538947549</t>
        </is>
      </c>
      <c r="U9" t="inlineStr">
        <is>
          <t>40%</t>
        </is>
      </c>
      <c r="V9" t="inlineStr">
        <is>
          <t>物流运费总账单金额59259.1, 发货数量1000</t>
        </is>
      </c>
      <c r="W9"/>
      <c r="X9"/>
      <c r="Y9"/>
      <c r="Z9"/>
      <c r="AA9">
        <v>0.15</v>
      </c>
      <c r="AB9"/>
      <c r="AC9">
        <v>1.343888</v>
      </c>
      <c r="AD9">
        <v>0.07</v>
      </c>
      <c r="AE9">
        <v>1</v>
      </c>
      <c r="AF9"/>
    </row>
    <row r="10" ht="25.5" customHeight="1">
      <c r="A10" t="inlineStr">
        <is>
          <t>海运</t>
        </is>
      </c>
      <c r="B10"/>
      <c r="C10">
        <v>89.99</v>
      </c>
      <c r="D10">
        <v>7.1</v>
      </c>
      <c r="E10">
        <v>203.54</v>
      </c>
      <c r="F10" t="inlineStr">
        <is>
          <t>28.668</t>
        </is>
      </c>
      <c r="G10">
        <v>40</v>
      </c>
      <c r="H10" t="inlineStr">
        <is>
          <t>5.63</t>
        </is>
      </c>
      <c r="I10">
        <v>9.81</v>
      </c>
      <c r="J10" t="inlineStr">
        <is>
          <t>65.78</t>
        </is>
      </c>
      <c r="K10">
        <v>0.15</v>
      </c>
      <c r="L10" t="inlineStr">
        <is>
          <t>13.50</t>
        </is>
      </c>
      <c r="M10">
        <v>0</v>
      </c>
      <c r="N10" t="inlineStr">
        <is>
          <t>24.21</t>
        </is>
      </c>
      <c r="O10" t="inlineStr">
        <is>
          <t>27%</t>
        </is>
      </c>
      <c r="P10">
        <v>0.8999</v>
      </c>
      <c r="Q10">
        <v>0.07</v>
      </c>
      <c r="R10">
        <v>0.8999</v>
      </c>
      <c r="S10" t="inlineStr">
        <is>
          <t>7.2</t>
        </is>
      </c>
      <c r="T10" t="inlineStr">
        <is>
          <t>24.210991549</t>
        </is>
      </c>
      <c r="U10" t="inlineStr">
        <is>
          <t>27%</t>
        </is>
      </c>
      <c r="V10" t="inlineStr">
        <is>
          <t>物流运费总账单金额59259.1, 发货数量1000</t>
        </is>
      </c>
      <c r="W10"/>
      <c r="X10"/>
      <c r="Y10"/>
      <c r="Z10"/>
      <c r="AA10">
        <v>0.15</v>
      </c>
      <c r="AB10"/>
      <c r="AC10">
        <v>1.7998</v>
      </c>
      <c r="AD10">
        <v>0.07</v>
      </c>
      <c r="AE10">
        <v>1</v>
      </c>
      <c r="AF10"/>
    </row>
    <row r="11" ht="25.5" customHeight="1">
      <c r="A11" t="inlineStr">
        <is>
          <t>海运</t>
        </is>
      </c>
      <c r="B11"/>
      <c r="C11">
        <v>44.99</v>
      </c>
      <c r="D11">
        <v>7.1</v>
      </c>
      <c r="E11">
        <v>85.34</v>
      </c>
      <c r="F11" t="inlineStr">
        <is>
          <t>12.020</t>
        </is>
      </c>
      <c r="G11">
        <v>20</v>
      </c>
      <c r="H11" t="inlineStr">
        <is>
          <t>2.82</t>
        </is>
      </c>
      <c r="I11">
        <v>7.32</v>
      </c>
      <c r="J11" t="inlineStr">
        <is>
          <t>33.02</t>
        </is>
      </c>
      <c r="K11">
        <v>0.15</v>
      </c>
      <c r="L11" t="inlineStr">
        <is>
          <t>6.75</t>
        </is>
      </c>
      <c r="M11">
        <v>0</v>
      </c>
      <c r="N11" t="inlineStr">
        <is>
          <t>11.97</t>
        </is>
      </c>
      <c r="O11" t="inlineStr">
        <is>
          <t>27%</t>
        </is>
      </c>
      <c r="P11">
        <v>0.4499</v>
      </c>
      <c r="Q11">
        <v>0.07</v>
      </c>
      <c r="R11">
        <v>0.4499</v>
      </c>
      <c r="S11" t="inlineStr">
        <is>
          <t>3.6</t>
        </is>
      </c>
      <c r="T11" t="inlineStr">
        <is>
          <t>11.965780282</t>
        </is>
      </c>
      <c r="U11" t="inlineStr">
        <is>
          <t>27%</t>
        </is>
      </c>
      <c r="V11" t="inlineStr">
        <is>
          <t>成本底价30美金</t>
        </is>
      </c>
      <c r="W11"/>
      <c r="X11"/>
      <c r="Y11"/>
      <c r="Z11"/>
      <c r="AA11">
        <v>0.15</v>
      </c>
      <c r="AB11"/>
      <c r="AC11">
        <v>0.8998</v>
      </c>
      <c r="AD11">
        <v>0.07</v>
      </c>
      <c r="AE11">
        <v>1</v>
      </c>
      <c r="AF11"/>
    </row>
    <row r="12" ht="25.5" customHeight="1">
      <c r="A12" t="inlineStr">
        <is>
          <t>海运</t>
        </is>
      </c>
      <c r="B12"/>
      <c r="C12">
        <v>44.99</v>
      </c>
      <c r="D12">
        <v>7.1</v>
      </c>
      <c r="E12">
        <v>85.34</v>
      </c>
      <c r="F12" t="inlineStr">
        <is>
          <t>12.020</t>
        </is>
      </c>
      <c r="G12">
        <v>20</v>
      </c>
      <c r="H12" t="inlineStr">
        <is>
          <t>2.82</t>
        </is>
      </c>
      <c r="I12">
        <v>7.32</v>
      </c>
      <c r="J12" t="inlineStr">
        <is>
          <t>32.93</t>
        </is>
      </c>
      <c r="K12">
        <v>0.15</v>
      </c>
      <c r="L12" t="inlineStr">
        <is>
          <t>6.75</t>
        </is>
      </c>
      <c r="M12">
        <v>0</v>
      </c>
      <c r="N12" t="inlineStr">
        <is>
          <t>12.06</t>
        </is>
      </c>
      <c r="O12" t="inlineStr">
        <is>
          <t>27%</t>
        </is>
      </c>
      <c r="P12">
        <v>0.35992</v>
      </c>
      <c r="Q12">
        <v>0.07</v>
      </c>
      <c r="R12">
        <v>0.35992</v>
      </c>
      <c r="S12" t="inlineStr">
        <is>
          <t>3.6</t>
        </is>
      </c>
      <c r="T12" t="inlineStr">
        <is>
          <t>12.055760282</t>
        </is>
      </c>
      <c r="U12" t="inlineStr">
        <is>
          <t>27%</t>
        </is>
      </c>
      <c r="V12" t="inlineStr">
        <is>
          <t>成本底价30美金</t>
        </is>
      </c>
      <c r="W12"/>
      <c r="X12"/>
      <c r="Y12"/>
      <c r="Z12"/>
      <c r="AA12">
        <v>0.15</v>
      </c>
      <c r="AB12"/>
      <c r="AC12">
        <v>0.71984</v>
      </c>
      <c r="AD12">
        <v>0.07</v>
      </c>
      <c r="AE12">
        <v>1</v>
      </c>
      <c r="AF12"/>
    </row>
    <row r="13" ht="25.5" customHeight="1">
      <c r="A13" t="inlineStr">
        <is>
          <t>海运</t>
        </is>
      </c>
      <c r="B13"/>
      <c r="C13">
        <v>44.99</v>
      </c>
      <c r="D13">
        <v>7.1</v>
      </c>
      <c r="E13">
        <v>85.34</v>
      </c>
      <c r="F13" t="inlineStr">
        <is>
          <t>12.020</t>
        </is>
      </c>
      <c r="G13">
        <v>20</v>
      </c>
      <c r="H13" t="inlineStr">
        <is>
          <t>2.82</t>
        </is>
      </c>
      <c r="I13">
        <v>7.32</v>
      </c>
      <c r="J13" t="inlineStr">
        <is>
          <t>32.89</t>
        </is>
      </c>
      <c r="K13">
        <v>0.15</v>
      </c>
      <c r="L13" t="inlineStr">
        <is>
          <t>6.75</t>
        </is>
      </c>
      <c r="M13">
        <v>0</v>
      </c>
      <c r="N13" t="inlineStr">
        <is>
          <t>12.10</t>
        </is>
      </c>
      <c r="O13" t="inlineStr">
        <is>
          <t>27%</t>
        </is>
      </c>
      <c r="P13">
        <v>0.31493</v>
      </c>
      <c r="Q13">
        <v>0.07</v>
      </c>
      <c r="R13">
        <v>0.31493</v>
      </c>
      <c r="S13" t="inlineStr">
        <is>
          <t>3.6</t>
        </is>
      </c>
      <c r="T13" t="inlineStr">
        <is>
          <t>12.100750282</t>
        </is>
      </c>
      <c r="U13" t="inlineStr">
        <is>
          <t>27%</t>
        </is>
      </c>
      <c r="V13" t="inlineStr">
        <is>
          <t>成本底价30美金</t>
        </is>
      </c>
      <c r="W13"/>
      <c r="X13"/>
      <c r="Y13"/>
      <c r="Z13"/>
      <c r="AA13">
        <v>0.15</v>
      </c>
      <c r="AB13"/>
      <c r="AC13">
        <v>0.62986</v>
      </c>
      <c r="AD13">
        <v>0.07</v>
      </c>
      <c r="AE13">
        <v>1</v>
      </c>
      <c r="AF13"/>
    </row>
    <row r="14" ht="25.5" customHeight="1">
      <c r="A14" t="inlineStr">
        <is>
          <t>海运</t>
        </is>
      </c>
      <c r="B14"/>
      <c r="C14">
        <v>18.99</v>
      </c>
      <c r="D14">
        <v>7.1</v>
      </c>
      <c r="E14">
        <v>13.72</v>
      </c>
      <c r="F14" t="inlineStr">
        <is>
          <t>1.932</t>
        </is>
      </c>
      <c r="G14">
        <v>6</v>
      </c>
      <c r="H14" t="inlineStr">
        <is>
          <t>0.85</t>
        </is>
      </c>
      <c r="I14">
        <v>5.37</v>
      </c>
      <c r="J14" t="inlineStr">
        <is>
          <t>12.78</t>
        </is>
      </c>
      <c r="K14">
        <v>0.15</v>
      </c>
      <c r="L14" t="inlineStr">
        <is>
          <t>2.85</t>
        </is>
      </c>
      <c r="M14">
        <v>0</v>
      </c>
      <c r="N14" t="inlineStr">
        <is>
          <t>6.21</t>
        </is>
      </c>
      <c r="O14" t="inlineStr">
        <is>
          <t>33%</t>
        </is>
      </c>
      <c r="P14">
        <v>0.1899</v>
      </c>
      <c r="Q14">
        <v>0.07</v>
      </c>
      <c r="R14">
        <v>0.1899</v>
      </c>
      <c r="S14" t="inlineStr">
        <is>
          <t>1.5</t>
        </is>
      </c>
      <c r="T14" t="inlineStr">
        <is>
          <t>6.214935211</t>
        </is>
      </c>
      <c r="U14" t="inlineStr">
        <is>
          <t>33%</t>
        </is>
      </c>
      <c r="V14" t="inlineStr">
        <is>
          <t>成本底价30美金</t>
        </is>
      </c>
      <c r="W14"/>
      <c r="X14"/>
      <c r="Y14"/>
      <c r="Z14"/>
      <c r="AA14">
        <v>0.15</v>
      </c>
      <c r="AB14"/>
      <c r="AC14">
        <v>0.3798</v>
      </c>
      <c r="AD14">
        <v>0.07</v>
      </c>
      <c r="AE14">
        <v>1</v>
      </c>
      <c r="AF14"/>
    </row>
    <row r="15" ht="25.5" customHeight="1">
      <c r="A15" t="inlineStr">
        <is>
          <t>海运</t>
        </is>
      </c>
      <c r="B15"/>
      <c r="C15">
        <v>18.99</v>
      </c>
      <c r="D15">
        <v>7.1</v>
      </c>
      <c r="E15">
        <v>13.72</v>
      </c>
      <c r="F15" t="inlineStr">
        <is>
          <t>1.932</t>
        </is>
      </c>
      <c r="G15">
        <v>6</v>
      </c>
      <c r="H15" t="inlineStr">
        <is>
          <t>0.85</t>
        </is>
      </c>
      <c r="I15">
        <v>5.37</v>
      </c>
      <c r="J15" t="inlineStr">
        <is>
          <t>12.74</t>
        </is>
      </c>
      <c r="K15">
        <v>0.15</v>
      </c>
      <c r="L15" t="inlineStr">
        <is>
          <t>2.85</t>
        </is>
      </c>
      <c r="M15">
        <v>0</v>
      </c>
      <c r="N15" t="inlineStr">
        <is>
          <t>6.25</t>
        </is>
      </c>
      <c r="O15" t="inlineStr">
        <is>
          <t>33%</t>
        </is>
      </c>
      <c r="P15">
        <v>0.15192</v>
      </c>
      <c r="Q15">
        <v>0.07</v>
      </c>
      <c r="R15">
        <v>0.15192</v>
      </c>
      <c r="S15" t="inlineStr">
        <is>
          <t>1.5</t>
        </is>
      </c>
      <c r="T15" t="inlineStr">
        <is>
          <t>6.252915211</t>
        </is>
      </c>
      <c r="U15" t="inlineStr">
        <is>
          <t>33%</t>
        </is>
      </c>
      <c r="V15" t="inlineStr">
        <is>
          <t>成本底价30美金</t>
        </is>
      </c>
      <c r="W15"/>
      <c r="X15"/>
      <c r="Y15"/>
      <c r="Z15"/>
      <c r="AA15">
        <v>0.15</v>
      </c>
      <c r="AB15"/>
      <c r="AC15">
        <v>0.30384</v>
      </c>
      <c r="AD15">
        <v>0.07</v>
      </c>
      <c r="AE15">
        <v>1</v>
      </c>
      <c r="AF15"/>
    </row>
    <row r="16" ht="25.5" customHeight="1">
      <c r="A16" t="inlineStr">
        <is>
          <t>海运</t>
        </is>
      </c>
      <c r="B16"/>
      <c r="C16">
        <v>18.99</v>
      </c>
      <c r="D16">
        <v>7.1</v>
      </c>
      <c r="E16">
        <v>13.72</v>
      </c>
      <c r="F16" t="inlineStr">
        <is>
          <t>1.932</t>
        </is>
      </c>
      <c r="G16">
        <v>6</v>
      </c>
      <c r="H16" t="inlineStr">
        <is>
          <t>0.85</t>
        </is>
      </c>
      <c r="I16">
        <v>5.37</v>
      </c>
      <c r="J16" t="inlineStr">
        <is>
          <t>12.72</t>
        </is>
      </c>
      <c r="K16">
        <v>0.15</v>
      </c>
      <c r="L16" t="inlineStr">
        <is>
          <t>2.85</t>
        </is>
      </c>
      <c r="M16">
        <v>0</v>
      </c>
      <c r="N16" t="inlineStr">
        <is>
          <t>6.27</t>
        </is>
      </c>
      <c r="O16" t="inlineStr">
        <is>
          <t>33%</t>
        </is>
      </c>
      <c r="P16">
        <v>0.13293</v>
      </c>
      <c r="Q16">
        <v>0.07</v>
      </c>
      <c r="R16">
        <v>0.13293</v>
      </c>
      <c r="S16" t="inlineStr">
        <is>
          <t>1.5</t>
        </is>
      </c>
      <c r="T16" t="inlineStr">
        <is>
          <t>6.271905211</t>
        </is>
      </c>
      <c r="U16" t="inlineStr">
        <is>
          <t>33%</t>
        </is>
      </c>
      <c r="V16" t="inlineStr">
        <is>
          <t>成本底价30美金</t>
        </is>
      </c>
      <c r="W16"/>
      <c r="X16"/>
      <c r="Y16"/>
      <c r="Z16"/>
      <c r="AA16">
        <v>0.15</v>
      </c>
      <c r="AB16"/>
      <c r="AC16">
        <v>0.26586</v>
      </c>
      <c r="AD16">
        <v>0.07</v>
      </c>
      <c r="AE16">
        <v>1</v>
      </c>
      <c r="AF16"/>
    </row>
    <row r="17" ht="25.5" customHeight="1">
      <c r="A17" t="inlineStr">
        <is>
          <t>海运</t>
        </is>
      </c>
      <c r="B17"/>
      <c r="C17">
        <v>49.99</v>
      </c>
      <c r="D17">
        <v>7.1</v>
      </c>
      <c r="E17">
        <v>71</v>
      </c>
      <c r="F17" t="inlineStr">
        <is>
          <t>10.000</t>
        </is>
      </c>
      <c r="G17">
        <v>10</v>
      </c>
      <c r="H17" t="inlineStr">
        <is>
          <t>1.41</t>
        </is>
      </c>
      <c r="I17">
        <v>5.29</v>
      </c>
      <c r="J17" t="inlineStr">
        <is>
          <t>28.77</t>
        </is>
      </c>
      <c r="K17">
        <v>0.15</v>
      </c>
      <c r="L17" t="inlineStr">
        <is>
          <t>7.50</t>
        </is>
      </c>
      <c r="M17">
        <v>0</v>
      </c>
      <c r="N17" t="inlineStr">
        <is>
          <t>21.22</t>
        </is>
      </c>
      <c r="O17" t="inlineStr">
        <is>
          <t>42%</t>
        </is>
      </c>
      <c r="P17">
        <v>0.4999</v>
      </c>
      <c r="Q17">
        <v>0.07</v>
      </c>
      <c r="R17">
        <v>0.4999</v>
      </c>
      <c r="S17" t="inlineStr">
        <is>
          <t>4.0</t>
        </is>
      </c>
      <c r="T17" t="inlineStr">
        <is>
          <t>21.223949296</t>
        </is>
      </c>
      <c r="U17" t="inlineStr">
        <is>
          <t>42%</t>
        </is>
      </c>
      <c r="V17" t="inlineStr">
        <is>
          <t>成本底价30美金</t>
        </is>
      </c>
      <c r="W17"/>
      <c r="X17"/>
      <c r="Y17"/>
      <c r="Z17"/>
      <c r="AA17">
        <v>0.15</v>
      </c>
      <c r="AB17"/>
      <c r="AC17">
        <v>0.9998</v>
      </c>
      <c r="AD17">
        <v>0.07</v>
      </c>
      <c r="AE17">
        <v>1</v>
      </c>
      <c r="AF17"/>
    </row>
    <row r="18" ht="25.5" customHeight="1">
      <c r="A18" t="inlineStr">
        <is>
          <t>海运</t>
        </is>
      </c>
      <c r="B18"/>
      <c r="C18">
        <v>39.99</v>
      </c>
      <c r="D18">
        <v>7.1</v>
      </c>
      <c r="E18">
        <v>71</v>
      </c>
      <c r="F18" t="inlineStr">
        <is>
          <t>10.000</t>
        </is>
      </c>
      <c r="G18">
        <v>18</v>
      </c>
      <c r="H18" t="inlineStr">
        <is>
          <t>2.54</t>
        </is>
      </c>
      <c r="I18">
        <v>6</v>
      </c>
      <c r="J18" t="inlineStr">
        <is>
          <t>28.20</t>
        </is>
      </c>
      <c r="K18">
        <v>0.15</v>
      </c>
      <c r="L18" t="inlineStr">
        <is>
          <t>6.00</t>
        </is>
      </c>
      <c r="M18">
        <v>0</v>
      </c>
      <c r="N18" t="inlineStr">
        <is>
          <t>11.79</t>
        </is>
      </c>
      <c r="O18" t="inlineStr">
        <is>
          <t>29%</t>
        </is>
      </c>
      <c r="P18">
        <v>0.3999</v>
      </c>
      <c r="Q18">
        <v>0.07</v>
      </c>
      <c r="R18">
        <v>0.3999</v>
      </c>
      <c r="S18" t="inlineStr">
        <is>
          <t>3.2</t>
        </is>
      </c>
      <c r="T18" t="inlineStr">
        <is>
          <t>11.787188732</t>
        </is>
      </c>
      <c r="U18" t="inlineStr">
        <is>
          <t>29%</t>
        </is>
      </c>
      <c r="V18" t="inlineStr">
        <is>
          <t>成本底价30美金</t>
        </is>
      </c>
      <c r="W18"/>
      <c r="X18"/>
      <c r="Y18"/>
      <c r="Z18"/>
      <c r="AA18">
        <v>0.15</v>
      </c>
      <c r="AB18"/>
      <c r="AC18">
        <v>0.7998</v>
      </c>
      <c r="AD18">
        <v>0.07</v>
      </c>
      <c r="AE18">
        <v>1</v>
      </c>
      <c r="AF18"/>
    </row>
    <row r="19" ht="25.5" customHeight="1">
      <c r="A19" t="inlineStr">
        <is>
          <t>海运</t>
        </is>
      </c>
      <c r="B19"/>
      <c r="C19">
        <v>39.99</v>
      </c>
      <c r="D19">
        <v>7.1</v>
      </c>
      <c r="E19">
        <v>71</v>
      </c>
      <c r="F19" t="inlineStr">
        <is>
          <t>10.000</t>
        </is>
      </c>
      <c r="G19">
        <v>18</v>
      </c>
      <c r="H19" t="inlineStr">
        <is>
          <t>2.54</t>
        </is>
      </c>
      <c r="I19">
        <v>6</v>
      </c>
      <c r="J19" t="inlineStr">
        <is>
          <t>28.20</t>
        </is>
      </c>
      <c r="K19">
        <v>0.15</v>
      </c>
      <c r="L19" t="inlineStr">
        <is>
          <t>6.00</t>
        </is>
      </c>
      <c r="M19">
        <v>0</v>
      </c>
      <c r="N19" t="inlineStr">
        <is>
          <t>11.79</t>
        </is>
      </c>
      <c r="O19" t="inlineStr">
        <is>
          <t>29%</t>
        </is>
      </c>
      <c r="P19">
        <v>0.3999</v>
      </c>
      <c r="Q19">
        <v>0.07</v>
      </c>
      <c r="R19">
        <v>0.3999</v>
      </c>
      <c r="S19" t="inlineStr">
        <is>
          <t>3.2</t>
        </is>
      </c>
      <c r="T19" t="inlineStr">
        <is>
          <t>11.787188732</t>
        </is>
      </c>
      <c r="U19" t="inlineStr">
        <is>
          <t>29%</t>
        </is>
      </c>
      <c r="V19" t="inlineStr">
        <is>
          <t>成本底价30美金</t>
        </is>
      </c>
      <c r="W19"/>
      <c r="X19"/>
      <c r="Y19"/>
      <c r="Z19"/>
      <c r="AA19">
        <v>0.15</v>
      </c>
      <c r="AB19"/>
      <c r="AC19">
        <v>0.7998</v>
      </c>
      <c r="AD19">
        <v>0.07</v>
      </c>
      <c r="AE19">
        <v>1</v>
      </c>
      <c r="AF19"/>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s>
  <sheetData>
    <row r="1" ht="13" customHeight="1">
      <c r="A1" s="1" t="inlineStr">
        <is>
          <t>类型</t>
        </is>
      </c>
      <c r="B1" s="1" t="inlineStr">
        <is>
          <t>ASIN</t>
        </is>
      </c>
      <c r="C1" s="1" t="inlineStr">
        <is>
          <t>运营</t>
        </is>
      </c>
      <c r="D1" s="1" t="inlineStr">
        <is>
          <t>SKU</t>
        </is>
      </c>
      <c r="E1" s="1" t="inlineStr">
        <is>
          <t>产品名称</t>
        </is>
      </c>
      <c r="F1" s="1" t="inlineStr">
        <is>
          <t>品牌</t>
        </is>
      </c>
      <c r="G1" s="1" t="inlineStr">
        <is>
          <t>供应商代码</t>
        </is>
      </c>
      <c r="H1" s="1" t="inlineStr">
        <is>
          <t>cost price
外币</t>
        </is>
      </c>
      <c r="I1" s="1" t="inlineStr">
        <is>
          <t>建议售价
亚马逊售价-外币</t>
        </is>
      </c>
      <c r="J1" s="1" t="inlineStr">
        <is>
          <t>毛利
外币</t>
        </is>
      </c>
      <c r="K1" s="1" t="inlineStr">
        <is>
          <t>毛利率</t>
        </is>
      </c>
      <c r="L1" s="1" t="inlineStr">
        <is>
          <t>Profit Margin (%)</t>
        </is>
      </c>
      <c r="M1" s="1" t="inlineStr">
        <is>
          <t>NET PPM</t>
        </is>
      </c>
      <c r="N1" s="1" t="inlineStr">
        <is>
          <t>亚马逊毛利
外币</t>
        </is>
      </c>
      <c r="O1" s="1" t="inlineStr">
        <is>
          <t>成本</t>
        </is>
      </c>
      <c r="P1" s="1" t="inlineStr">
        <is>
          <t>海外仓
操作费</t>
        </is>
      </c>
      <c r="Q1" s="1" t="inlineStr">
        <is>
          <t>装箱数</t>
        </is>
      </c>
      <c r="R1" s="1" t="inlineStr">
        <is>
          <t>汇率</t>
        </is>
      </c>
      <c r="S1" s="1" t="inlineStr">
        <is>
          <t>广告占比</t>
        </is>
      </c>
      <c r="T1" s="1" t="inlineStr">
        <is>
          <t>促销占比</t>
        </is>
      </c>
      <c r="U1" s="1" t="inlineStr">
        <is>
          <t>其他占比</t>
        </is>
      </c>
      <c r="V1" s="1" t="inlineStr">
        <is>
          <t>成本占比</t>
        </is>
      </c>
      <c r="W1" s="1" t="inlineStr">
        <is>
          <t>尾程占比</t>
        </is>
      </c>
      <c r="X1" s="1" t="inlineStr">
        <is>
          <t>佣金占比</t>
        </is>
      </c>
      <c r="Y1" s="1" t="inlineStr">
        <is>
          <t>广告
外币</t>
        </is>
      </c>
      <c r="Z1" s="1" t="inlineStr">
        <is>
          <t>促销
外币</t>
        </is>
      </c>
      <c r="AA1" s="1" t="inlineStr">
        <is>
          <t>其它
外币</t>
        </is>
      </c>
      <c r="AB1" s="1" t="inlineStr">
        <is>
          <t>佣金
外币</t>
        </is>
      </c>
      <c r="AC1" s="1" t="inlineStr">
        <is>
          <t>采购成本
 ¥含税</t>
        </is>
      </c>
      <c r="AD1" s="1" t="inlineStr">
        <is>
          <t>采购成本
 ¥不含税</t>
        </is>
      </c>
      <c r="AE1" s="1" t="inlineStr">
        <is>
          <t>头程 
RMB</t>
        </is>
      </c>
      <c r="AF1" s="1" t="inlineStr">
        <is>
          <t>采购占比</t>
        </is>
      </c>
      <c r="AG1" s="1" t="inlineStr">
        <is>
          <t>头程占比</t>
        </is>
      </c>
      <c r="AH1" s="1" t="inlineStr">
        <is>
          <t>产品名称图片</t>
        </is>
      </c>
    </row>
    <row r="2" ht="25.5" customHeight="1">
      <c r="A2" t="inlineStr">
        <is>
          <t>PO</t>
        </is>
      </c>
      <c r="B2"/>
      <c r="C2"/>
      <c r="D2" t="inlineStr">
        <is>
          <t>R0001US</t>
        </is>
      </c>
      <c r="E2"/>
      <c r="F2"/>
      <c r="G2"/>
      <c r="H2">
        <v>53.99</v>
      </c>
      <c r="I2">
        <v>64.99</v>
      </c>
      <c r="J2"/>
      <c r="K2"/>
      <c r="L2"/>
      <c r="M2"/>
      <c r="N2"/>
      <c r="O2"/>
      <c r="P2">
        <v>1.5</v>
      </c>
      <c r="Q2">
        <v>4</v>
      </c>
      <c r="R2">
        <v>7</v>
      </c>
      <c r="S2">
        <v>0.1</v>
      </c>
      <c r="T2"/>
      <c r="U2">
        <v>0.01</v>
      </c>
      <c r="V2"/>
      <c r="W2"/>
      <c r="X2"/>
      <c r="Y2"/>
      <c r="Z2">
        <v>6.4</v>
      </c>
      <c r="AA2"/>
      <c r="AB2"/>
      <c r="AC2">
        <v>136.5</v>
      </c>
      <c r="AD2"/>
      <c r="AE2">
        <v>55</v>
      </c>
      <c r="AF2"/>
      <c r="AG2"/>
      <c r="AH2"/>
    </row>
    <row r="3" ht="25.5" customHeight="1">
      <c r="A3" t="inlineStr">
        <is>
          <t>DI</t>
        </is>
      </c>
      <c r="B3"/>
      <c r="C3"/>
      <c r="D3" t="inlineStr">
        <is>
          <t>R0001US</t>
        </is>
      </c>
      <c r="E3"/>
      <c r="F3"/>
      <c r="G3"/>
      <c r="H3">
        <v>48</v>
      </c>
      <c r="I3">
        <v>89.99</v>
      </c>
      <c r="J3"/>
      <c r="K3"/>
      <c r="L3"/>
      <c r="M3"/>
      <c r="N3"/>
      <c r="O3"/>
      <c r="P3">
        <v>0</v>
      </c>
      <c r="Q3">
        <v>4</v>
      </c>
      <c r="R3">
        <v>7</v>
      </c>
      <c r="S3">
        <v>0.13</v>
      </c>
      <c r="T3"/>
      <c r="U3">
        <v>0.01</v>
      </c>
      <c r="V3"/>
      <c r="W3"/>
      <c r="X3"/>
      <c r="Y3"/>
      <c r="Z3">
        <v>10</v>
      </c>
      <c r="AA3"/>
      <c r="AB3"/>
      <c r="AC3">
        <v>136.5</v>
      </c>
      <c r="AD3"/>
      <c r="AE3">
        <v>0</v>
      </c>
      <c r="AF3"/>
      <c r="AG3"/>
      <c r="AH3"/>
    </row>
    <row r="4" ht="25.5" customHeight="1">
      <c r="A4" t="inlineStr">
        <is>
          <t>PO</t>
        </is>
      </c>
      <c r="B4"/>
      <c r="C4"/>
      <c r="D4" t="inlineStr">
        <is>
          <t>Z0001US</t>
        </is>
      </c>
      <c r="E4"/>
      <c r="F4"/>
      <c r="G4"/>
      <c r="H4">
        <v>22</v>
      </c>
      <c r="I4">
        <v>29.99</v>
      </c>
      <c r="J4"/>
      <c r="K4"/>
      <c r="L4"/>
      <c r="M4"/>
      <c r="N4"/>
      <c r="O4"/>
      <c r="P4">
        <v>1</v>
      </c>
      <c r="Q4">
        <v>54</v>
      </c>
      <c r="R4">
        <v>7</v>
      </c>
      <c r="S4">
        <v>0.15</v>
      </c>
      <c r="T4"/>
      <c r="U4">
        <v>0.01</v>
      </c>
      <c r="V4"/>
      <c r="W4"/>
      <c r="X4"/>
      <c r="Y4"/>
      <c r="Z4">
        <v>3.63</v>
      </c>
      <c r="AA4"/>
      <c r="AB4"/>
      <c r="AC4">
        <v>46</v>
      </c>
      <c r="AD4"/>
      <c r="AE4">
        <v>9</v>
      </c>
      <c r="AF4"/>
      <c r="AG4"/>
      <c r="AH4"/>
    </row>
    <row r="5" ht="25.5" customHeight="1">
      <c r="A5" t="inlineStr">
        <is>
          <t>PO</t>
        </is>
      </c>
      <c r="B5"/>
      <c r="C5"/>
      <c r="D5" t="inlineStr">
        <is>
          <t>Z0001US</t>
        </is>
      </c>
      <c r="E5"/>
      <c r="F5"/>
      <c r="G5"/>
      <c r="H5">
        <v>21</v>
      </c>
      <c r="I5">
        <v>27.99</v>
      </c>
      <c r="J5"/>
      <c r="K5"/>
      <c r="L5"/>
      <c r="M5"/>
      <c r="N5"/>
      <c r="O5"/>
      <c r="P5">
        <v>1</v>
      </c>
      <c r="Q5">
        <v>54</v>
      </c>
      <c r="R5">
        <v>7</v>
      </c>
      <c r="S5">
        <v>0.15</v>
      </c>
      <c r="T5"/>
      <c r="U5">
        <v>0.01</v>
      </c>
      <c r="V5"/>
      <c r="W5"/>
      <c r="X5"/>
      <c r="Y5"/>
      <c r="Z5">
        <v>2.79</v>
      </c>
      <c r="AA5"/>
      <c r="AB5"/>
      <c r="AC5">
        <v>46</v>
      </c>
      <c r="AD5"/>
      <c r="AE5">
        <v>9</v>
      </c>
      <c r="AF5"/>
      <c r="AG5"/>
      <c r="AH5"/>
    </row>
    <row r="6" ht="25.5" customHeight="1">
      <c r="A6" t="inlineStr">
        <is>
          <t>PO</t>
        </is>
      </c>
      <c r="B6"/>
      <c r="C6"/>
      <c r="D6" t="inlineStr">
        <is>
          <t>Z0001US</t>
        </is>
      </c>
      <c r="E6"/>
      <c r="F6"/>
      <c r="G6"/>
      <c r="H6">
        <v>21</v>
      </c>
      <c r="I6">
        <v>27.99</v>
      </c>
      <c r="J6"/>
      <c r="K6"/>
      <c r="L6"/>
      <c r="M6"/>
      <c r="N6"/>
      <c r="O6"/>
      <c r="P6">
        <v>1</v>
      </c>
      <c r="Q6">
        <v>54</v>
      </c>
      <c r="R6">
        <v>7</v>
      </c>
      <c r="S6">
        <v>0.15</v>
      </c>
      <c r="T6"/>
      <c r="U6">
        <v>0.01</v>
      </c>
      <c r="V6"/>
      <c r="W6"/>
      <c r="X6"/>
      <c r="Y6"/>
      <c r="Z6">
        <v>4.3</v>
      </c>
      <c r="AA6"/>
      <c r="AB6"/>
      <c r="AC6">
        <v>46</v>
      </c>
      <c r="AD6"/>
      <c r="AE6">
        <v>9</v>
      </c>
      <c r="AF6"/>
      <c r="AG6"/>
      <c r="AH6"/>
    </row>
    <row r="7" ht="25.5" customHeight="1">
      <c r="A7" t="inlineStr">
        <is>
          <t>DI</t>
        </is>
      </c>
      <c r="B7"/>
      <c r="C7"/>
      <c r="D7" t="inlineStr">
        <is>
          <t>Z0001US</t>
        </is>
      </c>
      <c r="E7"/>
      <c r="F7"/>
      <c r="G7"/>
      <c r="H7">
        <v>19</v>
      </c>
      <c r="I7">
        <v>34.99</v>
      </c>
      <c r="J7"/>
      <c r="K7"/>
      <c r="L7"/>
      <c r="M7"/>
      <c r="N7"/>
      <c r="O7"/>
      <c r="P7">
        <v>0</v>
      </c>
      <c r="Q7">
        <v>54</v>
      </c>
      <c r="R7">
        <v>7</v>
      </c>
      <c r="S7">
        <v>0.13</v>
      </c>
      <c r="T7"/>
      <c r="U7">
        <v>0.01</v>
      </c>
      <c r="V7"/>
      <c r="W7"/>
      <c r="X7"/>
      <c r="Y7"/>
      <c r="Z7">
        <v>3</v>
      </c>
      <c r="AA7"/>
      <c r="AB7"/>
      <c r="AC7">
        <v>46</v>
      </c>
      <c r="AD7"/>
      <c r="AE7">
        <v>0</v>
      </c>
      <c r="AF7"/>
      <c r="AG7"/>
      <c r="AH7"/>
    </row>
    <row r="8" ht="25.5" customHeight="1">
      <c r="A8"/>
      <c r="B8"/>
      <c r="C8"/>
      <c r="D8"/>
      <c r="E8"/>
      <c r="F8"/>
      <c r="G8"/>
      <c r="H8"/>
      <c r="I8"/>
      <c r="J8"/>
      <c r="K8"/>
      <c r="L8"/>
      <c r="M8"/>
      <c r="N8"/>
      <c r="O8"/>
      <c r="P8"/>
      <c r="Q8"/>
      <c r="R8"/>
      <c r="S8"/>
      <c r="T8"/>
      <c r="U8"/>
      <c r="V8"/>
      <c r="W8"/>
      <c r="X8"/>
      <c r="Y8"/>
      <c r="Z8"/>
      <c r="AA8"/>
      <c r="AB8"/>
      <c r="AC8"/>
      <c r="AD8"/>
      <c r="AE8"/>
      <c r="AF8"/>
      <c r="AG8"/>
      <c r="AH8"/>
    </row>
    <row r="9" ht="25.5" customHeight="1">
      <c r="A9"/>
      <c r="B9"/>
      <c r="C9"/>
      <c r="D9"/>
      <c r="E9"/>
      <c r="F9"/>
      <c r="G9"/>
      <c r="H9"/>
      <c r="I9"/>
      <c r="J9"/>
      <c r="K9"/>
      <c r="L9"/>
      <c r="M9"/>
      <c r="N9"/>
      <c r="O9"/>
      <c r="P9"/>
      <c r="Q9"/>
      <c r="R9"/>
      <c r="S9"/>
      <c r="T9"/>
      <c r="U9"/>
      <c r="V9"/>
      <c r="W9"/>
      <c r="X9"/>
      <c r="Y9"/>
      <c r="Z9"/>
      <c r="AA9"/>
      <c r="AB9"/>
      <c r="AC9"/>
      <c r="AD9"/>
      <c r="AE9"/>
      <c r="AF9"/>
      <c r="AG9"/>
      <c r="AH9"/>
    </row>
    <row r="10" ht="25.5" customHeight="1">
      <c r="A10"/>
      <c r="B10"/>
      <c r="C10"/>
      <c r="D10"/>
      <c r="E10"/>
      <c r="F10"/>
      <c r="G10"/>
      <c r="H10"/>
      <c r="I10"/>
      <c r="J10"/>
      <c r="K10"/>
      <c r="L10"/>
      <c r="M10"/>
      <c r="N10"/>
      <c r="O10"/>
      <c r="P10"/>
      <c r="Q10"/>
      <c r="R10"/>
      <c r="S10"/>
      <c r="T10"/>
      <c r="U10"/>
      <c r="V10"/>
      <c r="W10"/>
      <c r="X10"/>
      <c r="Y10"/>
      <c r="Z10"/>
      <c r="AA10"/>
      <c r="AB10"/>
      <c r="AC10"/>
      <c r="AD10"/>
      <c r="AE10"/>
      <c r="AF10"/>
      <c r="AG10"/>
      <c r="AH10" t="inlineStr">
        <is>
          <t>image2.png</t>
        </is>
      </c>
    </row>
    <row r="11" ht="25.5" customHeight="1">
      <c r="A11"/>
      <c r="B11"/>
      <c r="C11"/>
      <c r="D11"/>
      <c r="E11"/>
      <c r="F11"/>
      <c r="G11"/>
      <c r="H11"/>
      <c r="I11"/>
      <c r="J11"/>
      <c r="K11"/>
      <c r="L11"/>
      <c r="M11"/>
      <c r="N11"/>
      <c r="O11"/>
      <c r="P11"/>
      <c r="Q11"/>
      <c r="R11"/>
      <c r="S11"/>
      <c r="T11"/>
      <c r="U11"/>
      <c r="V11"/>
      <c r="W11"/>
      <c r="X11"/>
      <c r="Y11"/>
      <c r="Z11"/>
      <c r="AA11"/>
      <c r="AB11"/>
      <c r="AC11"/>
      <c r="AD11"/>
      <c r="AE11"/>
      <c r="AF11"/>
      <c r="AG11"/>
      <c r="AH11"/>
    </row>
    <row r="12" ht="25.5" customHeight="1">
      <c r="A12"/>
      <c r="B12"/>
      <c r="C12"/>
      <c r="D12"/>
      <c r="E12"/>
      <c r="F12"/>
      <c r="G12"/>
      <c r="H12"/>
      <c r="I12"/>
      <c r="J12"/>
      <c r="K12"/>
      <c r="L12"/>
      <c r="M12"/>
      <c r="N12"/>
      <c r="O12"/>
      <c r="P12"/>
      <c r="Q12"/>
      <c r="R12"/>
      <c r="S12"/>
      <c r="T12"/>
      <c r="U12"/>
      <c r="V12"/>
      <c r="W12"/>
      <c r="X12"/>
      <c r="Y12"/>
      <c r="Z12"/>
      <c r="AA12"/>
      <c r="AB12"/>
      <c r="AC12"/>
      <c r="AD12"/>
      <c r="AE12"/>
      <c r="AF12"/>
      <c r="AG12"/>
      <c r="AH12"/>
    </row>
  </sheetData>
  <dataValidations count="4">
    <dataValidation allowBlank="false" sqref="B2:B11" type="list">
      <formula1>"B0F3CK5TDN,B0F2FT16RB"</formula1>
    </dataValidation>
    <dataValidation allowBlank="false" sqref="D2:D11" type="list">
      <formula1>"R0001US,Z0001US"</formula1>
    </dataValidation>
    <dataValidation allowBlank="false" sqref="E2:E11" type="list">
      <formula1>"HYCHIKA-MV2501-除螨仪,HYCHIKA-P2-电动牙刷"</formula1>
    </dataValidation>
    <dataValidation allowBlank="false" sqref="G2:G11" type="list">
      <formula1>"ZU7MJ,J671X"</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s>
  <sheetData>
    <row r="1" ht="13" customHeight="1">
      <c r="A1" s="1" t="inlineStr">
        <is>
          <t>名称</t>
        </is>
      </c>
      <c r="B1" s="1" t="inlineStr">
        <is>
          <t>汇率</t>
        </is>
      </c>
      <c r="C1" s="1" t="inlineStr">
        <is>
          <t>国家</t>
        </is>
      </c>
      <c r="D1" s="1" t="inlineStr">
        <is>
          <t>国家代码</t>
        </is>
      </c>
      <c r="E1" s="1" t="inlineStr">
        <is>
          <t>有无VAT</t>
        </is>
      </c>
      <c r="F1" s="1" t="inlineStr">
        <is>
          <t>成本价(0边利)</t>
        </is>
      </c>
      <c r="G1" s="1" t="inlineStr">
        <is>
          <t>建议价(20%边利)</t>
        </is>
      </c>
      <c r="H1" s="1" t="inlineStr">
        <is>
          <t>实际定价</t>
        </is>
      </c>
      <c r="I1" s="1" t="inlineStr">
        <is>
          <t>采购价</t>
        </is>
      </c>
      <c r="J1" s="1" t="inlineStr">
        <is>
          <t>FBA Fee</t>
        </is>
      </c>
      <c r="K1" s="1" t="inlineStr">
        <is>
          <t>佣金比例</t>
        </is>
      </c>
      <c r="L1" s="1" t="inlineStr">
        <is>
          <t>VAT</t>
        </is>
      </c>
      <c r="M1" s="1" t="inlineStr">
        <is>
          <t>预估退货率</t>
        </is>
      </c>
      <c r="N1" s="1" t="inlineStr">
        <is>
          <t>广告费率</t>
        </is>
      </c>
      <c r="O1" s="1" t="inlineStr">
        <is>
          <t>FBA仓储费</t>
        </is>
      </c>
      <c r="P1" s="1" t="inlineStr">
        <is>
          <t>其他费用</t>
        </is>
      </c>
      <c r="Q1" s="1" t="inlineStr">
        <is>
          <t>广告费用</t>
        </is>
      </c>
      <c r="R1" s="1" t="inlineStr">
        <is>
          <t>长</t>
        </is>
      </c>
      <c r="S1" s="1" t="inlineStr">
        <is>
          <t>宽</t>
        </is>
      </c>
      <c r="T1" s="1" t="inlineStr">
        <is>
          <t>高</t>
        </is>
      </c>
      <c r="U1" s="1" t="inlineStr">
        <is>
          <t>包装后实重</t>
        </is>
      </c>
      <c r="V1" s="1" t="inlineStr">
        <is>
          <t>体积重</t>
        </is>
      </c>
      <c r="W1" s="1" t="inlineStr">
        <is>
          <t>计费重</t>
        </is>
      </c>
      <c r="X1" s="1" t="inlineStr">
        <is>
          <t>运输方式</t>
        </is>
      </c>
      <c r="Y1" s="1" t="inlineStr">
        <is>
          <t>运费单价</t>
        </is>
      </c>
      <c r="Z1" s="1" t="inlineStr">
        <is>
          <t>运费</t>
        </is>
      </c>
      <c r="AA1" s="1" t="inlineStr">
        <is>
          <t>利润|USD</t>
        </is>
      </c>
      <c r="AB1" s="1" t="inlineStr">
        <is>
          <t>利润率|USD</t>
        </is>
      </c>
      <c r="AC1" s="1" t="inlineStr">
        <is>
          <t>各费用占比分析</t>
        </is>
      </c>
      <c r="AD1" s="1" t="inlineStr">
        <is>
          <t>FBA配送费占比</t>
        </is>
      </c>
      <c r="AE1" s="1" t="inlineStr">
        <is>
          <t>采购成本占比</t>
        </is>
      </c>
      <c r="AF1" s="1" t="inlineStr">
        <is>
          <t>头程费用占比</t>
        </is>
      </c>
      <c r="AG1" s="1" t="inlineStr">
        <is>
          <t>佣金占比</t>
        </is>
      </c>
      <c r="AH1" s="1" t="inlineStr">
        <is>
          <t>广告占比</t>
        </is>
      </c>
      <c r="AI1" s="1" t="inlineStr">
        <is>
          <t>其他费用占比</t>
        </is>
      </c>
      <c r="AJ1" s="1" t="inlineStr">
        <is>
          <t>预估退货率（1）</t>
        </is>
      </c>
    </row>
    <row r="2" ht="25.5" customHeight="1">
      <c r="A2" t="inlineStr">
        <is>
          <t>XX仪（划线30%）</t>
        </is>
      </c>
      <c r="B2">
        <v>8</v>
      </c>
      <c r="C2" t="inlineStr">
        <is>
          <t>德国</t>
        </is>
      </c>
      <c r="D2" t="inlineStr">
        <is>
          <t>DE</t>
        </is>
      </c>
      <c r="E2" t="inlineStr">
        <is>
          <t>有</t>
        </is>
      </c>
      <c r="F2" t="inlineStr">
        <is>
          <t>46.4</t>
        </is>
      </c>
      <c r="G2" t="inlineStr">
        <is>
          <t>83.0</t>
        </is>
      </c>
      <c r="H2">
        <v>84.99</v>
      </c>
      <c r="I2">
        <v>122.57</v>
      </c>
      <c r="J2">
        <v>5.69</v>
      </c>
      <c r="K2">
        <v>0.15</v>
      </c>
      <c r="L2">
        <v>0.16</v>
      </c>
      <c r="M2">
        <v>0.05</v>
      </c>
      <c r="N2" t="inlineStr">
        <is>
          <t>0.118</t>
        </is>
      </c>
      <c r="O2" t="inlineStr">
        <is>
          <t>0.0100</t>
        </is>
      </c>
      <c r="P2" t="inlineStr">
        <is>
          <t>0.0200</t>
        </is>
      </c>
      <c r="Q2">
        <v>10</v>
      </c>
      <c r="R2">
        <v>33.5</v>
      </c>
      <c r="S2">
        <v>26.5</v>
      </c>
      <c r="T2">
        <v>25</v>
      </c>
      <c r="U2">
        <v>2.3</v>
      </c>
      <c r="V2" t="inlineStr">
        <is>
          <t>3.7</t>
        </is>
      </c>
      <c r="W2" t="inlineStr">
        <is>
          <t>3.7</t>
        </is>
      </c>
      <c r="X2" t="inlineStr">
        <is>
          <t>海运</t>
        </is>
      </c>
      <c r="Y2">
        <v>5.55136</v>
      </c>
      <c r="Z2">
        <v>26</v>
      </c>
      <c r="AA2" t="inlineStr">
        <is>
          <t>17.583</t>
        </is>
      </c>
      <c r="AB2" t="inlineStr">
        <is>
          <t>20.69%</t>
        </is>
      </c>
      <c r="AC2"/>
      <c r="AD2" t="inlineStr">
        <is>
          <t>6.69%</t>
        </is>
      </c>
      <c r="AE2" t="inlineStr">
        <is>
          <t>18.03%</t>
        </is>
      </c>
      <c r="AF2" t="inlineStr">
        <is>
          <t>3.82%</t>
        </is>
      </c>
      <c r="AG2">
        <v>0.15</v>
      </c>
      <c r="AH2" t="inlineStr">
        <is>
          <t>11.77%</t>
        </is>
      </c>
      <c r="AI2">
        <v>0.02</v>
      </c>
      <c r="AJ2">
        <v>0.05</v>
      </c>
    </row>
    <row r="3" ht="25.5" customHeight="1">
      <c r="A3" t="inlineStr">
        <is>
          <t>XX仪（15%）coupon</t>
        </is>
      </c>
      <c r="B3">
        <v>8</v>
      </c>
      <c r="C3" t="inlineStr">
        <is>
          <t>德国</t>
        </is>
      </c>
      <c r="D3" t="inlineStr">
        <is>
          <t>DE</t>
        </is>
      </c>
      <c r="E3" t="inlineStr">
        <is>
          <t>有</t>
        </is>
      </c>
      <c r="F3" t="inlineStr">
        <is>
          <t>48.4</t>
        </is>
      </c>
      <c r="G3" t="inlineStr">
        <is>
          <t>89.3</t>
        </is>
      </c>
      <c r="H3">
        <v>72.24</v>
      </c>
      <c r="I3">
        <v>122.57</v>
      </c>
      <c r="J3">
        <v>5.69</v>
      </c>
      <c r="K3">
        <v>0.15</v>
      </c>
      <c r="L3">
        <v>0.16</v>
      </c>
      <c r="M3">
        <v>0.05</v>
      </c>
      <c r="N3" t="inlineStr">
        <is>
          <t>0.138</t>
        </is>
      </c>
      <c r="O3" t="inlineStr">
        <is>
          <t>0.0100</t>
        </is>
      </c>
      <c r="P3" t="inlineStr">
        <is>
          <t>0.0200</t>
        </is>
      </c>
      <c r="Q3">
        <v>10</v>
      </c>
      <c r="R3">
        <v>33.5</v>
      </c>
      <c r="S3">
        <v>26.5</v>
      </c>
      <c r="T3">
        <v>25</v>
      </c>
      <c r="U3">
        <v>2.3</v>
      </c>
      <c r="V3" t="inlineStr">
        <is>
          <t>3.7</t>
        </is>
      </c>
      <c r="W3" t="inlineStr">
        <is>
          <t>3.7</t>
        </is>
      </c>
      <c r="X3" t="inlineStr">
        <is>
          <t>海运</t>
        </is>
      </c>
      <c r="Y3">
        <v>5.55136</v>
      </c>
      <c r="Z3">
        <v>26</v>
      </c>
      <c r="AA3" t="inlineStr">
        <is>
          <t>9.805</t>
        </is>
      </c>
      <c r="AB3" t="inlineStr">
        <is>
          <t>13.57%</t>
        </is>
      </c>
      <c r="AC3"/>
      <c r="AD3" t="inlineStr">
        <is>
          <t>7.88%</t>
        </is>
      </c>
      <c r="AE3" t="inlineStr">
        <is>
          <t>21.21%</t>
        </is>
      </c>
      <c r="AF3" t="inlineStr">
        <is>
          <t>4.50%</t>
        </is>
      </c>
      <c r="AG3">
        <v>0.15</v>
      </c>
      <c r="AH3" t="inlineStr">
        <is>
          <t>13.84%</t>
        </is>
      </c>
      <c r="AI3">
        <v>0.02</v>
      </c>
      <c r="AJ3">
        <v>0.05</v>
      </c>
    </row>
    <row r="4" ht="25.5" customHeight="1">
      <c r="A4" t="inlineStr">
        <is>
          <t>XX仪（20%）PD</t>
        </is>
      </c>
      <c r="B4">
        <v>8</v>
      </c>
      <c r="C4" t="inlineStr">
        <is>
          <t>德国</t>
        </is>
      </c>
      <c r="D4" t="inlineStr">
        <is>
          <t>DE</t>
        </is>
      </c>
      <c r="E4" t="inlineStr">
        <is>
          <t>有</t>
        </is>
      </c>
      <c r="F4" t="inlineStr">
        <is>
          <t>50.6</t>
        </is>
      </c>
      <c r="G4" t="inlineStr">
        <is>
          <t>97.3</t>
        </is>
      </c>
      <c r="H4">
        <v>62.29</v>
      </c>
      <c r="I4">
        <v>122.57</v>
      </c>
      <c r="J4">
        <v>5.69</v>
      </c>
      <c r="K4">
        <v>0.15</v>
      </c>
      <c r="L4">
        <v>0.16</v>
      </c>
      <c r="M4">
        <v>0.05</v>
      </c>
      <c r="N4" t="inlineStr">
        <is>
          <t>0.161</t>
        </is>
      </c>
      <c r="O4" t="inlineStr">
        <is>
          <t>0.0100</t>
        </is>
      </c>
      <c r="P4" t="inlineStr">
        <is>
          <t>0.0200</t>
        </is>
      </c>
      <c r="Q4">
        <v>10</v>
      </c>
      <c r="R4">
        <v>33.5</v>
      </c>
      <c r="S4">
        <v>26.5</v>
      </c>
      <c r="T4">
        <v>25</v>
      </c>
      <c r="U4">
        <v>2.3</v>
      </c>
      <c r="V4" t="inlineStr">
        <is>
          <t>3.7</t>
        </is>
      </c>
      <c r="W4" t="inlineStr">
        <is>
          <t>3.7</t>
        </is>
      </c>
      <c r="X4" t="inlineStr">
        <is>
          <t>海运</t>
        </is>
      </c>
      <c r="Y4">
        <v>5.55136</v>
      </c>
      <c r="Z4">
        <v>26</v>
      </c>
      <c r="AA4" t="inlineStr">
        <is>
          <t>3.736</t>
        </is>
      </c>
      <c r="AB4" t="inlineStr">
        <is>
          <t>6.00%</t>
        </is>
      </c>
      <c r="AC4"/>
      <c r="AD4" t="inlineStr">
        <is>
          <t>9.13%</t>
        </is>
      </c>
      <c r="AE4" t="inlineStr">
        <is>
          <t>24.60%</t>
        </is>
      </c>
      <c r="AF4" t="inlineStr">
        <is>
          <t>5.22%</t>
        </is>
      </c>
      <c r="AG4">
        <v>0.15</v>
      </c>
      <c r="AH4" t="inlineStr">
        <is>
          <t>16.05%</t>
        </is>
      </c>
      <c r="AI4">
        <v>0.02</v>
      </c>
      <c r="AJ4">
        <v>0.05</v>
      </c>
    </row>
    <row r="5" ht="25.5" customHeight="1">
      <c r="A5"/>
      <c r="B5"/>
      <c r="C5"/>
      <c r="D5"/>
      <c r="E5"/>
      <c r="F5"/>
      <c r="G5"/>
      <c r="H5"/>
      <c r="I5">
        <v>122.57</v>
      </c>
      <c r="J5"/>
      <c r="K5"/>
      <c r="L5"/>
      <c r="M5"/>
      <c r="N5"/>
      <c r="O5" t="inlineStr">
        <is>
          <t>0.0100</t>
        </is>
      </c>
      <c r="P5" t="inlineStr">
        <is>
          <t>0.0200</t>
        </is>
      </c>
      <c r="Q5">
        <v>10</v>
      </c>
      <c r="R5"/>
      <c r="S5"/>
      <c r="T5"/>
      <c r="U5"/>
      <c r="V5" t="inlineStr">
        <is>
          <t>0.0</t>
        </is>
      </c>
      <c r="W5" t="inlineStr">
        <is>
          <t>0.0</t>
        </is>
      </c>
      <c r="X5" t="inlineStr">
        <is>
          <t>海运</t>
        </is>
      </c>
      <c r="Y5"/>
      <c r="Z5"/>
      <c r="AA5"/>
      <c r="AB5"/>
      <c r="AC5"/>
      <c r="AD5"/>
      <c r="AE5"/>
      <c r="AF5"/>
      <c r="AG5"/>
      <c r="AH5"/>
      <c r="AI5"/>
      <c r="AJ5"/>
    </row>
    <row r="6" ht="25.5" customHeight="1">
      <c r="A6" t="inlineStr">
        <is>
          <t>XX仪（划线30%）</t>
        </is>
      </c>
      <c r="B6">
        <v>8</v>
      </c>
      <c r="C6" t="inlineStr">
        <is>
          <t>法国</t>
        </is>
      </c>
      <c r="D6" t="inlineStr">
        <is>
          <t>FR</t>
        </is>
      </c>
      <c r="E6" t="inlineStr">
        <is>
          <t>有</t>
        </is>
      </c>
      <c r="F6" t="inlineStr">
        <is>
          <t>53.4</t>
        </is>
      </c>
      <c r="G6" t="inlineStr">
        <is>
          <t>94.5</t>
        </is>
      </c>
      <c r="H6">
        <v>89.99</v>
      </c>
      <c r="I6">
        <v>122.57</v>
      </c>
      <c r="J6">
        <v>9.67</v>
      </c>
      <c r="K6">
        <v>0.15</v>
      </c>
      <c r="L6">
        <v>0.16</v>
      </c>
      <c r="M6">
        <v>0.05</v>
      </c>
      <c r="N6" t="inlineStr">
        <is>
          <t>0.111</t>
        </is>
      </c>
      <c r="O6" t="inlineStr">
        <is>
          <t>0.0100</t>
        </is>
      </c>
      <c r="P6" t="inlineStr">
        <is>
          <t>0.0200</t>
        </is>
      </c>
      <c r="Q6">
        <v>10</v>
      </c>
      <c r="R6">
        <v>33.5</v>
      </c>
      <c r="S6">
        <v>26.5</v>
      </c>
      <c r="T6">
        <v>25</v>
      </c>
      <c r="U6">
        <v>2.3</v>
      </c>
      <c r="V6" t="inlineStr">
        <is>
          <t>3.7</t>
        </is>
      </c>
      <c r="W6" t="inlineStr">
        <is>
          <t>3.7</t>
        </is>
      </c>
      <c r="X6" t="inlineStr">
        <is>
          <t>海运</t>
        </is>
      </c>
      <c r="Y6">
        <v>5.55136</v>
      </c>
      <c r="Z6">
        <v>26</v>
      </c>
      <c r="AA6" t="inlineStr">
        <is>
          <t>16.653</t>
        </is>
      </c>
      <c r="AB6" t="inlineStr">
        <is>
          <t>18.51%</t>
        </is>
      </c>
      <c r="AC6"/>
      <c r="AD6" t="inlineStr">
        <is>
          <t>10.75%</t>
        </is>
      </c>
      <c r="AE6" t="inlineStr">
        <is>
          <t>17.03%</t>
        </is>
      </c>
      <c r="AF6" t="inlineStr">
        <is>
          <t>3.61%</t>
        </is>
      </c>
      <c r="AG6">
        <v>0.15</v>
      </c>
      <c r="AH6" t="inlineStr">
        <is>
          <t>11.11%</t>
        </is>
      </c>
      <c r="AI6">
        <v>0.02</v>
      </c>
      <c r="AJ6">
        <v>0.05</v>
      </c>
    </row>
    <row r="7" ht="25.5" customHeight="1">
      <c r="A7" t="inlineStr">
        <is>
          <t>XX仪（15%）coupon</t>
        </is>
      </c>
      <c r="B7">
        <v>8</v>
      </c>
      <c r="C7" t="inlineStr">
        <is>
          <t>法国</t>
        </is>
      </c>
      <c r="D7" t="inlineStr">
        <is>
          <t>FR</t>
        </is>
      </c>
      <c r="E7" t="inlineStr">
        <is>
          <t>有</t>
        </is>
      </c>
      <c r="F7" t="inlineStr">
        <is>
          <t>55.5</t>
        </is>
      </c>
      <c r="G7" t="inlineStr">
        <is>
          <t>101.1</t>
        </is>
      </c>
      <c r="H7">
        <v>76.49</v>
      </c>
      <c r="I7">
        <v>122.57</v>
      </c>
      <c r="J7">
        <v>9.67</v>
      </c>
      <c r="K7">
        <v>0.15</v>
      </c>
      <c r="L7">
        <v>0.16</v>
      </c>
      <c r="M7">
        <v>0.05</v>
      </c>
      <c r="N7" t="inlineStr">
        <is>
          <t>0.131</t>
        </is>
      </c>
      <c r="O7" t="inlineStr">
        <is>
          <t>0.0100</t>
        </is>
      </c>
      <c r="P7" t="inlineStr">
        <is>
          <t>0.0200</t>
        </is>
      </c>
      <c r="Q7">
        <v>10</v>
      </c>
      <c r="R7">
        <v>33.5</v>
      </c>
      <c r="S7">
        <v>26.5</v>
      </c>
      <c r="T7">
        <v>25</v>
      </c>
      <c r="U7">
        <v>2.3</v>
      </c>
      <c r="V7" t="inlineStr">
        <is>
          <t>3.7</t>
        </is>
      </c>
      <c r="W7" t="inlineStr">
        <is>
          <t>3.7</t>
        </is>
      </c>
      <c r="X7" t="inlineStr">
        <is>
          <t>海运</t>
        </is>
      </c>
      <c r="Y7">
        <v>5.55136</v>
      </c>
      <c r="Z7">
        <v>26</v>
      </c>
      <c r="AA7" t="inlineStr">
        <is>
          <t>8.418</t>
        </is>
      </c>
      <c r="AB7" t="inlineStr">
        <is>
          <t>11.00%</t>
        </is>
      </c>
      <c r="AC7"/>
      <c r="AD7" t="inlineStr">
        <is>
          <t>12.64%</t>
        </is>
      </c>
      <c r="AE7" t="inlineStr">
        <is>
          <t>20.03%</t>
        </is>
      </c>
      <c r="AF7" t="inlineStr">
        <is>
          <t>4.25%</t>
        </is>
      </c>
      <c r="AG7">
        <v>0.15</v>
      </c>
      <c r="AH7" t="inlineStr">
        <is>
          <t>13.07%</t>
        </is>
      </c>
      <c r="AI7">
        <v>0.02</v>
      </c>
      <c r="AJ7">
        <v>0.05</v>
      </c>
    </row>
    <row r="8" ht="25.5" customHeight="1">
      <c r="A8" t="inlineStr">
        <is>
          <t>XX仪（20%）PD</t>
        </is>
      </c>
      <c r="B8">
        <v>8</v>
      </c>
      <c r="C8" t="inlineStr">
        <is>
          <t>法国</t>
        </is>
      </c>
      <c r="D8" t="inlineStr">
        <is>
          <t>FR</t>
        </is>
      </c>
      <c r="E8" t="inlineStr">
        <is>
          <t>有</t>
        </is>
      </c>
      <c r="F8" t="inlineStr">
        <is>
          <t>58.2</t>
        </is>
      </c>
      <c r="G8" t="inlineStr">
        <is>
          <t>110.7</t>
        </is>
      </c>
      <c r="H8">
        <v>64.59</v>
      </c>
      <c r="I8">
        <v>122.57</v>
      </c>
      <c r="J8">
        <v>9.67</v>
      </c>
      <c r="K8">
        <v>0.15</v>
      </c>
      <c r="L8">
        <v>0.16</v>
      </c>
      <c r="M8">
        <v>0.05</v>
      </c>
      <c r="N8" t="inlineStr">
        <is>
          <t>0.155</t>
        </is>
      </c>
      <c r="O8" t="inlineStr">
        <is>
          <t>0.0100</t>
        </is>
      </c>
      <c r="P8" t="inlineStr">
        <is>
          <t>0.0200</t>
        </is>
      </c>
      <c r="Q8">
        <v>10</v>
      </c>
      <c r="R8">
        <v>33.5</v>
      </c>
      <c r="S8">
        <v>26.5</v>
      </c>
      <c r="T8">
        <v>25</v>
      </c>
      <c r="U8">
        <v>2.3</v>
      </c>
      <c r="V8" t="inlineStr">
        <is>
          <t>3.7</t>
        </is>
      </c>
      <c r="W8" t="inlineStr">
        <is>
          <t>3.7</t>
        </is>
      </c>
      <c r="X8" t="inlineStr">
        <is>
          <t>海运</t>
        </is>
      </c>
      <c r="Y8">
        <v>5.55136</v>
      </c>
      <c r="Z8">
        <v>26</v>
      </c>
      <c r="AA8" t="inlineStr">
        <is>
          <t>1.159</t>
        </is>
      </c>
      <c r="AB8" t="inlineStr">
        <is>
          <t>1.79%</t>
        </is>
      </c>
      <c r="AC8"/>
      <c r="AD8" t="inlineStr">
        <is>
          <t>14.97%</t>
        </is>
      </c>
      <c r="AE8" t="inlineStr">
        <is>
          <t>23.72%</t>
        </is>
      </c>
      <c r="AF8" t="inlineStr">
        <is>
          <t>5.03%</t>
        </is>
      </c>
      <c r="AG8">
        <v>0.15</v>
      </c>
      <c r="AH8" t="inlineStr">
        <is>
          <t>15.48%</t>
        </is>
      </c>
      <c r="AI8">
        <v>0.02</v>
      </c>
      <c r="AJ8">
        <v>0.05</v>
      </c>
    </row>
    <row r="9" ht="25.5" customHeight="1">
      <c r="A9"/>
      <c r="B9"/>
      <c r="C9"/>
      <c r="D9"/>
      <c r="E9"/>
      <c r="F9"/>
      <c r="G9"/>
      <c r="H9"/>
      <c r="I9">
        <v>122.57</v>
      </c>
      <c r="J9"/>
      <c r="K9"/>
      <c r="L9"/>
      <c r="M9"/>
      <c r="N9"/>
      <c r="O9" t="inlineStr">
        <is>
          <t>0.0100</t>
        </is>
      </c>
      <c r="P9" t="inlineStr">
        <is>
          <t>0.0200</t>
        </is>
      </c>
      <c r="Q9">
        <v>10</v>
      </c>
      <c r="R9"/>
      <c r="S9"/>
      <c r="T9"/>
      <c r="U9"/>
      <c r="V9" t="inlineStr">
        <is>
          <t>0.0</t>
        </is>
      </c>
      <c r="W9" t="inlineStr">
        <is>
          <t>0.0</t>
        </is>
      </c>
      <c r="X9" t="inlineStr">
        <is>
          <t>海运</t>
        </is>
      </c>
      <c r="Y9"/>
      <c r="Z9"/>
      <c r="AA9"/>
      <c r="AB9"/>
      <c r="AC9"/>
      <c r="AD9"/>
      <c r="AE9"/>
      <c r="AF9"/>
      <c r="AG9"/>
      <c r="AH9"/>
      <c r="AI9"/>
      <c r="AJ9"/>
    </row>
    <row r="10" ht="25.5" customHeight="1">
      <c r="A10" t="inlineStr">
        <is>
          <t>XX仪（划线30%）</t>
        </is>
      </c>
      <c r="B10">
        <v>8</v>
      </c>
      <c r="C10" t="inlineStr">
        <is>
          <t>意大利</t>
        </is>
      </c>
      <c r="D10" t="inlineStr">
        <is>
          <t>IT</t>
        </is>
      </c>
      <c r="E10" t="inlineStr">
        <is>
          <t>有</t>
        </is>
      </c>
      <c r="F10" t="inlineStr">
        <is>
          <t>48.8</t>
        </is>
      </c>
      <c r="G10" t="inlineStr">
        <is>
          <t>86.4</t>
        </is>
      </c>
      <c r="H10">
        <v>89.99</v>
      </c>
      <c r="I10">
        <v>122.57</v>
      </c>
      <c r="J10">
        <v>7.25</v>
      </c>
      <c r="K10">
        <v>0.15</v>
      </c>
      <c r="L10">
        <v>0.16</v>
      </c>
      <c r="M10">
        <v>0.05</v>
      </c>
      <c r="N10" t="inlineStr">
        <is>
          <t>0.111</t>
        </is>
      </c>
      <c r="O10" t="inlineStr">
        <is>
          <t>0.0100</t>
        </is>
      </c>
      <c r="P10" t="inlineStr">
        <is>
          <t>0.0200</t>
        </is>
      </c>
      <c r="Q10">
        <v>10</v>
      </c>
      <c r="R10">
        <v>33.5</v>
      </c>
      <c r="S10">
        <v>26.5</v>
      </c>
      <c r="T10">
        <v>25</v>
      </c>
      <c r="U10">
        <v>2.3</v>
      </c>
      <c r="V10" t="inlineStr">
        <is>
          <t>3.7</t>
        </is>
      </c>
      <c r="W10" t="inlineStr">
        <is>
          <t>3.7</t>
        </is>
      </c>
      <c r="X10" t="inlineStr">
        <is>
          <t>海运</t>
        </is>
      </c>
      <c r="Y10">
        <v>5.55136</v>
      </c>
      <c r="Z10">
        <v>26</v>
      </c>
      <c r="AA10" t="inlineStr">
        <is>
          <t>19.073</t>
        </is>
      </c>
      <c r="AB10" t="inlineStr">
        <is>
          <t>21.19%</t>
        </is>
      </c>
      <c r="AC10"/>
      <c r="AD10" t="inlineStr">
        <is>
          <t>8.06%</t>
        </is>
      </c>
      <c r="AE10" t="inlineStr">
        <is>
          <t>17.03%</t>
        </is>
      </c>
      <c r="AF10" t="inlineStr">
        <is>
          <t>3.61%</t>
        </is>
      </c>
      <c r="AG10">
        <v>0.15</v>
      </c>
      <c r="AH10" t="inlineStr">
        <is>
          <t>11.11%</t>
        </is>
      </c>
      <c r="AI10">
        <v>0.02</v>
      </c>
      <c r="AJ10">
        <v>0.05</v>
      </c>
    </row>
    <row r="11" ht="25.5" customHeight="1">
      <c r="A11" t="inlineStr">
        <is>
          <t>XX仪（15%）coupon</t>
        </is>
      </c>
      <c r="B11">
        <v>8</v>
      </c>
      <c r="C11" t="inlineStr">
        <is>
          <t>意大利</t>
        </is>
      </c>
      <c r="D11" t="inlineStr">
        <is>
          <t>IT</t>
        </is>
      </c>
      <c r="E11" t="inlineStr">
        <is>
          <t>有</t>
        </is>
      </c>
      <c r="F11" t="inlineStr">
        <is>
          <t>50.7</t>
        </is>
      </c>
      <c r="G11" t="inlineStr">
        <is>
          <t>92.5</t>
        </is>
      </c>
      <c r="H11">
        <v>76.49</v>
      </c>
      <c r="I11">
        <v>122.57</v>
      </c>
      <c r="J11">
        <v>7.25</v>
      </c>
      <c r="K11">
        <v>0.15</v>
      </c>
      <c r="L11">
        <v>0.16</v>
      </c>
      <c r="M11">
        <v>0.05</v>
      </c>
      <c r="N11" t="inlineStr">
        <is>
          <t>0.131</t>
        </is>
      </c>
      <c r="O11" t="inlineStr">
        <is>
          <t>0.0100</t>
        </is>
      </c>
      <c r="P11" t="inlineStr">
        <is>
          <t>0.0200</t>
        </is>
      </c>
      <c r="Q11">
        <v>10</v>
      </c>
      <c r="R11">
        <v>33.5</v>
      </c>
      <c r="S11">
        <v>26.5</v>
      </c>
      <c r="T11">
        <v>25</v>
      </c>
      <c r="U11">
        <v>2.3</v>
      </c>
      <c r="V11" t="inlineStr">
        <is>
          <t>3.7</t>
        </is>
      </c>
      <c r="W11" t="inlineStr">
        <is>
          <t>3.7</t>
        </is>
      </c>
      <c r="X11" t="inlineStr">
        <is>
          <t>海运</t>
        </is>
      </c>
      <c r="Y11">
        <v>5.55136</v>
      </c>
      <c r="Z11">
        <v>26</v>
      </c>
      <c r="AA11" t="inlineStr">
        <is>
          <t>10.838</t>
        </is>
      </c>
      <c r="AB11" t="inlineStr">
        <is>
          <t>14.17%</t>
        </is>
      </c>
      <c r="AC11"/>
      <c r="AD11" t="inlineStr">
        <is>
          <t>9.48%</t>
        </is>
      </c>
      <c r="AE11" t="inlineStr">
        <is>
          <t>20.03%</t>
        </is>
      </c>
      <c r="AF11" t="inlineStr">
        <is>
          <t>4.25%</t>
        </is>
      </c>
      <c r="AG11">
        <v>0.15</v>
      </c>
      <c r="AH11" t="inlineStr">
        <is>
          <t>13.07%</t>
        </is>
      </c>
      <c r="AI11">
        <v>0.02</v>
      </c>
      <c r="AJ11">
        <v>0.05</v>
      </c>
    </row>
    <row r="12" ht="25.5" customHeight="1">
      <c r="A12" t="inlineStr">
        <is>
          <t>XX仪（20%）PD</t>
        </is>
      </c>
      <c r="B12">
        <v>8</v>
      </c>
      <c r="C12" t="inlineStr">
        <is>
          <t>意大利</t>
        </is>
      </c>
      <c r="D12" t="inlineStr">
        <is>
          <t>IT</t>
        </is>
      </c>
      <c r="E12" t="inlineStr">
        <is>
          <t>有</t>
        </is>
      </c>
      <c r="F12" t="inlineStr">
        <is>
          <t>51.5</t>
        </is>
      </c>
      <c r="G12" t="inlineStr">
        <is>
          <t>95.2</t>
        </is>
      </c>
      <c r="H12">
        <v>71.99</v>
      </c>
      <c r="I12">
        <v>122.57</v>
      </c>
      <c r="J12">
        <v>7.25</v>
      </c>
      <c r="K12">
        <v>0.15</v>
      </c>
      <c r="L12">
        <v>0.16</v>
      </c>
      <c r="M12">
        <v>0.05</v>
      </c>
      <c r="N12" t="inlineStr">
        <is>
          <t>0.139</t>
        </is>
      </c>
      <c r="O12" t="inlineStr">
        <is>
          <t>0.0100</t>
        </is>
      </c>
      <c r="P12" t="inlineStr">
        <is>
          <t>0.0200</t>
        </is>
      </c>
      <c r="Q12">
        <v>10</v>
      </c>
      <c r="R12">
        <v>33.5</v>
      </c>
      <c r="S12">
        <v>26.5</v>
      </c>
      <c r="T12">
        <v>25</v>
      </c>
      <c r="U12">
        <v>2.3</v>
      </c>
      <c r="V12" t="inlineStr">
        <is>
          <t>3.7</t>
        </is>
      </c>
      <c r="W12" t="inlineStr">
        <is>
          <t>3.7</t>
        </is>
      </c>
      <c r="X12" t="inlineStr">
        <is>
          <t>海运</t>
        </is>
      </c>
      <c r="Y12">
        <v>5.55136</v>
      </c>
      <c r="Z12">
        <v>26</v>
      </c>
      <c r="AA12" t="inlineStr">
        <is>
          <t>8.093</t>
        </is>
      </c>
      <c r="AB12" t="inlineStr">
        <is>
          <t>11.24%</t>
        </is>
      </c>
      <c r="AC12"/>
      <c r="AD12" t="inlineStr">
        <is>
          <t>10.07%</t>
        </is>
      </c>
      <c r="AE12" t="inlineStr">
        <is>
          <t>21.28%</t>
        </is>
      </c>
      <c r="AF12" t="inlineStr">
        <is>
          <t>4.51%</t>
        </is>
      </c>
      <c r="AG12">
        <v>0.15</v>
      </c>
      <c r="AH12" t="inlineStr">
        <is>
          <t>13.89%</t>
        </is>
      </c>
      <c r="AI12">
        <v>0.02</v>
      </c>
      <c r="AJ12">
        <v>0.05</v>
      </c>
    </row>
    <row r="13" ht="25.5" customHeight="1">
      <c r="A13" t="inlineStr">
        <is>
          <t>XX仪企业购价85.11（20%）coupon</t>
        </is>
      </c>
      <c r="B13">
        <v>8</v>
      </c>
      <c r="C13" t="inlineStr">
        <is>
          <t>意大利</t>
        </is>
      </c>
      <c r="D13" t="inlineStr">
        <is>
          <t>IT</t>
        </is>
      </c>
      <c r="E13" t="inlineStr">
        <is>
          <t>有</t>
        </is>
      </c>
      <c r="F13" t="inlineStr">
        <is>
          <t>54.1</t>
        </is>
      </c>
      <c r="G13" t="inlineStr">
        <is>
          <t>104.5</t>
        </is>
      </c>
      <c r="H13">
        <v>61.39</v>
      </c>
      <c r="I13">
        <v>122.57</v>
      </c>
      <c r="J13">
        <v>7.25</v>
      </c>
      <c r="K13">
        <v>0.15</v>
      </c>
      <c r="L13">
        <v>0.16</v>
      </c>
      <c r="M13">
        <v>0.05</v>
      </c>
      <c r="N13" t="inlineStr">
        <is>
          <t>0.163</t>
        </is>
      </c>
      <c r="O13" t="inlineStr">
        <is>
          <t>0.0100</t>
        </is>
      </c>
      <c r="P13" t="inlineStr">
        <is>
          <t>0.0200</t>
        </is>
      </c>
      <c r="Q13">
        <v>10</v>
      </c>
      <c r="R13">
        <v>33.5</v>
      </c>
      <c r="S13">
        <v>26.5</v>
      </c>
      <c r="T13">
        <v>25</v>
      </c>
      <c r="U13">
        <v>2.3</v>
      </c>
      <c r="V13" t="inlineStr">
        <is>
          <t>3.7</t>
        </is>
      </c>
      <c r="W13" t="inlineStr">
        <is>
          <t>3.7</t>
        </is>
      </c>
      <c r="X13" t="inlineStr">
        <is>
          <t>海运</t>
        </is>
      </c>
      <c r="Y13">
        <v>5.55136</v>
      </c>
      <c r="Z13">
        <v>26</v>
      </c>
      <c r="AA13" t="inlineStr">
        <is>
          <t>1.627</t>
        </is>
      </c>
      <c r="AB13" t="inlineStr">
        <is>
          <t>2.65%</t>
        </is>
      </c>
      <c r="AC13"/>
      <c r="AD13" t="inlineStr">
        <is>
          <t>11.81%</t>
        </is>
      </c>
      <c r="AE13" t="inlineStr">
        <is>
          <t>24.96%</t>
        </is>
      </c>
      <c r="AF13" t="inlineStr">
        <is>
          <t>5.29%</t>
        </is>
      </c>
      <c r="AG13">
        <v>0.15</v>
      </c>
      <c r="AH13" t="inlineStr">
        <is>
          <t>16.29%</t>
        </is>
      </c>
      <c r="AI13">
        <v>0.02</v>
      </c>
      <c r="AJ13">
        <v>0.05</v>
      </c>
    </row>
    <row r="14" ht="25.5" customHeight="1">
      <c r="A14"/>
      <c r="B14"/>
      <c r="C14"/>
      <c r="D14"/>
      <c r="E14"/>
      <c r="F14"/>
      <c r="G14"/>
      <c r="H14"/>
      <c r="I14">
        <v>122.57</v>
      </c>
      <c r="J14"/>
      <c r="K14"/>
      <c r="L14"/>
      <c r="M14"/>
      <c r="N14"/>
      <c r="O14" t="inlineStr">
        <is>
          <t>0.0100</t>
        </is>
      </c>
      <c r="P14" t="inlineStr">
        <is>
          <t>0.0200</t>
        </is>
      </c>
      <c r="Q14">
        <v>10</v>
      </c>
      <c r="R14"/>
      <c r="S14"/>
      <c r="T14"/>
      <c r="U14"/>
      <c r="V14" t="inlineStr">
        <is>
          <t>0.0</t>
        </is>
      </c>
      <c r="W14" t="inlineStr">
        <is>
          <t>0.0</t>
        </is>
      </c>
      <c r="X14" t="inlineStr">
        <is>
          <t>海运</t>
        </is>
      </c>
      <c r="Y14"/>
      <c r="Z14"/>
      <c r="AA14"/>
      <c r="AB14"/>
      <c r="AC14"/>
      <c r="AD14"/>
      <c r="AE14"/>
      <c r="AF14"/>
      <c r="AG14"/>
      <c r="AH14"/>
      <c r="AI14"/>
      <c r="AJ14"/>
    </row>
    <row r="15" ht="25.5" customHeight="1">
      <c r="A15" t="inlineStr">
        <is>
          <t>XX仪（划线30%）</t>
        </is>
      </c>
      <c r="B15">
        <v>8</v>
      </c>
      <c r="C15" t="inlineStr">
        <is>
          <t>西班牙</t>
        </is>
      </c>
      <c r="D15" t="inlineStr">
        <is>
          <t>ES</t>
        </is>
      </c>
      <c r="E15" t="inlineStr">
        <is>
          <t>有</t>
        </is>
      </c>
      <c r="F15" t="inlineStr">
        <is>
          <t>48.4</t>
        </is>
      </c>
      <c r="G15" t="inlineStr">
        <is>
          <t>85.6</t>
        </is>
      </c>
      <c r="H15">
        <v>89.99</v>
      </c>
      <c r="I15">
        <v>122.57</v>
      </c>
      <c r="J15">
        <v>7.02</v>
      </c>
      <c r="K15">
        <v>0.15</v>
      </c>
      <c r="L15">
        <v>0.16</v>
      </c>
      <c r="M15">
        <v>0.05</v>
      </c>
      <c r="N15" t="inlineStr">
        <is>
          <t>0.111</t>
        </is>
      </c>
      <c r="O15" t="inlineStr">
        <is>
          <t>0.0100</t>
        </is>
      </c>
      <c r="P15" t="inlineStr">
        <is>
          <t>0.0200</t>
        </is>
      </c>
      <c r="Q15">
        <v>10</v>
      </c>
      <c r="R15">
        <v>33.5</v>
      </c>
      <c r="S15">
        <v>26.5</v>
      </c>
      <c r="T15">
        <v>25</v>
      </c>
      <c r="U15">
        <v>2.3</v>
      </c>
      <c r="V15" t="inlineStr">
        <is>
          <t>3.7</t>
        </is>
      </c>
      <c r="W15" t="inlineStr">
        <is>
          <t>3.7</t>
        </is>
      </c>
      <c r="X15" t="inlineStr">
        <is>
          <t>海运</t>
        </is>
      </c>
      <c r="Y15">
        <v>5.55136</v>
      </c>
      <c r="Z15">
        <v>26</v>
      </c>
      <c r="AA15" t="inlineStr">
        <is>
          <t>19.303</t>
        </is>
      </c>
      <c r="AB15" t="inlineStr">
        <is>
          <t>21.45%</t>
        </is>
      </c>
      <c r="AC15"/>
      <c r="AD15" t="inlineStr">
        <is>
          <t>7.80%</t>
        </is>
      </c>
      <c r="AE15" t="inlineStr">
        <is>
          <t>17.03%</t>
        </is>
      </c>
      <c r="AF15" t="inlineStr">
        <is>
          <t>3.61%</t>
        </is>
      </c>
      <c r="AG15">
        <v>0.15</v>
      </c>
      <c r="AH15" t="inlineStr">
        <is>
          <t>11.11%</t>
        </is>
      </c>
      <c r="AI15">
        <v>0.02</v>
      </c>
      <c r="AJ15">
        <v>0.05</v>
      </c>
    </row>
    <row r="16" ht="25.5" customHeight="1">
      <c r="A16" t="inlineStr">
        <is>
          <t>XX仪（15%）coupon</t>
        </is>
      </c>
      <c r="B16">
        <v>8</v>
      </c>
      <c r="C16" t="inlineStr">
        <is>
          <t>西班牙</t>
        </is>
      </c>
      <c r="D16" t="inlineStr">
        <is>
          <t>ES</t>
        </is>
      </c>
      <c r="E16" t="inlineStr">
        <is>
          <t>有</t>
        </is>
      </c>
      <c r="F16" t="inlineStr">
        <is>
          <t>40.0</t>
        </is>
      </c>
      <c r="G16" t="inlineStr">
        <is>
          <t>62.4</t>
        </is>
      </c>
      <c r="H16"/>
      <c r="I16">
        <v>122.57</v>
      </c>
      <c r="J16">
        <v>7.02</v>
      </c>
      <c r="K16">
        <v>0.15</v>
      </c>
      <c r="L16">
        <v>0.16</v>
      </c>
      <c r="M16">
        <v>0.05</v>
      </c>
      <c r="N16"/>
      <c r="O16" t="inlineStr">
        <is>
          <t>0.0100</t>
        </is>
      </c>
      <c r="P16" t="inlineStr">
        <is>
          <t>0.0200</t>
        </is>
      </c>
      <c r="Q16">
        <v>10</v>
      </c>
      <c r="R16">
        <v>33.5</v>
      </c>
      <c r="S16">
        <v>26.5</v>
      </c>
      <c r="T16">
        <v>25</v>
      </c>
      <c r="U16">
        <v>2.3</v>
      </c>
      <c r="V16" t="inlineStr">
        <is>
          <t>3.7</t>
        </is>
      </c>
      <c r="W16" t="inlineStr">
        <is>
          <t>3.7</t>
        </is>
      </c>
      <c r="X16" t="inlineStr">
        <is>
          <t>海运</t>
        </is>
      </c>
      <c r="Y16">
        <v>5.55136</v>
      </c>
      <c r="Z16">
        <v>26</v>
      </c>
      <c r="AA16" t="inlineStr">
        <is>
          <t>-25.591</t>
        </is>
      </c>
      <c r="AB16"/>
      <c r="AC16"/>
      <c r="AD16"/>
      <c r="AE16"/>
      <c r="AF16"/>
      <c r="AG16">
        <v>0.15</v>
      </c>
      <c r="AH16"/>
      <c r="AI16">
        <v>0.02</v>
      </c>
      <c r="AJ16">
        <v>0.05</v>
      </c>
    </row>
    <row r="17" ht="25.5" customHeight="1">
      <c r="A17" t="inlineStr">
        <is>
          <t>XX仪（20%）PD</t>
        </is>
      </c>
      <c r="B17">
        <v>8</v>
      </c>
      <c r="C17" t="inlineStr">
        <is>
          <t>西班牙</t>
        </is>
      </c>
      <c r="D17" t="inlineStr">
        <is>
          <t>ES</t>
        </is>
      </c>
      <c r="E17" t="inlineStr">
        <is>
          <t>有</t>
        </is>
      </c>
      <c r="F17" t="inlineStr">
        <is>
          <t>53.6</t>
        </is>
      </c>
      <c r="G17" t="inlineStr">
        <is>
          <t>103.6</t>
        </is>
      </c>
      <c r="H17">
        <v>61.39</v>
      </c>
      <c r="I17">
        <v>122.57</v>
      </c>
      <c r="J17">
        <v>7.02</v>
      </c>
      <c r="K17">
        <v>0.15</v>
      </c>
      <c r="L17">
        <v>0.16</v>
      </c>
      <c r="M17">
        <v>0.05</v>
      </c>
      <c r="N17" t="inlineStr">
        <is>
          <t>0.163</t>
        </is>
      </c>
      <c r="O17" t="inlineStr">
        <is>
          <t>0.0100</t>
        </is>
      </c>
      <c r="P17" t="inlineStr">
        <is>
          <t>0.0200</t>
        </is>
      </c>
      <c r="Q17">
        <v>10</v>
      </c>
      <c r="R17">
        <v>33.5</v>
      </c>
      <c r="S17">
        <v>26.5</v>
      </c>
      <c r="T17">
        <v>25</v>
      </c>
      <c r="U17">
        <v>2.3</v>
      </c>
      <c r="V17" t="inlineStr">
        <is>
          <t>3.7</t>
        </is>
      </c>
      <c r="W17" t="inlineStr">
        <is>
          <t>3.7</t>
        </is>
      </c>
      <c r="X17" t="inlineStr">
        <is>
          <t>海运</t>
        </is>
      </c>
      <c r="Y17">
        <v>5.55136</v>
      </c>
      <c r="Z17">
        <v>26</v>
      </c>
      <c r="AA17" t="inlineStr">
        <is>
          <t>1.857</t>
        </is>
      </c>
      <c r="AB17" t="inlineStr">
        <is>
          <t>3.02%</t>
        </is>
      </c>
      <c r="AC17"/>
      <c r="AD17" t="inlineStr">
        <is>
          <t>11.44%</t>
        </is>
      </c>
      <c r="AE17" t="inlineStr">
        <is>
          <t>24.96%</t>
        </is>
      </c>
      <c r="AF17" t="inlineStr">
        <is>
          <t>5.29%</t>
        </is>
      </c>
      <c r="AG17">
        <v>0.15</v>
      </c>
      <c r="AH17" t="inlineStr">
        <is>
          <t>16.29%</t>
        </is>
      </c>
      <c r="AI17">
        <v>0.02</v>
      </c>
      <c r="AJ17">
        <v>0.05</v>
      </c>
    </row>
    <row r="18" ht="25.5" customHeight="1">
      <c r="A18"/>
      <c r="B18"/>
      <c r="C18"/>
      <c r="D18"/>
      <c r="E18"/>
      <c r="F18"/>
      <c r="G18"/>
      <c r="H18"/>
      <c r="I18">
        <v>122.57</v>
      </c>
      <c r="J18"/>
      <c r="K18"/>
      <c r="L18"/>
      <c r="M18"/>
      <c r="N18"/>
      <c r="O18" t="inlineStr">
        <is>
          <t>0.0100</t>
        </is>
      </c>
      <c r="P18" t="inlineStr">
        <is>
          <t>0.0200</t>
        </is>
      </c>
      <c r="Q18">
        <v>10</v>
      </c>
      <c r="R18"/>
      <c r="S18"/>
      <c r="T18"/>
      <c r="U18"/>
      <c r="V18" t="inlineStr">
        <is>
          <t>0.0</t>
        </is>
      </c>
      <c r="W18" t="inlineStr">
        <is>
          <t>0.0</t>
        </is>
      </c>
      <c r="X18" t="inlineStr">
        <is>
          <t>海运</t>
        </is>
      </c>
      <c r="Y18"/>
      <c r="Z18"/>
      <c r="AA18"/>
      <c r="AB18"/>
      <c r="AC18"/>
      <c r="AD18"/>
      <c r="AE18"/>
      <c r="AF18"/>
      <c r="AG18"/>
      <c r="AH18"/>
      <c r="AI18"/>
      <c r="AJ18"/>
    </row>
    <row r="19" ht="25.5" customHeight="1">
      <c r="A19" t="inlineStr">
        <is>
          <t>XX仪（划线30%）</t>
        </is>
      </c>
      <c r="B19">
        <v>9</v>
      </c>
      <c r="C19" t="inlineStr">
        <is>
          <t>英国</t>
        </is>
      </c>
      <c r="D19" t="inlineStr">
        <is>
          <t>UK</t>
        </is>
      </c>
      <c r="E19" t="inlineStr">
        <is>
          <t>有</t>
        </is>
      </c>
      <c r="F19" t="inlineStr">
        <is>
          <t>42.5</t>
        </is>
      </c>
      <c r="G19" t="inlineStr">
        <is>
          <t>75.2</t>
        </is>
      </c>
      <c r="H19">
        <v>89.99</v>
      </c>
      <c r="I19">
        <v>122.57</v>
      </c>
      <c r="J19">
        <v>5.19</v>
      </c>
      <c r="K19">
        <v>0.15</v>
      </c>
      <c r="L19">
        <v>0.16</v>
      </c>
      <c r="M19">
        <v>0.05</v>
      </c>
      <c r="N19" t="inlineStr">
        <is>
          <t>0.111</t>
        </is>
      </c>
      <c r="O19" t="inlineStr">
        <is>
          <t>0.0100</t>
        </is>
      </c>
      <c r="P19" t="inlineStr">
        <is>
          <t>0.0200</t>
        </is>
      </c>
      <c r="Q19">
        <v>10</v>
      </c>
      <c r="R19">
        <v>33.5</v>
      </c>
      <c r="S19">
        <v>26.5</v>
      </c>
      <c r="T19">
        <v>25</v>
      </c>
      <c r="U19">
        <v>2.3</v>
      </c>
      <c r="V19" t="inlineStr">
        <is>
          <t>3.7</t>
        </is>
      </c>
      <c r="W19" t="inlineStr">
        <is>
          <t>3.7</t>
        </is>
      </c>
      <c r="X19" t="inlineStr">
        <is>
          <t>海运</t>
        </is>
      </c>
      <c r="Y19">
        <v>6.084</v>
      </c>
      <c r="Z19">
        <v>32.9</v>
      </c>
      <c r="AA19" t="inlineStr">
        <is>
          <t>22.429</t>
        </is>
      </c>
      <c r="AB19" t="inlineStr">
        <is>
          <t>24.92%</t>
        </is>
      </c>
      <c r="AC19"/>
      <c r="AD19" t="inlineStr">
        <is>
          <t>5.77%</t>
        </is>
      </c>
      <c r="AE19" t="inlineStr">
        <is>
          <t>15.13%</t>
        </is>
      </c>
      <c r="AF19" t="inlineStr">
        <is>
          <t>4.06%</t>
        </is>
      </c>
      <c r="AG19">
        <v>0.15</v>
      </c>
      <c r="AH19" t="inlineStr">
        <is>
          <t>11.11%</t>
        </is>
      </c>
      <c r="AI19">
        <v>0.02</v>
      </c>
      <c r="AJ19">
        <v>0.05</v>
      </c>
    </row>
    <row r="20" ht="25.5" customHeight="1">
      <c r="A20" t="inlineStr">
        <is>
          <t>XX仪（15%）coupon</t>
        </is>
      </c>
      <c r="B20">
        <v>9</v>
      </c>
      <c r="C20" t="inlineStr">
        <is>
          <t>英国</t>
        </is>
      </c>
      <c r="D20" t="inlineStr">
        <is>
          <t>UK</t>
        </is>
      </c>
      <c r="E20" t="inlineStr">
        <is>
          <t>有</t>
        </is>
      </c>
      <c r="F20" t="inlineStr">
        <is>
          <t>35.1</t>
        </is>
      </c>
      <c r="G20" t="inlineStr">
        <is>
          <t>54.8</t>
        </is>
      </c>
      <c r="H20"/>
      <c r="I20">
        <v>122.57</v>
      </c>
      <c r="J20">
        <v>5.19</v>
      </c>
      <c r="K20">
        <v>0.15</v>
      </c>
      <c r="L20">
        <v>0.16</v>
      </c>
      <c r="M20">
        <v>0.05</v>
      </c>
      <c r="N20"/>
      <c r="O20" t="inlineStr">
        <is>
          <t>0.0100</t>
        </is>
      </c>
      <c r="P20" t="inlineStr">
        <is>
          <t>0.0200</t>
        </is>
      </c>
      <c r="Q20">
        <v>10</v>
      </c>
      <c r="R20">
        <v>33.5</v>
      </c>
      <c r="S20">
        <v>26.5</v>
      </c>
      <c r="T20">
        <v>25</v>
      </c>
      <c r="U20">
        <v>2.3</v>
      </c>
      <c r="V20" t="inlineStr">
        <is>
          <t>3.7</t>
        </is>
      </c>
      <c r="W20" t="inlineStr">
        <is>
          <t>3.7</t>
        </is>
      </c>
      <c r="X20" t="inlineStr">
        <is>
          <t>海运</t>
        </is>
      </c>
      <c r="Y20">
        <v>6.084</v>
      </c>
      <c r="Z20">
        <v>32.9</v>
      </c>
      <c r="AA20" t="inlineStr">
        <is>
          <t>-22.464</t>
        </is>
      </c>
      <c r="AB20"/>
      <c r="AC20"/>
      <c r="AD20"/>
      <c r="AE20"/>
      <c r="AF20"/>
      <c r="AG20">
        <v>0.15</v>
      </c>
      <c r="AH20"/>
      <c r="AI20">
        <v>0.02</v>
      </c>
      <c r="AJ20">
        <v>0.05</v>
      </c>
    </row>
    <row r="21" ht="25.5" customHeight="1">
      <c r="A21" t="inlineStr">
        <is>
          <t>XX仪（20%）PD</t>
        </is>
      </c>
      <c r="B21">
        <v>9</v>
      </c>
      <c r="C21" t="inlineStr">
        <is>
          <t>英国</t>
        </is>
      </c>
      <c r="D21" t="inlineStr">
        <is>
          <t>UK</t>
        </is>
      </c>
      <c r="E21" t="inlineStr">
        <is>
          <t>有</t>
        </is>
      </c>
      <c r="F21" t="inlineStr">
        <is>
          <t>35.1</t>
        </is>
      </c>
      <c r="G21" t="inlineStr">
        <is>
          <t>54.8</t>
        </is>
      </c>
      <c r="H21"/>
      <c r="I21">
        <v>122.57</v>
      </c>
      <c r="J21">
        <v>5.19</v>
      </c>
      <c r="K21">
        <v>0.15</v>
      </c>
      <c r="L21">
        <v>0.16</v>
      </c>
      <c r="M21">
        <v>0.05</v>
      </c>
      <c r="N21"/>
      <c r="O21" t="inlineStr">
        <is>
          <t>0.0100</t>
        </is>
      </c>
      <c r="P21" t="inlineStr">
        <is>
          <t>0.0200</t>
        </is>
      </c>
      <c r="Q21">
        <v>10</v>
      </c>
      <c r="R21">
        <v>33.5</v>
      </c>
      <c r="S21">
        <v>26.5</v>
      </c>
      <c r="T21">
        <v>25</v>
      </c>
      <c r="U21">
        <v>2.3</v>
      </c>
      <c r="V21" t="inlineStr">
        <is>
          <t>3.7</t>
        </is>
      </c>
      <c r="W21" t="inlineStr">
        <is>
          <t>3.7</t>
        </is>
      </c>
      <c r="X21" t="inlineStr">
        <is>
          <t>海运</t>
        </is>
      </c>
      <c r="Y21">
        <v>6.084</v>
      </c>
      <c r="Z21">
        <v>32.9</v>
      </c>
      <c r="AA21" t="inlineStr">
        <is>
          <t>-22.464</t>
        </is>
      </c>
      <c r="AB21"/>
      <c r="AC21"/>
      <c r="AD21"/>
      <c r="AE21"/>
      <c r="AF21"/>
      <c r="AG21">
        <v>0.15</v>
      </c>
      <c r="AH21"/>
      <c r="AI21">
        <v>0.02</v>
      </c>
      <c r="AJ21">
        <v>0.05</v>
      </c>
    </row>
    <row r="22" ht="25.5" customHeight="1">
      <c r="A22"/>
      <c r="B22"/>
      <c r="C22"/>
      <c r="D22"/>
      <c r="E22"/>
      <c r="F22"/>
      <c r="G22"/>
      <c r="H22"/>
      <c r="I22">
        <v>122.57</v>
      </c>
      <c r="J22"/>
      <c r="K22"/>
      <c r="L22"/>
      <c r="M22"/>
      <c r="N22"/>
      <c r="O22" t="inlineStr">
        <is>
          <t>0.0100</t>
        </is>
      </c>
      <c r="P22" t="inlineStr">
        <is>
          <t>0.0200</t>
        </is>
      </c>
      <c r="Q22">
        <v>10</v>
      </c>
      <c r="R22">
        <v>33.5</v>
      </c>
      <c r="S22">
        <v>26.5</v>
      </c>
      <c r="T22">
        <v>25</v>
      </c>
      <c r="U22">
        <v>2.3</v>
      </c>
      <c r="V22" t="inlineStr">
        <is>
          <t>3.7</t>
        </is>
      </c>
      <c r="W22" t="inlineStr">
        <is>
          <t>3.7</t>
        </is>
      </c>
      <c r="X22" t="inlineStr">
        <is>
          <t>海运</t>
        </is>
      </c>
      <c r="Y22"/>
      <c r="Z22"/>
      <c r="AA22"/>
      <c r="AB22"/>
      <c r="AC22"/>
      <c r="AD22"/>
      <c r="AE22"/>
      <c r="AF22"/>
      <c r="AG22"/>
      <c r="AH22"/>
      <c r="AI22"/>
      <c r="AJ22"/>
    </row>
    <row r="23" ht="25.5" customHeight="1">
      <c r="A23" t="inlineStr">
        <is>
          <t>VC025吸尘器   定59.99  17%划线价 49.99</t>
        </is>
      </c>
      <c r="B23">
        <v>8</v>
      </c>
      <c r="C23" t="inlineStr">
        <is>
          <t>德国</t>
        </is>
      </c>
      <c r="D23" t="inlineStr">
        <is>
          <t>DE</t>
        </is>
      </c>
      <c r="E23" t="inlineStr">
        <is>
          <t>有</t>
        </is>
      </c>
      <c r="F23" t="inlineStr">
        <is>
          <t>8.3</t>
        </is>
      </c>
      <c r="G23" t="inlineStr">
        <is>
          <t>14.0</t>
        </is>
      </c>
      <c r="H23">
        <v>39.99</v>
      </c>
      <c r="I23"/>
      <c r="J23">
        <v>3.68</v>
      </c>
      <c r="K23">
        <v>0.15</v>
      </c>
      <c r="L23">
        <v>0.16</v>
      </c>
      <c r="M23">
        <v>0.05</v>
      </c>
      <c r="N23" t="inlineStr">
        <is>
          <t>0.075</t>
        </is>
      </c>
      <c r="O23" t="inlineStr">
        <is>
          <t>0.0100</t>
        </is>
      </c>
      <c r="P23" t="inlineStr">
        <is>
          <t>0.0200</t>
        </is>
      </c>
      <c r="Q23">
        <v>3</v>
      </c>
      <c r="R23">
        <v>33.5</v>
      </c>
      <c r="S23">
        <v>26.5</v>
      </c>
      <c r="T23">
        <v>25</v>
      </c>
      <c r="U23">
        <v>2.3</v>
      </c>
      <c r="V23" t="inlineStr">
        <is>
          <t>3.7</t>
        </is>
      </c>
      <c r="W23" t="inlineStr">
        <is>
          <t>3.7</t>
        </is>
      </c>
      <c r="X23" t="inlineStr">
        <is>
          <t>海运</t>
        </is>
      </c>
      <c r="Y23">
        <v>5.55136</v>
      </c>
      <c r="Z23">
        <v>8</v>
      </c>
      <c r="AA23" t="inlineStr">
        <is>
          <t>16.714</t>
        </is>
      </c>
      <c r="AB23" t="inlineStr">
        <is>
          <t>41.80%</t>
        </is>
      </c>
      <c r="AC23"/>
      <c r="AD23" t="inlineStr">
        <is>
          <t>9.20%</t>
        </is>
      </c>
      <c r="AE23" t="inlineStr">
        <is>
          <t>0.00%</t>
        </is>
      </c>
      <c r="AF23" t="inlineStr">
        <is>
          <t>2.50%</t>
        </is>
      </c>
      <c r="AG23">
        <v>0.15</v>
      </c>
      <c r="AH23" t="inlineStr">
        <is>
          <t>7.50%</t>
        </is>
      </c>
      <c r="AI23">
        <v>0.02</v>
      </c>
      <c r="AJ23">
        <v>0.05</v>
      </c>
    </row>
    <row r="24" ht="25.5" customHeight="1">
      <c r="A24" t="inlineStr">
        <is>
          <t>VC025吸尘器（10%）coupon</t>
        </is>
      </c>
      <c r="B24">
        <v>8</v>
      </c>
      <c r="C24" t="inlineStr">
        <is>
          <t>德国</t>
        </is>
      </c>
      <c r="D24" t="inlineStr">
        <is>
          <t>DE</t>
        </is>
      </c>
      <c r="E24" t="inlineStr">
        <is>
          <t>有</t>
        </is>
      </c>
      <c r="F24" t="inlineStr">
        <is>
          <t>7.3</t>
        </is>
      </c>
      <c r="G24" t="inlineStr">
        <is>
          <t>11.4</t>
        </is>
      </c>
      <c r="H24"/>
      <c r="I24"/>
      <c r="J24">
        <v>3.68</v>
      </c>
      <c r="K24">
        <v>0.15</v>
      </c>
      <c r="L24">
        <v>0.16</v>
      </c>
      <c r="M24">
        <v>0.05</v>
      </c>
      <c r="N24"/>
      <c r="O24" t="inlineStr">
        <is>
          <t>0.0100</t>
        </is>
      </c>
      <c r="P24" t="inlineStr">
        <is>
          <t>0.0200</t>
        </is>
      </c>
      <c r="Q24">
        <v>3</v>
      </c>
      <c r="R24">
        <v>33.5</v>
      </c>
      <c r="S24">
        <v>26.5</v>
      </c>
      <c r="T24">
        <v>25</v>
      </c>
      <c r="U24">
        <v>2.3</v>
      </c>
      <c r="V24" t="inlineStr">
        <is>
          <t>3.7</t>
        </is>
      </c>
      <c r="W24" t="inlineStr">
        <is>
          <t>3.7</t>
        </is>
      </c>
      <c r="X24" t="inlineStr">
        <is>
          <t>海运</t>
        </is>
      </c>
      <c r="Y24">
        <v>5.55136</v>
      </c>
      <c r="Z24">
        <v>8</v>
      </c>
      <c r="AA24" t="inlineStr">
        <is>
          <t>-4.680</t>
        </is>
      </c>
      <c r="AB24"/>
      <c r="AC24"/>
      <c r="AD24"/>
      <c r="AE24"/>
      <c r="AF24"/>
      <c r="AG24">
        <v>0.15</v>
      </c>
      <c r="AH24"/>
      <c r="AI24">
        <v>0.02</v>
      </c>
      <c r="AJ24">
        <v>0.05</v>
      </c>
    </row>
    <row r="25" ht="25.5" customHeight="1">
      <c r="A25" t="inlineStr">
        <is>
          <t>VC025吸尘器（15%）coupon</t>
        </is>
      </c>
      <c r="B25">
        <v>8</v>
      </c>
      <c r="C25" t="inlineStr">
        <is>
          <t>德国</t>
        </is>
      </c>
      <c r="D25" t="inlineStr">
        <is>
          <t>DE</t>
        </is>
      </c>
      <c r="E25" t="inlineStr">
        <is>
          <t>有</t>
        </is>
      </c>
      <c r="F25" t="inlineStr">
        <is>
          <t>7.3</t>
        </is>
      </c>
      <c r="G25" t="inlineStr">
        <is>
          <t>11.4</t>
        </is>
      </c>
      <c r="H25"/>
      <c r="I25"/>
      <c r="J25">
        <v>3.68</v>
      </c>
      <c r="K25">
        <v>0.15</v>
      </c>
      <c r="L25">
        <v>0.16</v>
      </c>
      <c r="M25">
        <v>0.05</v>
      </c>
      <c r="N25"/>
      <c r="O25" t="inlineStr">
        <is>
          <t>0.0100</t>
        </is>
      </c>
      <c r="P25" t="inlineStr">
        <is>
          <t>0.0200</t>
        </is>
      </c>
      <c r="Q25">
        <v>3</v>
      </c>
      <c r="R25">
        <v>33.5</v>
      </c>
      <c r="S25">
        <v>26.5</v>
      </c>
      <c r="T25">
        <v>25</v>
      </c>
      <c r="U25">
        <v>2.3</v>
      </c>
      <c r="V25" t="inlineStr">
        <is>
          <t>3.7</t>
        </is>
      </c>
      <c r="W25" t="inlineStr">
        <is>
          <t>3.7</t>
        </is>
      </c>
      <c r="X25" t="inlineStr">
        <is>
          <t>海运</t>
        </is>
      </c>
      <c r="Y25">
        <v>5.55136</v>
      </c>
      <c r="Z25">
        <v>8</v>
      </c>
      <c r="AA25" t="inlineStr">
        <is>
          <t>-4.680</t>
        </is>
      </c>
      <c r="AB25"/>
      <c r="AC25"/>
      <c r="AD25"/>
      <c r="AE25"/>
      <c r="AF25"/>
      <c r="AG25">
        <v>0.15</v>
      </c>
      <c r="AH25"/>
      <c r="AI25">
        <v>0.02</v>
      </c>
      <c r="AJ25">
        <v>0.05</v>
      </c>
    </row>
    <row r="26" ht="25.5" customHeight="1">
      <c r="A26" t="inlineStr">
        <is>
          <t>VC025吸尘器（20%）PD</t>
        </is>
      </c>
      <c r="B26">
        <v>8</v>
      </c>
      <c r="C26" t="inlineStr">
        <is>
          <t>德国</t>
        </is>
      </c>
      <c r="D26" t="inlineStr">
        <is>
          <t>DE</t>
        </is>
      </c>
      <c r="E26" t="inlineStr">
        <is>
          <t>有</t>
        </is>
      </c>
      <c r="F26" t="inlineStr">
        <is>
          <t>7.3</t>
        </is>
      </c>
      <c r="G26" t="inlineStr">
        <is>
          <t>11.4</t>
        </is>
      </c>
      <c r="H26"/>
      <c r="I26"/>
      <c r="J26">
        <v>3.68</v>
      </c>
      <c r="K26">
        <v>0.15</v>
      </c>
      <c r="L26">
        <v>0.16</v>
      </c>
      <c r="M26">
        <v>0.05</v>
      </c>
      <c r="N26"/>
      <c r="O26" t="inlineStr">
        <is>
          <t>0.0100</t>
        </is>
      </c>
      <c r="P26" t="inlineStr">
        <is>
          <t>0.0200</t>
        </is>
      </c>
      <c r="Q26">
        <v>3</v>
      </c>
      <c r="R26">
        <v>33.5</v>
      </c>
      <c r="S26">
        <v>26.5</v>
      </c>
      <c r="T26">
        <v>25</v>
      </c>
      <c r="U26">
        <v>2.3</v>
      </c>
      <c r="V26" t="inlineStr">
        <is>
          <t>3.7</t>
        </is>
      </c>
      <c r="W26" t="inlineStr">
        <is>
          <t>3.7</t>
        </is>
      </c>
      <c r="X26" t="inlineStr">
        <is>
          <t>海运</t>
        </is>
      </c>
      <c r="Y26">
        <v>5.55136</v>
      </c>
      <c r="Z26">
        <v>8</v>
      </c>
      <c r="AA26" t="inlineStr">
        <is>
          <t>-4.680</t>
        </is>
      </c>
      <c r="AB26"/>
      <c r="AC26"/>
      <c r="AD26"/>
      <c r="AE26"/>
      <c r="AF26"/>
      <c r="AG26">
        <v>0.15</v>
      </c>
      <c r="AH26"/>
      <c r="AI26">
        <v>0.02</v>
      </c>
      <c r="AJ26">
        <v>0.05</v>
      </c>
    </row>
    <row r="27" ht="25.5" customHeight="1">
      <c r="A27"/>
      <c r="B27"/>
      <c r="C27"/>
      <c r="D27"/>
      <c r="E27"/>
      <c r="F27"/>
      <c r="G27"/>
      <c r="H27"/>
      <c r="I27"/>
      <c r="J27"/>
      <c r="K27"/>
      <c r="L27"/>
      <c r="M27"/>
      <c r="N27"/>
      <c r="O27" t="inlineStr">
        <is>
          <t>0.0100</t>
        </is>
      </c>
      <c r="P27" t="inlineStr">
        <is>
          <t>0.0200</t>
        </is>
      </c>
      <c r="Q27"/>
      <c r="R27">
        <v>33.5</v>
      </c>
      <c r="S27">
        <v>26.5</v>
      </c>
      <c r="T27">
        <v>25</v>
      </c>
      <c r="U27">
        <v>2.3</v>
      </c>
      <c r="V27" t="inlineStr">
        <is>
          <t>3.7</t>
        </is>
      </c>
      <c r="W27" t="inlineStr">
        <is>
          <t>3.7</t>
        </is>
      </c>
      <c r="X27" t="inlineStr">
        <is>
          <t>海运</t>
        </is>
      </c>
      <c r="Y27"/>
      <c r="Z27"/>
      <c r="AA27"/>
      <c r="AB27"/>
      <c r="AC27"/>
      <c r="AD27"/>
      <c r="AE27"/>
      <c r="AF27"/>
      <c r="AG27"/>
      <c r="AH27"/>
      <c r="AI27"/>
      <c r="AJ27"/>
    </row>
    <row r="28" ht="25.5" customHeight="1">
      <c r="A28" t="inlineStr">
        <is>
          <t>VC025吸尘器   定59.99  17%划线价 49.99</t>
        </is>
      </c>
      <c r="B28">
        <v>8</v>
      </c>
      <c r="C28" t="inlineStr">
        <is>
          <t>法国</t>
        </is>
      </c>
      <c r="D28" t="inlineStr">
        <is>
          <t>FR</t>
        </is>
      </c>
      <c r="E28" t="inlineStr">
        <is>
          <t>有</t>
        </is>
      </c>
      <c r="F28" t="inlineStr">
        <is>
          <t>12.2</t>
        </is>
      </c>
      <c r="G28" t="inlineStr">
        <is>
          <t>20.6</t>
        </is>
      </c>
      <c r="H28">
        <v>39.99</v>
      </c>
      <c r="I28"/>
      <c r="J28">
        <v>5.89</v>
      </c>
      <c r="K28">
        <v>0.15</v>
      </c>
      <c r="L28">
        <v>0.16</v>
      </c>
      <c r="M28">
        <v>0.05</v>
      </c>
      <c r="N28" t="inlineStr">
        <is>
          <t>0.075</t>
        </is>
      </c>
      <c r="O28" t="inlineStr">
        <is>
          <t>0.0100</t>
        </is>
      </c>
      <c r="P28" t="inlineStr">
        <is>
          <t>0.0200</t>
        </is>
      </c>
      <c r="Q28">
        <v>3</v>
      </c>
      <c r="R28">
        <v>33.5</v>
      </c>
      <c r="S28">
        <v>26.5</v>
      </c>
      <c r="T28">
        <v>25</v>
      </c>
      <c r="U28">
        <v>2.3</v>
      </c>
      <c r="V28" t="inlineStr">
        <is>
          <t>3.7</t>
        </is>
      </c>
      <c r="W28" t="inlineStr">
        <is>
          <t>3.7</t>
        </is>
      </c>
      <c r="X28" t="inlineStr">
        <is>
          <t>海运</t>
        </is>
      </c>
      <c r="Y28">
        <v>5.55136</v>
      </c>
      <c r="Z28">
        <v>8</v>
      </c>
      <c r="AA28" t="inlineStr">
        <is>
          <t>14.504</t>
        </is>
      </c>
      <c r="AB28" t="inlineStr">
        <is>
          <t>36.27%</t>
        </is>
      </c>
      <c r="AC28"/>
      <c r="AD28" t="inlineStr">
        <is>
          <t>14.73%</t>
        </is>
      </c>
      <c r="AE28" t="inlineStr">
        <is>
          <t>0.00%</t>
        </is>
      </c>
      <c r="AF28" t="inlineStr">
        <is>
          <t>2.50%</t>
        </is>
      </c>
      <c r="AG28">
        <v>0.15</v>
      </c>
      <c r="AH28" t="inlineStr">
        <is>
          <t>7.50%</t>
        </is>
      </c>
      <c r="AI28">
        <v>0.02</v>
      </c>
      <c r="AJ28">
        <v>0.05</v>
      </c>
    </row>
    <row r="29" ht="25.5" customHeight="1">
      <c r="A29" t="inlineStr">
        <is>
          <t>VC025吸尘器（10%）coupon</t>
        </is>
      </c>
      <c r="B29">
        <v>8</v>
      </c>
      <c r="C29" t="inlineStr">
        <is>
          <t>法国</t>
        </is>
      </c>
      <c r="D29" t="inlineStr">
        <is>
          <t>FR</t>
        </is>
      </c>
      <c r="E29" t="inlineStr">
        <is>
          <t>有</t>
        </is>
      </c>
      <c r="F29" t="inlineStr">
        <is>
          <t>10.8</t>
        </is>
      </c>
      <c r="G29" t="inlineStr">
        <is>
          <t>16.8</t>
        </is>
      </c>
      <c r="H29"/>
      <c r="I29"/>
      <c r="J29">
        <v>5.89</v>
      </c>
      <c r="K29">
        <v>0.15</v>
      </c>
      <c r="L29">
        <v>0.16</v>
      </c>
      <c r="M29">
        <v>0.05</v>
      </c>
      <c r="N29"/>
      <c r="O29" t="inlineStr">
        <is>
          <t>0.0100</t>
        </is>
      </c>
      <c r="P29" t="inlineStr">
        <is>
          <t>0.0200</t>
        </is>
      </c>
      <c r="Q29">
        <v>3</v>
      </c>
      <c r="R29">
        <v>33.5</v>
      </c>
      <c r="S29">
        <v>26.5</v>
      </c>
      <c r="T29">
        <v>25</v>
      </c>
      <c r="U29">
        <v>2.3</v>
      </c>
      <c r="V29" t="inlineStr">
        <is>
          <t>3.7</t>
        </is>
      </c>
      <c r="W29" t="inlineStr">
        <is>
          <t>3.7</t>
        </is>
      </c>
      <c r="X29" t="inlineStr">
        <is>
          <t>海运</t>
        </is>
      </c>
      <c r="Y29">
        <v>5.55136</v>
      </c>
      <c r="Z29">
        <v>8</v>
      </c>
      <c r="AA29" t="inlineStr">
        <is>
          <t>-6.890</t>
        </is>
      </c>
      <c r="AB29"/>
      <c r="AC29"/>
      <c r="AD29"/>
      <c r="AE29"/>
      <c r="AF29"/>
      <c r="AG29">
        <v>0.15</v>
      </c>
      <c r="AH29"/>
      <c r="AI29">
        <v>0.02</v>
      </c>
      <c r="AJ29">
        <v>0.05</v>
      </c>
    </row>
    <row r="30" ht="25.5" customHeight="1">
      <c r="A30" t="inlineStr">
        <is>
          <t>VC025吸尘器（15%）coupon</t>
        </is>
      </c>
      <c r="B30">
        <v>8</v>
      </c>
      <c r="C30" t="inlineStr">
        <is>
          <t>法国</t>
        </is>
      </c>
      <c r="D30" t="inlineStr">
        <is>
          <t>FR</t>
        </is>
      </c>
      <c r="E30" t="inlineStr">
        <is>
          <t>有</t>
        </is>
      </c>
      <c r="F30" t="inlineStr">
        <is>
          <t>10.8</t>
        </is>
      </c>
      <c r="G30" t="inlineStr">
        <is>
          <t>16.8</t>
        </is>
      </c>
      <c r="H30"/>
      <c r="I30"/>
      <c r="J30">
        <v>5.89</v>
      </c>
      <c r="K30">
        <v>0.15</v>
      </c>
      <c r="L30">
        <v>0.16</v>
      </c>
      <c r="M30">
        <v>0.05</v>
      </c>
      <c r="N30"/>
      <c r="O30" t="inlineStr">
        <is>
          <t>0.0100</t>
        </is>
      </c>
      <c r="P30" t="inlineStr">
        <is>
          <t>0.0200</t>
        </is>
      </c>
      <c r="Q30">
        <v>3</v>
      </c>
      <c r="R30">
        <v>33.5</v>
      </c>
      <c r="S30">
        <v>26.5</v>
      </c>
      <c r="T30">
        <v>25</v>
      </c>
      <c r="U30">
        <v>2.3</v>
      </c>
      <c r="V30" t="inlineStr">
        <is>
          <t>3.7</t>
        </is>
      </c>
      <c r="W30" t="inlineStr">
        <is>
          <t>3.7</t>
        </is>
      </c>
      <c r="X30" t="inlineStr">
        <is>
          <t>海运</t>
        </is>
      </c>
      <c r="Y30">
        <v>5.55136</v>
      </c>
      <c r="Z30">
        <v>8</v>
      </c>
      <c r="AA30" t="inlineStr">
        <is>
          <t>-6.890</t>
        </is>
      </c>
      <c r="AB30"/>
      <c r="AC30"/>
      <c r="AD30"/>
      <c r="AE30"/>
      <c r="AF30"/>
      <c r="AG30">
        <v>0.15</v>
      </c>
      <c r="AH30"/>
      <c r="AI30">
        <v>0.02</v>
      </c>
      <c r="AJ30">
        <v>0.05</v>
      </c>
    </row>
    <row r="31" ht="25.5" customHeight="1">
      <c r="A31" t="inlineStr">
        <is>
          <t>VC025吸尘器（20%）PD</t>
        </is>
      </c>
      <c r="B31">
        <v>8</v>
      </c>
      <c r="C31" t="inlineStr">
        <is>
          <t>法国</t>
        </is>
      </c>
      <c r="D31" t="inlineStr">
        <is>
          <t>FR</t>
        </is>
      </c>
      <c r="E31" t="inlineStr">
        <is>
          <t>有</t>
        </is>
      </c>
      <c r="F31" t="inlineStr">
        <is>
          <t>10.8</t>
        </is>
      </c>
      <c r="G31" t="inlineStr">
        <is>
          <t>16.8</t>
        </is>
      </c>
      <c r="H31"/>
      <c r="I31"/>
      <c r="J31">
        <v>5.89</v>
      </c>
      <c r="K31">
        <v>0.15</v>
      </c>
      <c r="L31">
        <v>0.16</v>
      </c>
      <c r="M31">
        <v>0.05</v>
      </c>
      <c r="N31"/>
      <c r="O31" t="inlineStr">
        <is>
          <t>0.0100</t>
        </is>
      </c>
      <c r="P31" t="inlineStr">
        <is>
          <t>0.0200</t>
        </is>
      </c>
      <c r="Q31">
        <v>3</v>
      </c>
      <c r="R31">
        <v>33.5</v>
      </c>
      <c r="S31">
        <v>26.5</v>
      </c>
      <c r="T31">
        <v>25</v>
      </c>
      <c r="U31">
        <v>2.3</v>
      </c>
      <c r="V31" t="inlineStr">
        <is>
          <t>3.7</t>
        </is>
      </c>
      <c r="W31" t="inlineStr">
        <is>
          <t>3.7</t>
        </is>
      </c>
      <c r="X31" t="inlineStr">
        <is>
          <t>海运</t>
        </is>
      </c>
      <c r="Y31">
        <v>5.55136</v>
      </c>
      <c r="Z31">
        <v>8</v>
      </c>
      <c r="AA31" t="inlineStr">
        <is>
          <t>-6.890</t>
        </is>
      </c>
      <c r="AB31"/>
      <c r="AC31"/>
      <c r="AD31"/>
      <c r="AE31"/>
      <c r="AF31"/>
      <c r="AG31">
        <v>0.15</v>
      </c>
      <c r="AH31"/>
      <c r="AI31">
        <v>0.02</v>
      </c>
      <c r="AJ31">
        <v>0.05</v>
      </c>
    </row>
    <row r="32" ht="25.5" customHeight="1">
      <c r="A32"/>
      <c r="B32"/>
      <c r="C32"/>
      <c r="D32"/>
      <c r="E32"/>
      <c r="F32"/>
      <c r="G32"/>
      <c r="H32"/>
      <c r="I32"/>
      <c r="J32"/>
      <c r="K32"/>
      <c r="L32"/>
      <c r="M32"/>
      <c r="N32"/>
      <c r="O32" t="inlineStr">
        <is>
          <t>0.0100</t>
        </is>
      </c>
      <c r="P32" t="inlineStr">
        <is>
          <t>0.0200</t>
        </is>
      </c>
      <c r="Q32"/>
      <c r="R32">
        <v>33.5</v>
      </c>
      <c r="S32">
        <v>26.5</v>
      </c>
      <c r="T32">
        <v>25</v>
      </c>
      <c r="U32">
        <v>2.3</v>
      </c>
      <c r="V32" t="inlineStr">
        <is>
          <t>3.7</t>
        </is>
      </c>
      <c r="W32" t="inlineStr">
        <is>
          <t>3.7</t>
        </is>
      </c>
      <c r="X32" t="inlineStr">
        <is>
          <t>海运</t>
        </is>
      </c>
      <c r="Y32"/>
      <c r="Z32"/>
      <c r="AA32"/>
      <c r="AB32"/>
      <c r="AC32"/>
      <c r="AD32"/>
      <c r="AE32"/>
      <c r="AF32"/>
      <c r="AG32"/>
      <c r="AH32"/>
      <c r="AI32"/>
      <c r="AJ32"/>
    </row>
    <row r="33" ht="25.5" customHeight="1">
      <c r="A33" t="inlineStr">
        <is>
          <t>VC025吸尘器   定59.99  17%划线价 49.99</t>
        </is>
      </c>
      <c r="B33">
        <v>8</v>
      </c>
      <c r="C33" t="inlineStr">
        <is>
          <t>意大利</t>
        </is>
      </c>
      <c r="D33" t="inlineStr">
        <is>
          <t>IT</t>
        </is>
      </c>
      <c r="E33" t="inlineStr">
        <is>
          <t>有</t>
        </is>
      </c>
      <c r="F33" t="inlineStr">
        <is>
          <t>10.5</t>
        </is>
      </c>
      <c r="G33" t="inlineStr">
        <is>
          <t>17.8</t>
        </is>
      </c>
      <c r="H33">
        <v>39.99</v>
      </c>
      <c r="I33"/>
      <c r="J33">
        <v>4.95</v>
      </c>
      <c r="K33">
        <v>0.15</v>
      </c>
      <c r="L33">
        <v>0.16</v>
      </c>
      <c r="M33">
        <v>0.05</v>
      </c>
      <c r="N33" t="inlineStr">
        <is>
          <t>0.075</t>
        </is>
      </c>
      <c r="O33" t="inlineStr">
        <is>
          <t>0.0100</t>
        </is>
      </c>
      <c r="P33" t="inlineStr">
        <is>
          <t>0.0200</t>
        </is>
      </c>
      <c r="Q33">
        <v>3</v>
      </c>
      <c r="R33">
        <v>33.5</v>
      </c>
      <c r="S33">
        <v>26.5</v>
      </c>
      <c r="T33">
        <v>25</v>
      </c>
      <c r="U33">
        <v>2.3</v>
      </c>
      <c r="V33" t="inlineStr">
        <is>
          <t>3.7</t>
        </is>
      </c>
      <c r="W33" t="inlineStr">
        <is>
          <t>3.7</t>
        </is>
      </c>
      <c r="X33" t="inlineStr">
        <is>
          <t>海运</t>
        </is>
      </c>
      <c r="Y33">
        <v>5.55136</v>
      </c>
      <c r="Z33">
        <v>8</v>
      </c>
      <c r="AA33" t="inlineStr">
        <is>
          <t>15.444</t>
        </is>
      </c>
      <c r="AB33" t="inlineStr">
        <is>
          <t>38.62%</t>
        </is>
      </c>
      <c r="AC33"/>
      <c r="AD33" t="inlineStr">
        <is>
          <t>12.38%</t>
        </is>
      </c>
      <c r="AE33" t="inlineStr">
        <is>
          <t>0.00%</t>
        </is>
      </c>
      <c r="AF33" t="inlineStr">
        <is>
          <t>2.50%</t>
        </is>
      </c>
      <c r="AG33">
        <v>0.15</v>
      </c>
      <c r="AH33" t="inlineStr">
        <is>
          <t>7.50%</t>
        </is>
      </c>
      <c r="AI33">
        <v>0.02</v>
      </c>
      <c r="AJ33">
        <v>0.05</v>
      </c>
    </row>
    <row r="34" ht="25.5" customHeight="1">
      <c r="A34" t="inlineStr">
        <is>
          <t>VC025吸尘器（10%）coupon</t>
        </is>
      </c>
      <c r="B34">
        <v>8</v>
      </c>
      <c r="C34" t="inlineStr">
        <is>
          <t>意大利</t>
        </is>
      </c>
      <c r="D34" t="inlineStr">
        <is>
          <t>IT</t>
        </is>
      </c>
      <c r="E34" t="inlineStr">
        <is>
          <t>有</t>
        </is>
      </c>
      <c r="F34" t="inlineStr">
        <is>
          <t>9.3</t>
        </is>
      </c>
      <c r="G34" t="inlineStr">
        <is>
          <t>14.5</t>
        </is>
      </c>
      <c r="H34"/>
      <c r="I34"/>
      <c r="J34">
        <v>4.95</v>
      </c>
      <c r="K34">
        <v>0.15</v>
      </c>
      <c r="L34">
        <v>0.16</v>
      </c>
      <c r="M34">
        <v>0.05</v>
      </c>
      <c r="N34"/>
      <c r="O34" t="inlineStr">
        <is>
          <t>0.0100</t>
        </is>
      </c>
      <c r="P34" t="inlineStr">
        <is>
          <t>0.0200</t>
        </is>
      </c>
      <c r="Q34">
        <v>3</v>
      </c>
      <c r="R34">
        <v>33.5</v>
      </c>
      <c r="S34">
        <v>26.5</v>
      </c>
      <c r="T34">
        <v>25</v>
      </c>
      <c r="U34">
        <v>2.3</v>
      </c>
      <c r="V34" t="inlineStr">
        <is>
          <t>3.7</t>
        </is>
      </c>
      <c r="W34" t="inlineStr">
        <is>
          <t>3.7</t>
        </is>
      </c>
      <c r="X34" t="inlineStr">
        <is>
          <t>海运</t>
        </is>
      </c>
      <c r="Y34">
        <v>5.55136</v>
      </c>
      <c r="Z34">
        <v>8</v>
      </c>
      <c r="AA34" t="inlineStr">
        <is>
          <t>-5.950</t>
        </is>
      </c>
      <c r="AB34"/>
      <c r="AC34"/>
      <c r="AD34"/>
      <c r="AE34"/>
      <c r="AF34"/>
      <c r="AG34">
        <v>0.15</v>
      </c>
      <c r="AH34"/>
      <c r="AI34">
        <v>0.02</v>
      </c>
      <c r="AJ34">
        <v>0.05</v>
      </c>
    </row>
    <row r="35" ht="25.5" customHeight="1">
      <c r="A35" t="inlineStr">
        <is>
          <t>VC025吸尘器（15%）coupon</t>
        </is>
      </c>
      <c r="B35">
        <v>8</v>
      </c>
      <c r="C35" t="inlineStr">
        <is>
          <t>意大利</t>
        </is>
      </c>
      <c r="D35" t="inlineStr">
        <is>
          <t>IT</t>
        </is>
      </c>
      <c r="E35" t="inlineStr">
        <is>
          <t>有</t>
        </is>
      </c>
      <c r="F35" t="inlineStr">
        <is>
          <t>9.3</t>
        </is>
      </c>
      <c r="G35" t="inlineStr">
        <is>
          <t>14.5</t>
        </is>
      </c>
      <c r="H35"/>
      <c r="I35"/>
      <c r="J35">
        <v>4.95</v>
      </c>
      <c r="K35">
        <v>0.15</v>
      </c>
      <c r="L35">
        <v>0.16</v>
      </c>
      <c r="M35">
        <v>0.05</v>
      </c>
      <c r="N35"/>
      <c r="O35" t="inlineStr">
        <is>
          <t>0.0100</t>
        </is>
      </c>
      <c r="P35" t="inlineStr">
        <is>
          <t>0.0200</t>
        </is>
      </c>
      <c r="Q35">
        <v>3</v>
      </c>
      <c r="R35">
        <v>33.5</v>
      </c>
      <c r="S35">
        <v>26.5</v>
      </c>
      <c r="T35">
        <v>25</v>
      </c>
      <c r="U35">
        <v>2.3</v>
      </c>
      <c r="V35" t="inlineStr">
        <is>
          <t>3.7</t>
        </is>
      </c>
      <c r="W35" t="inlineStr">
        <is>
          <t>3.7</t>
        </is>
      </c>
      <c r="X35" t="inlineStr">
        <is>
          <t>海运</t>
        </is>
      </c>
      <c r="Y35">
        <v>5.55136</v>
      </c>
      <c r="Z35">
        <v>8</v>
      </c>
      <c r="AA35" t="inlineStr">
        <is>
          <t>-5.950</t>
        </is>
      </c>
      <c r="AB35"/>
      <c r="AC35"/>
      <c r="AD35"/>
      <c r="AE35"/>
      <c r="AF35"/>
      <c r="AG35">
        <v>0.15</v>
      </c>
      <c r="AH35"/>
      <c r="AI35">
        <v>0.02</v>
      </c>
      <c r="AJ35">
        <v>0.05</v>
      </c>
    </row>
    <row r="36" ht="25.5" customHeight="1">
      <c r="A36" t="inlineStr">
        <is>
          <t>VC025吸尘器（20%）PD</t>
        </is>
      </c>
      <c r="B36">
        <v>8</v>
      </c>
      <c r="C36" t="inlineStr">
        <is>
          <t>意大利</t>
        </is>
      </c>
      <c r="D36" t="inlineStr">
        <is>
          <t>IT</t>
        </is>
      </c>
      <c r="E36" t="inlineStr">
        <is>
          <t>有</t>
        </is>
      </c>
      <c r="F36" t="inlineStr">
        <is>
          <t>9.3</t>
        </is>
      </c>
      <c r="G36" t="inlineStr">
        <is>
          <t>14.5</t>
        </is>
      </c>
      <c r="H36"/>
      <c r="I36"/>
      <c r="J36">
        <v>4.95</v>
      </c>
      <c r="K36">
        <v>0.15</v>
      </c>
      <c r="L36">
        <v>0.16</v>
      </c>
      <c r="M36">
        <v>0.05</v>
      </c>
      <c r="N36"/>
      <c r="O36" t="inlineStr">
        <is>
          <t>0.0100</t>
        </is>
      </c>
      <c r="P36" t="inlineStr">
        <is>
          <t>0.0200</t>
        </is>
      </c>
      <c r="Q36">
        <v>3</v>
      </c>
      <c r="R36">
        <v>33.5</v>
      </c>
      <c r="S36">
        <v>26.5</v>
      </c>
      <c r="T36">
        <v>25</v>
      </c>
      <c r="U36">
        <v>2.3</v>
      </c>
      <c r="V36" t="inlineStr">
        <is>
          <t>3.7</t>
        </is>
      </c>
      <c r="W36" t="inlineStr">
        <is>
          <t>3.7</t>
        </is>
      </c>
      <c r="X36" t="inlineStr">
        <is>
          <t>海运</t>
        </is>
      </c>
      <c r="Y36">
        <v>5.55136</v>
      </c>
      <c r="Z36">
        <v>8</v>
      </c>
      <c r="AA36" t="inlineStr">
        <is>
          <t>-5.950</t>
        </is>
      </c>
      <c r="AB36"/>
      <c r="AC36"/>
      <c r="AD36"/>
      <c r="AE36"/>
      <c r="AF36"/>
      <c r="AG36">
        <v>0.15</v>
      </c>
      <c r="AH36"/>
      <c r="AI36">
        <v>0.02</v>
      </c>
      <c r="AJ36">
        <v>0.05</v>
      </c>
    </row>
    <row r="37" ht="25.5" customHeight="1">
      <c r="A37"/>
      <c r="B37"/>
      <c r="C37"/>
      <c r="D37"/>
      <c r="E37"/>
      <c r="F37"/>
      <c r="G37"/>
      <c r="H37"/>
      <c r="I37"/>
      <c r="J37"/>
      <c r="K37"/>
      <c r="L37"/>
      <c r="M37"/>
      <c r="N37"/>
      <c r="O37" t="inlineStr">
        <is>
          <t>0.0100</t>
        </is>
      </c>
      <c r="P37" t="inlineStr">
        <is>
          <t>0.0200</t>
        </is>
      </c>
      <c r="Q37"/>
      <c r="R37">
        <v>33.5</v>
      </c>
      <c r="S37">
        <v>26.5</v>
      </c>
      <c r="T37">
        <v>25</v>
      </c>
      <c r="U37">
        <v>2.3</v>
      </c>
      <c r="V37" t="inlineStr">
        <is>
          <t>3.7</t>
        </is>
      </c>
      <c r="W37" t="inlineStr">
        <is>
          <t>3.7</t>
        </is>
      </c>
      <c r="X37" t="inlineStr">
        <is>
          <t>海运</t>
        </is>
      </c>
      <c r="Y37"/>
      <c r="Z37"/>
      <c r="AA37"/>
      <c r="AB37"/>
      <c r="AC37"/>
      <c r="AD37"/>
      <c r="AE37"/>
      <c r="AF37"/>
      <c r="AG37"/>
      <c r="AH37"/>
      <c r="AI37"/>
      <c r="AJ37"/>
    </row>
    <row r="38" ht="25.5" customHeight="1">
      <c r="A38" t="inlineStr">
        <is>
          <t>VC025吸尘器   定59.99  17%划线价 49.99</t>
        </is>
      </c>
      <c r="B38">
        <v>8</v>
      </c>
      <c r="C38" t="inlineStr">
        <is>
          <t>西班牙</t>
        </is>
      </c>
      <c r="D38" t="inlineStr">
        <is>
          <t>ES</t>
        </is>
      </c>
      <c r="E38" t="inlineStr">
        <is>
          <t>有</t>
        </is>
      </c>
      <c r="F38" t="inlineStr">
        <is>
          <t>8.8</t>
        </is>
      </c>
      <c r="G38" t="inlineStr">
        <is>
          <t>14.8</t>
        </is>
      </c>
      <c r="H38">
        <v>39.99</v>
      </c>
      <c r="I38"/>
      <c r="J38">
        <v>3.95</v>
      </c>
      <c r="K38">
        <v>0.15</v>
      </c>
      <c r="L38">
        <v>0.16</v>
      </c>
      <c r="M38">
        <v>0.05</v>
      </c>
      <c r="N38" t="inlineStr">
        <is>
          <t>0.075</t>
        </is>
      </c>
      <c r="O38" t="inlineStr">
        <is>
          <t>0.0100</t>
        </is>
      </c>
      <c r="P38" t="inlineStr">
        <is>
          <t>0.0200</t>
        </is>
      </c>
      <c r="Q38">
        <v>3</v>
      </c>
      <c r="R38">
        <v>33.5</v>
      </c>
      <c r="S38">
        <v>26.5</v>
      </c>
      <c r="T38">
        <v>25</v>
      </c>
      <c r="U38">
        <v>2.3</v>
      </c>
      <c r="V38" t="inlineStr">
        <is>
          <t>3.7</t>
        </is>
      </c>
      <c r="W38" t="inlineStr">
        <is>
          <t>3.7</t>
        </is>
      </c>
      <c r="X38" t="inlineStr">
        <is>
          <t>海运</t>
        </is>
      </c>
      <c r="Y38">
        <v>5.55136</v>
      </c>
      <c r="Z38">
        <v>8</v>
      </c>
      <c r="AA38" t="inlineStr">
        <is>
          <t>16.444</t>
        </is>
      </c>
      <c r="AB38" t="inlineStr">
        <is>
          <t>41.12%</t>
        </is>
      </c>
      <c r="AC38"/>
      <c r="AD38" t="inlineStr">
        <is>
          <t>9.88%</t>
        </is>
      </c>
      <c r="AE38" t="inlineStr">
        <is>
          <t>0.00%</t>
        </is>
      </c>
      <c r="AF38" t="inlineStr">
        <is>
          <t>2.50%</t>
        </is>
      </c>
      <c r="AG38">
        <v>0.15</v>
      </c>
      <c r="AH38" t="inlineStr">
        <is>
          <t>7.50%</t>
        </is>
      </c>
      <c r="AI38">
        <v>0.02</v>
      </c>
      <c r="AJ38">
        <v>0.05</v>
      </c>
    </row>
    <row r="39" ht="25.5" customHeight="1">
      <c r="A39" t="inlineStr">
        <is>
          <t>VC025吸尘器（10%）coupon</t>
        </is>
      </c>
      <c r="B39">
        <v>8</v>
      </c>
      <c r="C39" t="inlineStr">
        <is>
          <t>西班牙</t>
        </is>
      </c>
      <c r="D39" t="inlineStr">
        <is>
          <t>ES</t>
        </is>
      </c>
      <c r="E39" t="inlineStr">
        <is>
          <t>有</t>
        </is>
      </c>
      <c r="F39" t="inlineStr">
        <is>
          <t>7.7</t>
        </is>
      </c>
      <c r="G39" t="inlineStr">
        <is>
          <t>12.1</t>
        </is>
      </c>
      <c r="H39"/>
      <c r="I39"/>
      <c r="J39">
        <v>3.95</v>
      </c>
      <c r="K39">
        <v>0.15</v>
      </c>
      <c r="L39">
        <v>0.16</v>
      </c>
      <c r="M39">
        <v>0.05</v>
      </c>
      <c r="N39"/>
      <c r="O39" t="inlineStr">
        <is>
          <t>0.0100</t>
        </is>
      </c>
      <c r="P39" t="inlineStr">
        <is>
          <t>0.0200</t>
        </is>
      </c>
      <c r="Q39">
        <v>3</v>
      </c>
      <c r="R39">
        <v>33.5</v>
      </c>
      <c r="S39">
        <v>26.5</v>
      </c>
      <c r="T39">
        <v>25</v>
      </c>
      <c r="U39">
        <v>2.3</v>
      </c>
      <c r="V39" t="inlineStr">
        <is>
          <t>3.7</t>
        </is>
      </c>
      <c r="W39" t="inlineStr">
        <is>
          <t>3.7</t>
        </is>
      </c>
      <c r="X39" t="inlineStr">
        <is>
          <t>海运</t>
        </is>
      </c>
      <c r="Y39">
        <v>5.55136</v>
      </c>
      <c r="Z39">
        <v>8</v>
      </c>
      <c r="AA39" t="inlineStr">
        <is>
          <t>-4.950</t>
        </is>
      </c>
      <c r="AB39"/>
      <c r="AC39"/>
      <c r="AD39"/>
      <c r="AE39"/>
      <c r="AF39"/>
      <c r="AG39">
        <v>0.15</v>
      </c>
      <c r="AH39"/>
      <c r="AI39">
        <v>0.02</v>
      </c>
      <c r="AJ39">
        <v>0.05</v>
      </c>
    </row>
    <row r="40" ht="25.5" customHeight="1">
      <c r="A40" t="inlineStr">
        <is>
          <t>VC025吸尘器（15%）coupon</t>
        </is>
      </c>
      <c r="B40">
        <v>8</v>
      </c>
      <c r="C40" t="inlineStr">
        <is>
          <t>西班牙</t>
        </is>
      </c>
      <c r="D40" t="inlineStr">
        <is>
          <t>ES</t>
        </is>
      </c>
      <c r="E40" t="inlineStr">
        <is>
          <t>有</t>
        </is>
      </c>
      <c r="F40" t="inlineStr">
        <is>
          <t>7.7</t>
        </is>
      </c>
      <c r="G40" t="inlineStr">
        <is>
          <t>12.1</t>
        </is>
      </c>
      <c r="H40"/>
      <c r="I40"/>
      <c r="J40">
        <v>3.95</v>
      </c>
      <c r="K40">
        <v>0.15</v>
      </c>
      <c r="L40">
        <v>0.16</v>
      </c>
      <c r="M40">
        <v>0.05</v>
      </c>
      <c r="N40"/>
      <c r="O40" t="inlineStr">
        <is>
          <t>0.0100</t>
        </is>
      </c>
      <c r="P40" t="inlineStr">
        <is>
          <t>0.0200</t>
        </is>
      </c>
      <c r="Q40">
        <v>3</v>
      </c>
      <c r="R40">
        <v>33.5</v>
      </c>
      <c r="S40">
        <v>26.5</v>
      </c>
      <c r="T40">
        <v>25</v>
      </c>
      <c r="U40">
        <v>2.3</v>
      </c>
      <c r="V40" t="inlineStr">
        <is>
          <t>3.7</t>
        </is>
      </c>
      <c r="W40" t="inlineStr">
        <is>
          <t>3.7</t>
        </is>
      </c>
      <c r="X40" t="inlineStr">
        <is>
          <t>海运</t>
        </is>
      </c>
      <c r="Y40">
        <v>5.55136</v>
      </c>
      <c r="Z40">
        <v>8</v>
      </c>
      <c r="AA40" t="inlineStr">
        <is>
          <t>-4.950</t>
        </is>
      </c>
      <c r="AB40"/>
      <c r="AC40"/>
      <c r="AD40"/>
      <c r="AE40"/>
      <c r="AF40"/>
      <c r="AG40">
        <v>0.15</v>
      </c>
      <c r="AH40"/>
      <c r="AI40">
        <v>0.02</v>
      </c>
      <c r="AJ40">
        <v>0.05</v>
      </c>
    </row>
    <row r="41" ht="25.5" customHeight="1">
      <c r="A41" t="inlineStr">
        <is>
          <t>VC025吸尘器（20%）PD</t>
        </is>
      </c>
      <c r="B41">
        <v>8</v>
      </c>
      <c r="C41" t="inlineStr">
        <is>
          <t>西班牙</t>
        </is>
      </c>
      <c r="D41" t="inlineStr">
        <is>
          <t>ES</t>
        </is>
      </c>
      <c r="E41" t="inlineStr">
        <is>
          <t>有</t>
        </is>
      </c>
      <c r="F41" t="inlineStr">
        <is>
          <t>7.7</t>
        </is>
      </c>
      <c r="G41" t="inlineStr">
        <is>
          <t>12.1</t>
        </is>
      </c>
      <c r="H41"/>
      <c r="I41"/>
      <c r="J41">
        <v>3.95</v>
      </c>
      <c r="K41">
        <v>0.15</v>
      </c>
      <c r="L41">
        <v>0.16</v>
      </c>
      <c r="M41">
        <v>0.05</v>
      </c>
      <c r="N41"/>
      <c r="O41" t="inlineStr">
        <is>
          <t>0.0100</t>
        </is>
      </c>
      <c r="P41" t="inlineStr">
        <is>
          <t>0.0200</t>
        </is>
      </c>
      <c r="Q41">
        <v>3</v>
      </c>
      <c r="R41">
        <v>33.5</v>
      </c>
      <c r="S41">
        <v>26.5</v>
      </c>
      <c r="T41">
        <v>25</v>
      </c>
      <c r="U41">
        <v>2.3</v>
      </c>
      <c r="V41" t="inlineStr">
        <is>
          <t>3.7</t>
        </is>
      </c>
      <c r="W41" t="inlineStr">
        <is>
          <t>3.7</t>
        </is>
      </c>
      <c r="X41" t="inlineStr">
        <is>
          <t>海运</t>
        </is>
      </c>
      <c r="Y41">
        <v>5.55136</v>
      </c>
      <c r="Z41">
        <v>8</v>
      </c>
      <c r="AA41" t="inlineStr">
        <is>
          <t>-4.950</t>
        </is>
      </c>
      <c r="AB41"/>
      <c r="AC41"/>
      <c r="AD41"/>
      <c r="AE41"/>
      <c r="AF41"/>
      <c r="AG41">
        <v>0.15</v>
      </c>
      <c r="AH41"/>
      <c r="AI41">
        <v>0.02</v>
      </c>
      <c r="AJ41">
        <v>0.05</v>
      </c>
    </row>
    <row r="42" ht="25.5" customHeight="1">
      <c r="A42"/>
      <c r="B42"/>
      <c r="C42"/>
      <c r="D42"/>
      <c r="E42"/>
      <c r="F42"/>
      <c r="G42"/>
      <c r="H42"/>
      <c r="I42"/>
      <c r="J42"/>
      <c r="K42"/>
      <c r="L42"/>
      <c r="M42"/>
      <c r="N42"/>
      <c r="O42" t="inlineStr">
        <is>
          <t>0.0100</t>
        </is>
      </c>
      <c r="P42" t="inlineStr">
        <is>
          <t>0.0200</t>
        </is>
      </c>
      <c r="Q42"/>
      <c r="R42">
        <v>33.5</v>
      </c>
      <c r="S42">
        <v>26.5</v>
      </c>
      <c r="T42">
        <v>25</v>
      </c>
      <c r="U42">
        <v>2.3</v>
      </c>
      <c r="V42" t="inlineStr">
        <is>
          <t>3.7</t>
        </is>
      </c>
      <c r="W42" t="inlineStr">
        <is>
          <t>3.7</t>
        </is>
      </c>
      <c r="X42" t="inlineStr">
        <is>
          <t>海运</t>
        </is>
      </c>
      <c r="Y42"/>
      <c r="Z42"/>
      <c r="AA42"/>
      <c r="AB42"/>
      <c r="AC42"/>
      <c r="AD42"/>
      <c r="AE42"/>
      <c r="AF42"/>
      <c r="AG42"/>
      <c r="AH42"/>
      <c r="AI42"/>
      <c r="AJ42"/>
    </row>
    <row r="43" ht="25.5" customHeight="1">
      <c r="A43" t="inlineStr">
        <is>
          <t>VC025吸尘器   定59.99  17%划线价 49.99</t>
        </is>
      </c>
      <c r="B43">
        <v>9</v>
      </c>
      <c r="C43" t="inlineStr">
        <is>
          <t>西班牙</t>
        </is>
      </c>
      <c r="D43" t="inlineStr">
        <is>
          <t>UK</t>
        </is>
      </c>
      <c r="E43" t="inlineStr">
        <is>
          <t>有</t>
        </is>
      </c>
      <c r="F43" t="inlineStr">
        <is>
          <t>7.7</t>
        </is>
      </c>
      <c r="G43" t="inlineStr">
        <is>
          <t>13.1</t>
        </is>
      </c>
      <c r="H43">
        <v>39.99</v>
      </c>
      <c r="I43"/>
      <c r="J43">
        <v>3.04</v>
      </c>
      <c r="K43">
        <v>0.15</v>
      </c>
      <c r="L43">
        <v>0.16</v>
      </c>
      <c r="M43">
        <v>0.05</v>
      </c>
      <c r="N43" t="inlineStr">
        <is>
          <t>0.075</t>
        </is>
      </c>
      <c r="O43" t="inlineStr">
        <is>
          <t>0.0100</t>
        </is>
      </c>
      <c r="P43" t="inlineStr">
        <is>
          <t>0.0200</t>
        </is>
      </c>
      <c r="Q43">
        <v>3</v>
      </c>
      <c r="R43">
        <v>33.5</v>
      </c>
      <c r="S43">
        <v>26.5</v>
      </c>
      <c r="T43">
        <v>25</v>
      </c>
      <c r="U43">
        <v>2.3</v>
      </c>
      <c r="V43" t="inlineStr">
        <is>
          <t>3.7</t>
        </is>
      </c>
      <c r="W43" t="inlineStr">
        <is>
          <t>3.7</t>
        </is>
      </c>
      <c r="X43" t="inlineStr">
        <is>
          <t>海运</t>
        </is>
      </c>
      <c r="Y43">
        <v>5.55136</v>
      </c>
      <c r="Z43">
        <v>12</v>
      </c>
      <c r="AA43" t="inlineStr">
        <is>
          <t>17.021</t>
        </is>
      </c>
      <c r="AB43" t="inlineStr">
        <is>
          <t>42.56%</t>
        </is>
      </c>
      <c r="AC43"/>
      <c r="AD43" t="inlineStr">
        <is>
          <t>7.60%</t>
        </is>
      </c>
      <c r="AE43" t="inlineStr">
        <is>
          <t>0.00%</t>
        </is>
      </c>
      <c r="AF43" t="inlineStr">
        <is>
          <t>3.33%</t>
        </is>
      </c>
      <c r="AG43">
        <v>0.15</v>
      </c>
      <c r="AH43" t="inlineStr">
        <is>
          <t>7.50%</t>
        </is>
      </c>
      <c r="AI43">
        <v>0.02</v>
      </c>
      <c r="AJ43">
        <v>0.05</v>
      </c>
    </row>
    <row r="44" ht="25.5" customHeight="1">
      <c r="A44" t="inlineStr">
        <is>
          <t>VC025吸尘器（10%）coupon</t>
        </is>
      </c>
      <c r="B44">
        <v>9</v>
      </c>
      <c r="C44" t="inlineStr">
        <is>
          <t>西班牙</t>
        </is>
      </c>
      <c r="D44" t="inlineStr">
        <is>
          <t>UK</t>
        </is>
      </c>
      <c r="E44" t="inlineStr">
        <is>
          <t>有</t>
        </is>
      </c>
      <c r="F44" t="inlineStr">
        <is>
          <t>6.8</t>
        </is>
      </c>
      <c r="G44" t="inlineStr">
        <is>
          <t>10.7</t>
        </is>
      </c>
      <c r="H44"/>
      <c r="I44"/>
      <c r="J44">
        <v>3.04</v>
      </c>
      <c r="K44">
        <v>0.15</v>
      </c>
      <c r="L44">
        <v>0.16</v>
      </c>
      <c r="M44">
        <v>0.05</v>
      </c>
      <c r="N44"/>
      <c r="O44" t="inlineStr">
        <is>
          <t>0.0100</t>
        </is>
      </c>
      <c r="P44" t="inlineStr">
        <is>
          <t>0.0200</t>
        </is>
      </c>
      <c r="Q44">
        <v>3</v>
      </c>
      <c r="R44">
        <v>33.5</v>
      </c>
      <c r="S44">
        <v>26.5</v>
      </c>
      <c r="T44">
        <v>25</v>
      </c>
      <c r="U44">
        <v>2.3</v>
      </c>
      <c r="V44" t="inlineStr">
        <is>
          <t>3.7</t>
        </is>
      </c>
      <c r="W44" t="inlineStr">
        <is>
          <t>3.7</t>
        </is>
      </c>
      <c r="X44" t="inlineStr">
        <is>
          <t>海运</t>
        </is>
      </c>
      <c r="Y44">
        <v>5.55136</v>
      </c>
      <c r="Z44">
        <v>12</v>
      </c>
      <c r="AA44" t="inlineStr">
        <is>
          <t>-4.373</t>
        </is>
      </c>
      <c r="AB44"/>
      <c r="AC44"/>
      <c r="AD44"/>
      <c r="AE44"/>
      <c r="AF44"/>
      <c r="AG44">
        <v>0.15</v>
      </c>
      <c r="AH44"/>
      <c r="AI44">
        <v>0.02</v>
      </c>
      <c r="AJ44">
        <v>0.05</v>
      </c>
    </row>
    <row r="45" ht="25.5" customHeight="1">
      <c r="A45" t="inlineStr">
        <is>
          <t>VC025吸尘器（15%）coupon</t>
        </is>
      </c>
      <c r="B45">
        <v>9</v>
      </c>
      <c r="C45" t="inlineStr">
        <is>
          <t>西班牙</t>
        </is>
      </c>
      <c r="D45" t="inlineStr">
        <is>
          <t>UK</t>
        </is>
      </c>
      <c r="E45" t="inlineStr">
        <is>
          <t>有</t>
        </is>
      </c>
      <c r="F45" t="inlineStr">
        <is>
          <t>6.8</t>
        </is>
      </c>
      <c r="G45" t="inlineStr">
        <is>
          <t>10.7</t>
        </is>
      </c>
      <c r="H45"/>
      <c r="I45"/>
      <c r="J45">
        <v>3.04</v>
      </c>
      <c r="K45">
        <v>0.15</v>
      </c>
      <c r="L45">
        <v>0.16</v>
      </c>
      <c r="M45">
        <v>0.05</v>
      </c>
      <c r="N45"/>
      <c r="O45" t="inlineStr">
        <is>
          <t>0.0100</t>
        </is>
      </c>
      <c r="P45" t="inlineStr">
        <is>
          <t>0.0200</t>
        </is>
      </c>
      <c r="Q45">
        <v>3</v>
      </c>
      <c r="R45">
        <v>33.5</v>
      </c>
      <c r="S45">
        <v>26.5</v>
      </c>
      <c r="T45">
        <v>25</v>
      </c>
      <c r="U45">
        <v>2.3</v>
      </c>
      <c r="V45" t="inlineStr">
        <is>
          <t>3.7</t>
        </is>
      </c>
      <c r="W45" t="inlineStr">
        <is>
          <t>3.7</t>
        </is>
      </c>
      <c r="X45" t="inlineStr">
        <is>
          <t>海运</t>
        </is>
      </c>
      <c r="Y45">
        <v>5.55136</v>
      </c>
      <c r="Z45">
        <v>12</v>
      </c>
      <c r="AA45" t="inlineStr">
        <is>
          <t>-4.373</t>
        </is>
      </c>
      <c r="AB45"/>
      <c r="AC45"/>
      <c r="AD45"/>
      <c r="AE45"/>
      <c r="AF45"/>
      <c r="AG45">
        <v>0.15</v>
      </c>
      <c r="AH45"/>
      <c r="AI45">
        <v>0.02</v>
      </c>
      <c r="AJ45">
        <v>0.05</v>
      </c>
    </row>
    <row r="46" ht="25.5" customHeight="1">
      <c r="A46"/>
      <c r="B46"/>
      <c r="C46"/>
      <c r="D46"/>
      <c r="E46"/>
      <c r="F46"/>
      <c r="G46"/>
      <c r="H46"/>
      <c r="I46"/>
      <c r="J46"/>
      <c r="K46"/>
      <c r="L46"/>
      <c r="M46"/>
      <c r="N46"/>
      <c r="O46" t="inlineStr">
        <is>
          <t>0.0100</t>
        </is>
      </c>
      <c r="P46" t="inlineStr">
        <is>
          <t>0.0200</t>
        </is>
      </c>
      <c r="Q46"/>
      <c r="R46">
        <v>33.5</v>
      </c>
      <c r="S46">
        <v>26.5</v>
      </c>
      <c r="T46">
        <v>25</v>
      </c>
      <c r="U46">
        <v>2.3</v>
      </c>
      <c r="V46" t="inlineStr">
        <is>
          <t>3.7</t>
        </is>
      </c>
      <c r="W46" t="inlineStr">
        <is>
          <t>3.7</t>
        </is>
      </c>
      <c r="X46" t="inlineStr">
        <is>
          <t>海运</t>
        </is>
      </c>
      <c r="Y46"/>
      <c r="Z46"/>
      <c r="AA46"/>
      <c r="AB46"/>
      <c r="AC46"/>
      <c r="AD46"/>
      <c r="AE46"/>
      <c r="AF46"/>
      <c r="AG46"/>
      <c r="AH46"/>
      <c r="AI46"/>
      <c r="AJ46"/>
    </row>
    <row r="47" ht="25.5" customHeight="1">
      <c r="A47" t="inlineStr">
        <is>
          <t>HPS39  定24.99  20%划线价19.99</t>
        </is>
      </c>
      <c r="B47">
        <v>8</v>
      </c>
      <c r="C47" t="inlineStr">
        <is>
          <t>德国</t>
        </is>
      </c>
      <c r="D47" t="inlineStr">
        <is>
          <t>DE</t>
        </is>
      </c>
      <c r="E47" t="inlineStr">
        <is>
          <t>有</t>
        </is>
      </c>
      <c r="F47" t="inlineStr">
        <is>
          <t>5.4</t>
        </is>
      </c>
      <c r="G47" t="inlineStr">
        <is>
          <t>10.6</t>
        </is>
      </c>
      <c r="H47">
        <v>14.99</v>
      </c>
      <c r="I47"/>
      <c r="J47">
        <v>2.07</v>
      </c>
      <c r="K47">
        <v>0.15</v>
      </c>
      <c r="L47">
        <v>0.16</v>
      </c>
      <c r="M47">
        <v>0.05</v>
      </c>
      <c r="N47" t="inlineStr">
        <is>
          <t>0.167</t>
        </is>
      </c>
      <c r="O47" t="inlineStr">
        <is>
          <t>0.0100</t>
        </is>
      </c>
      <c r="P47" t="inlineStr">
        <is>
          <t>0.0200</t>
        </is>
      </c>
      <c r="Q47">
        <v>2.5</v>
      </c>
      <c r="R47">
        <v>33.5</v>
      </c>
      <c r="S47">
        <v>26.5</v>
      </c>
      <c r="T47">
        <v>25</v>
      </c>
      <c r="U47">
        <v>2.3</v>
      </c>
      <c r="V47" t="inlineStr">
        <is>
          <t>3.7</t>
        </is>
      </c>
      <c r="W47" t="inlineStr">
        <is>
          <t>3.7</t>
        </is>
      </c>
      <c r="X47" t="inlineStr">
        <is>
          <t>海运</t>
        </is>
      </c>
      <c r="Y47">
        <v>5.55136</v>
      </c>
      <c r="Z47">
        <v>4</v>
      </c>
      <c r="AA47" t="inlineStr">
        <is>
          <t>4.074</t>
        </is>
      </c>
      <c r="AB47" t="inlineStr">
        <is>
          <t>27.18%</t>
        </is>
      </c>
      <c r="AC47"/>
      <c r="AD47" t="inlineStr">
        <is>
          <t>13.81%</t>
        </is>
      </c>
      <c r="AE47" t="inlineStr">
        <is>
          <t>0.00%</t>
        </is>
      </c>
      <c r="AF47" t="inlineStr">
        <is>
          <t>3.34%</t>
        </is>
      </c>
      <c r="AG47">
        <v>0.15</v>
      </c>
      <c r="AH47" t="inlineStr">
        <is>
          <t>16.68%</t>
        </is>
      </c>
      <c r="AI47">
        <v>0.02</v>
      </c>
      <c r="AJ47">
        <v>0.05</v>
      </c>
    </row>
    <row r="48" ht="25.5" customHeight="1">
      <c r="A48" t="inlineStr">
        <is>
          <t>HPS39 （10%）coupon</t>
        </is>
      </c>
      <c r="B48">
        <v>8</v>
      </c>
      <c r="C48" t="inlineStr">
        <is>
          <t>德国</t>
        </is>
      </c>
      <c r="D48" t="inlineStr">
        <is>
          <t>DE</t>
        </is>
      </c>
      <c r="E48" t="inlineStr">
        <is>
          <t>有</t>
        </is>
      </c>
      <c r="F48" t="inlineStr">
        <is>
          <t>4.0</t>
        </is>
      </c>
      <c r="G48" t="inlineStr">
        <is>
          <t>6.3</t>
        </is>
      </c>
      <c r="H48"/>
      <c r="I48"/>
      <c r="J48">
        <v>2.07</v>
      </c>
      <c r="K48">
        <v>0.15</v>
      </c>
      <c r="L48">
        <v>0.16</v>
      </c>
      <c r="M48">
        <v>0.05</v>
      </c>
      <c r="N48"/>
      <c r="O48" t="inlineStr">
        <is>
          <t>0.0100</t>
        </is>
      </c>
      <c r="P48" t="inlineStr">
        <is>
          <t>0.0200</t>
        </is>
      </c>
      <c r="Q48">
        <v>2.5</v>
      </c>
      <c r="R48">
        <v>33.5</v>
      </c>
      <c r="S48">
        <v>26.5</v>
      </c>
      <c r="T48">
        <v>25</v>
      </c>
      <c r="U48">
        <v>2.3</v>
      </c>
      <c r="V48" t="inlineStr">
        <is>
          <t>3.7</t>
        </is>
      </c>
      <c r="W48" t="inlineStr">
        <is>
          <t>3.7</t>
        </is>
      </c>
      <c r="X48" t="inlineStr">
        <is>
          <t>海运</t>
        </is>
      </c>
      <c r="Y48">
        <v>5.55136</v>
      </c>
      <c r="Z48">
        <v>4</v>
      </c>
      <c r="AA48" t="inlineStr">
        <is>
          <t>-2.570</t>
        </is>
      </c>
      <c r="AB48"/>
      <c r="AC48"/>
      <c r="AD48"/>
      <c r="AE48"/>
      <c r="AF48"/>
      <c r="AG48">
        <v>0.15</v>
      </c>
      <c r="AH48"/>
      <c r="AI48">
        <v>0.02</v>
      </c>
      <c r="AJ48">
        <v>0.05</v>
      </c>
    </row>
    <row r="49" ht="25.5" customHeight="1">
      <c r="A49" t="inlineStr">
        <is>
          <t>HPS39 （15%）coupon</t>
        </is>
      </c>
      <c r="B49">
        <v>8</v>
      </c>
      <c r="C49" t="inlineStr">
        <is>
          <t>德国</t>
        </is>
      </c>
      <c r="D49" t="inlineStr">
        <is>
          <t>DE</t>
        </is>
      </c>
      <c r="E49" t="inlineStr">
        <is>
          <t>有</t>
        </is>
      </c>
      <c r="F49" t="inlineStr">
        <is>
          <t>4.0</t>
        </is>
      </c>
      <c r="G49" t="inlineStr">
        <is>
          <t>6.3</t>
        </is>
      </c>
      <c r="H49"/>
      <c r="I49"/>
      <c r="J49">
        <v>2.07</v>
      </c>
      <c r="K49">
        <v>0.15</v>
      </c>
      <c r="L49">
        <v>0.16</v>
      </c>
      <c r="M49">
        <v>0.05</v>
      </c>
      <c r="N49"/>
      <c r="O49" t="inlineStr">
        <is>
          <t>0.0100</t>
        </is>
      </c>
      <c r="P49" t="inlineStr">
        <is>
          <t>0.0200</t>
        </is>
      </c>
      <c r="Q49">
        <v>2.5</v>
      </c>
      <c r="R49">
        <v>33.5</v>
      </c>
      <c r="S49">
        <v>26.5</v>
      </c>
      <c r="T49">
        <v>25</v>
      </c>
      <c r="U49">
        <v>2.3</v>
      </c>
      <c r="V49" t="inlineStr">
        <is>
          <t>3.7</t>
        </is>
      </c>
      <c r="W49" t="inlineStr">
        <is>
          <t>3.7</t>
        </is>
      </c>
      <c r="X49" t="inlineStr">
        <is>
          <t>海运</t>
        </is>
      </c>
      <c r="Y49">
        <v>5.55136</v>
      </c>
      <c r="Z49">
        <v>4</v>
      </c>
      <c r="AA49" t="inlineStr">
        <is>
          <t>-2.570</t>
        </is>
      </c>
      <c r="AB49"/>
      <c r="AC49"/>
      <c r="AD49"/>
      <c r="AE49"/>
      <c r="AF49"/>
      <c r="AG49">
        <v>0.15</v>
      </c>
      <c r="AH49"/>
      <c r="AI49">
        <v>0.02</v>
      </c>
      <c r="AJ49">
        <v>0.05</v>
      </c>
    </row>
    <row r="50" ht="25.5" customHeight="1">
      <c r="A50" t="inlineStr">
        <is>
          <t>HPS39 （20%）PD</t>
        </is>
      </c>
      <c r="B50">
        <v>8</v>
      </c>
      <c r="C50" t="inlineStr">
        <is>
          <t>德国</t>
        </is>
      </c>
      <c r="D50" t="inlineStr">
        <is>
          <t>DE</t>
        </is>
      </c>
      <c r="E50" t="inlineStr">
        <is>
          <t>有</t>
        </is>
      </c>
      <c r="F50" t="inlineStr">
        <is>
          <t>4.0</t>
        </is>
      </c>
      <c r="G50" t="inlineStr">
        <is>
          <t>6.3</t>
        </is>
      </c>
      <c r="H50"/>
      <c r="I50"/>
      <c r="J50">
        <v>2.07</v>
      </c>
      <c r="K50">
        <v>0.15</v>
      </c>
      <c r="L50">
        <v>0.16</v>
      </c>
      <c r="M50">
        <v>0.05</v>
      </c>
      <c r="N50"/>
      <c r="O50" t="inlineStr">
        <is>
          <t>0.0100</t>
        </is>
      </c>
      <c r="P50" t="inlineStr">
        <is>
          <t>0.0200</t>
        </is>
      </c>
      <c r="Q50">
        <v>2.5</v>
      </c>
      <c r="R50">
        <v>33.5</v>
      </c>
      <c r="S50">
        <v>26.5</v>
      </c>
      <c r="T50">
        <v>25</v>
      </c>
      <c r="U50">
        <v>2.3</v>
      </c>
      <c r="V50" t="inlineStr">
        <is>
          <t>3.7</t>
        </is>
      </c>
      <c r="W50" t="inlineStr">
        <is>
          <t>3.7</t>
        </is>
      </c>
      <c r="X50" t="inlineStr">
        <is>
          <t>海运</t>
        </is>
      </c>
      <c r="Y50">
        <v>5.55136</v>
      </c>
      <c r="Z50">
        <v>4</v>
      </c>
      <c r="AA50" t="inlineStr">
        <is>
          <t>-2.570</t>
        </is>
      </c>
      <c r="AB50"/>
      <c r="AC50"/>
      <c r="AD50"/>
      <c r="AE50"/>
      <c r="AF50"/>
      <c r="AG50">
        <v>0.15</v>
      </c>
      <c r="AH50"/>
      <c r="AI50">
        <v>0.02</v>
      </c>
      <c r="AJ50">
        <v>0.05</v>
      </c>
    </row>
    <row r="51" ht="25.5" customHeight="1">
      <c r="A51"/>
      <c r="B51"/>
      <c r="C51"/>
      <c r="D51"/>
      <c r="E51"/>
      <c r="F51"/>
      <c r="G51"/>
      <c r="H51"/>
      <c r="I51"/>
      <c r="J51"/>
      <c r="K51"/>
      <c r="L51"/>
      <c r="M51"/>
      <c r="N51"/>
      <c r="O51" t="inlineStr">
        <is>
          <t>0.0100</t>
        </is>
      </c>
      <c r="P51" t="inlineStr">
        <is>
          <t>0.0200</t>
        </is>
      </c>
      <c r="Q51"/>
      <c r="R51">
        <v>33.5</v>
      </c>
      <c r="S51">
        <v>26.5</v>
      </c>
      <c r="T51">
        <v>25</v>
      </c>
      <c r="U51">
        <v>2.3</v>
      </c>
      <c r="V51" t="inlineStr">
        <is>
          <t>3.7</t>
        </is>
      </c>
      <c r="W51" t="inlineStr">
        <is>
          <t>3.7</t>
        </is>
      </c>
      <c r="X51" t="inlineStr">
        <is>
          <t>海运</t>
        </is>
      </c>
      <c r="Y51"/>
      <c r="Z51"/>
      <c r="AA51"/>
      <c r="AB51"/>
      <c r="AC51"/>
      <c r="AD51"/>
      <c r="AE51"/>
      <c r="AF51"/>
      <c r="AG51"/>
      <c r="AH51"/>
      <c r="AI51"/>
      <c r="AJ51"/>
    </row>
    <row r="52" ht="25.5" customHeight="1">
      <c r="A52" t="inlineStr">
        <is>
          <t>HPS39  定24.99  20%划线价19.99</t>
        </is>
      </c>
      <c r="B52">
        <v>8</v>
      </c>
      <c r="C52" t="inlineStr">
        <is>
          <t>法国</t>
        </is>
      </c>
      <c r="D52" t="inlineStr">
        <is>
          <t>FR</t>
        </is>
      </c>
      <c r="E52" t="inlineStr">
        <is>
          <t>有</t>
        </is>
      </c>
      <c r="F52" t="inlineStr">
        <is>
          <t>6.3</t>
        </is>
      </c>
      <c r="G52" t="inlineStr">
        <is>
          <t>11.4</t>
        </is>
      </c>
      <c r="H52">
        <v>19.99</v>
      </c>
      <c r="I52"/>
      <c r="J52">
        <v>2.75</v>
      </c>
      <c r="K52">
        <v>0.15</v>
      </c>
      <c r="L52">
        <v>0.16</v>
      </c>
      <c r="M52">
        <v>0.05</v>
      </c>
      <c r="N52" t="inlineStr">
        <is>
          <t>0.125</t>
        </is>
      </c>
      <c r="O52" t="inlineStr">
        <is>
          <t>0.0100</t>
        </is>
      </c>
      <c r="P52" t="inlineStr">
        <is>
          <t>0.0200</t>
        </is>
      </c>
      <c r="Q52">
        <v>2.5</v>
      </c>
      <c r="R52">
        <v>33.5</v>
      </c>
      <c r="S52">
        <v>26.5</v>
      </c>
      <c r="T52">
        <v>25</v>
      </c>
      <c r="U52">
        <v>2.3</v>
      </c>
      <c r="V52" t="inlineStr">
        <is>
          <t>3.7</t>
        </is>
      </c>
      <c r="W52" t="inlineStr">
        <is>
          <t>3.7</t>
        </is>
      </c>
      <c r="X52" t="inlineStr">
        <is>
          <t>海运</t>
        </is>
      </c>
      <c r="Y52">
        <v>5.55136</v>
      </c>
      <c r="Z52">
        <v>4</v>
      </c>
      <c r="AA52" t="inlineStr">
        <is>
          <t>6.444</t>
        </is>
      </c>
      <c r="AB52" t="inlineStr">
        <is>
          <t>32.24%</t>
        </is>
      </c>
      <c r="AC52"/>
      <c r="AD52" t="inlineStr">
        <is>
          <t>13.76%</t>
        </is>
      </c>
      <c r="AE52" t="inlineStr">
        <is>
          <t>0.00%</t>
        </is>
      </c>
      <c r="AF52" t="inlineStr">
        <is>
          <t>2.50%</t>
        </is>
      </c>
      <c r="AG52">
        <v>0.15</v>
      </c>
      <c r="AH52" t="inlineStr">
        <is>
          <t>12.51%</t>
        </is>
      </c>
      <c r="AI52">
        <v>0.02</v>
      </c>
      <c r="AJ52">
        <v>0.05</v>
      </c>
    </row>
    <row r="53" ht="25.5" customHeight="1">
      <c r="A53" t="inlineStr">
        <is>
          <t>HPS39 （10%）coupon</t>
        </is>
      </c>
      <c r="B53">
        <v>8</v>
      </c>
      <c r="C53" t="inlineStr">
        <is>
          <t>法国</t>
        </is>
      </c>
      <c r="D53" t="inlineStr">
        <is>
          <t>FR</t>
        </is>
      </c>
      <c r="E53" t="inlineStr">
        <is>
          <t>有</t>
        </is>
      </c>
      <c r="F53" t="inlineStr">
        <is>
          <t>5.1</t>
        </is>
      </c>
      <c r="G53" t="inlineStr">
        <is>
          <t>7.9</t>
        </is>
      </c>
      <c r="H53"/>
      <c r="I53"/>
      <c r="J53">
        <v>2.75</v>
      </c>
      <c r="K53">
        <v>0.15</v>
      </c>
      <c r="L53">
        <v>0.16</v>
      </c>
      <c r="M53">
        <v>0.05</v>
      </c>
      <c r="N53"/>
      <c r="O53" t="inlineStr">
        <is>
          <t>0.0100</t>
        </is>
      </c>
      <c r="P53" t="inlineStr">
        <is>
          <t>0.0200</t>
        </is>
      </c>
      <c r="Q53">
        <v>2.5</v>
      </c>
      <c r="R53">
        <v>33.5</v>
      </c>
      <c r="S53">
        <v>26.5</v>
      </c>
      <c r="T53">
        <v>25</v>
      </c>
      <c r="U53">
        <v>2.3</v>
      </c>
      <c r="V53" t="inlineStr">
        <is>
          <t>3.7</t>
        </is>
      </c>
      <c r="W53" t="inlineStr">
        <is>
          <t>3.7</t>
        </is>
      </c>
      <c r="X53" t="inlineStr">
        <is>
          <t>海运</t>
        </is>
      </c>
      <c r="Y53">
        <v>5.55136</v>
      </c>
      <c r="Z53">
        <v>4</v>
      </c>
      <c r="AA53" t="inlineStr">
        <is>
          <t>-3.250</t>
        </is>
      </c>
      <c r="AB53"/>
      <c r="AC53"/>
      <c r="AD53"/>
      <c r="AE53"/>
      <c r="AF53"/>
      <c r="AG53">
        <v>0.15</v>
      </c>
      <c r="AH53"/>
      <c r="AI53">
        <v>0.02</v>
      </c>
      <c r="AJ53">
        <v>0.05</v>
      </c>
    </row>
    <row r="54" ht="25.5" customHeight="1">
      <c r="A54" t="inlineStr">
        <is>
          <t>HPS39 （15%）coupon</t>
        </is>
      </c>
      <c r="B54">
        <v>8</v>
      </c>
      <c r="C54" t="inlineStr">
        <is>
          <t>法国</t>
        </is>
      </c>
      <c r="D54" t="inlineStr">
        <is>
          <t>FR</t>
        </is>
      </c>
      <c r="E54" t="inlineStr">
        <is>
          <t>有</t>
        </is>
      </c>
      <c r="F54" t="inlineStr">
        <is>
          <t>5.1</t>
        </is>
      </c>
      <c r="G54" t="inlineStr">
        <is>
          <t>7.9</t>
        </is>
      </c>
      <c r="H54"/>
      <c r="I54"/>
      <c r="J54">
        <v>2.75</v>
      </c>
      <c r="K54">
        <v>0.15</v>
      </c>
      <c r="L54">
        <v>0.16</v>
      </c>
      <c r="M54">
        <v>0.05</v>
      </c>
      <c r="N54"/>
      <c r="O54" t="inlineStr">
        <is>
          <t>0.0100</t>
        </is>
      </c>
      <c r="P54" t="inlineStr">
        <is>
          <t>0.0200</t>
        </is>
      </c>
      <c r="Q54">
        <v>2.5</v>
      </c>
      <c r="R54">
        <v>33.5</v>
      </c>
      <c r="S54">
        <v>26.5</v>
      </c>
      <c r="T54">
        <v>25</v>
      </c>
      <c r="U54">
        <v>2.3</v>
      </c>
      <c r="V54" t="inlineStr">
        <is>
          <t>3.7</t>
        </is>
      </c>
      <c r="W54" t="inlineStr">
        <is>
          <t>3.7</t>
        </is>
      </c>
      <c r="X54" t="inlineStr">
        <is>
          <t>海运</t>
        </is>
      </c>
      <c r="Y54">
        <v>5.55136</v>
      </c>
      <c r="Z54">
        <v>4</v>
      </c>
      <c r="AA54" t="inlineStr">
        <is>
          <t>-3.250</t>
        </is>
      </c>
      <c r="AB54"/>
      <c r="AC54"/>
      <c r="AD54"/>
      <c r="AE54"/>
      <c r="AF54"/>
      <c r="AG54">
        <v>0.15</v>
      </c>
      <c r="AH54"/>
      <c r="AI54">
        <v>0.02</v>
      </c>
      <c r="AJ54">
        <v>0.05</v>
      </c>
    </row>
    <row r="55" ht="25.5" customHeight="1">
      <c r="A55" t="inlineStr">
        <is>
          <t>HPS39 （20%）PD</t>
        </is>
      </c>
      <c r="B55">
        <v>8</v>
      </c>
      <c r="C55" t="inlineStr">
        <is>
          <t>法国</t>
        </is>
      </c>
      <c r="D55" t="inlineStr">
        <is>
          <t>FR</t>
        </is>
      </c>
      <c r="E55" t="inlineStr">
        <is>
          <t>有</t>
        </is>
      </c>
      <c r="F55" t="inlineStr">
        <is>
          <t>5.1</t>
        </is>
      </c>
      <c r="G55" t="inlineStr">
        <is>
          <t>7.9</t>
        </is>
      </c>
      <c r="H55"/>
      <c r="I55"/>
      <c r="J55">
        <v>2.75</v>
      </c>
      <c r="K55">
        <v>0.15</v>
      </c>
      <c r="L55">
        <v>0.16</v>
      </c>
      <c r="M55">
        <v>0.05</v>
      </c>
      <c r="N55"/>
      <c r="O55" t="inlineStr">
        <is>
          <t>0.0100</t>
        </is>
      </c>
      <c r="P55" t="inlineStr">
        <is>
          <t>0.0200</t>
        </is>
      </c>
      <c r="Q55">
        <v>2.5</v>
      </c>
      <c r="R55">
        <v>33.5</v>
      </c>
      <c r="S55">
        <v>26.5</v>
      </c>
      <c r="T55">
        <v>25</v>
      </c>
      <c r="U55">
        <v>2.3</v>
      </c>
      <c r="V55" t="inlineStr">
        <is>
          <t>3.7</t>
        </is>
      </c>
      <c r="W55" t="inlineStr">
        <is>
          <t>3.7</t>
        </is>
      </c>
      <c r="X55" t="inlineStr">
        <is>
          <t>海运</t>
        </is>
      </c>
      <c r="Y55">
        <v>5.55136</v>
      </c>
      <c r="Z55">
        <v>4</v>
      </c>
      <c r="AA55" t="inlineStr">
        <is>
          <t>-3.250</t>
        </is>
      </c>
      <c r="AB55"/>
      <c r="AC55"/>
      <c r="AD55"/>
      <c r="AE55"/>
      <c r="AF55"/>
      <c r="AG55">
        <v>0.15</v>
      </c>
      <c r="AH55"/>
      <c r="AI55">
        <v>0.02</v>
      </c>
      <c r="AJ55">
        <v>0.05</v>
      </c>
    </row>
    <row r="56" ht="25.5" customHeight="1">
      <c r="A56"/>
      <c r="B56"/>
      <c r="C56"/>
      <c r="D56"/>
      <c r="E56"/>
      <c r="F56"/>
      <c r="G56"/>
      <c r="H56"/>
      <c r="I56"/>
      <c r="J56"/>
      <c r="K56"/>
      <c r="L56"/>
      <c r="M56"/>
      <c r="N56"/>
      <c r="O56" t="inlineStr">
        <is>
          <t>0.0100</t>
        </is>
      </c>
      <c r="P56" t="inlineStr">
        <is>
          <t>0.0200</t>
        </is>
      </c>
      <c r="Q56"/>
      <c r="R56">
        <v>33.5</v>
      </c>
      <c r="S56">
        <v>26.5</v>
      </c>
      <c r="T56">
        <v>25</v>
      </c>
      <c r="U56">
        <v>2.3</v>
      </c>
      <c r="V56" t="inlineStr">
        <is>
          <t>3.7</t>
        </is>
      </c>
      <c r="W56" t="inlineStr">
        <is>
          <t>3.7</t>
        </is>
      </c>
      <c r="X56" t="inlineStr">
        <is>
          <t>海运</t>
        </is>
      </c>
      <c r="Y56"/>
      <c r="Z56"/>
      <c r="AA56"/>
      <c r="AB56"/>
      <c r="AC56"/>
      <c r="AD56"/>
      <c r="AE56"/>
      <c r="AF56"/>
      <c r="AG56"/>
      <c r="AH56"/>
      <c r="AI56"/>
      <c r="AJ56"/>
    </row>
    <row r="57" ht="25.5" customHeight="1">
      <c r="A57" t="inlineStr">
        <is>
          <t>HPS39  定24.99  20%划线价19.99</t>
        </is>
      </c>
      <c r="B57">
        <v>8</v>
      </c>
      <c r="C57" t="inlineStr">
        <is>
          <t>意大利</t>
        </is>
      </c>
      <c r="D57" t="inlineStr">
        <is>
          <t>IT</t>
        </is>
      </c>
      <c r="E57" t="inlineStr">
        <is>
          <t>有</t>
        </is>
      </c>
      <c r="F57" t="inlineStr">
        <is>
          <t>7.2</t>
        </is>
      </c>
      <c r="G57" t="inlineStr">
        <is>
          <t>13.1</t>
        </is>
      </c>
      <c r="H57">
        <v>19.99</v>
      </c>
      <c r="I57"/>
      <c r="J57">
        <v>3.23</v>
      </c>
      <c r="K57">
        <v>0.15</v>
      </c>
      <c r="L57">
        <v>0.16</v>
      </c>
      <c r="M57">
        <v>0.05</v>
      </c>
      <c r="N57" t="inlineStr">
        <is>
          <t>0.125</t>
        </is>
      </c>
      <c r="O57" t="inlineStr">
        <is>
          <t>0.0100</t>
        </is>
      </c>
      <c r="P57" t="inlineStr">
        <is>
          <t>0.0200</t>
        </is>
      </c>
      <c r="Q57">
        <v>2.5</v>
      </c>
      <c r="R57">
        <v>33.5</v>
      </c>
      <c r="S57">
        <v>26.5</v>
      </c>
      <c r="T57">
        <v>25</v>
      </c>
      <c r="U57">
        <v>2.3</v>
      </c>
      <c r="V57" t="inlineStr">
        <is>
          <t>3.7</t>
        </is>
      </c>
      <c r="W57" t="inlineStr">
        <is>
          <t>3.7</t>
        </is>
      </c>
      <c r="X57" t="inlineStr">
        <is>
          <t>海运</t>
        </is>
      </c>
      <c r="Y57">
        <v>5.55136</v>
      </c>
      <c r="Z57">
        <v>4</v>
      </c>
      <c r="AA57" t="inlineStr">
        <is>
          <t>5.964</t>
        </is>
      </c>
      <c r="AB57" t="inlineStr">
        <is>
          <t>29.83%</t>
        </is>
      </c>
      <c r="AC57"/>
      <c r="AD57" t="inlineStr">
        <is>
          <t>16.16%</t>
        </is>
      </c>
      <c r="AE57" t="inlineStr">
        <is>
          <t>0.00%</t>
        </is>
      </c>
      <c r="AF57" t="inlineStr">
        <is>
          <t>2.50%</t>
        </is>
      </c>
      <c r="AG57">
        <v>0.15</v>
      </c>
      <c r="AH57" t="inlineStr">
        <is>
          <t>12.51%</t>
        </is>
      </c>
      <c r="AI57">
        <v>0.02</v>
      </c>
      <c r="AJ57">
        <v>0.05</v>
      </c>
    </row>
    <row r="58" ht="25.5" customHeight="1">
      <c r="A58" t="inlineStr">
        <is>
          <t>HPS39 （10%）coupon</t>
        </is>
      </c>
      <c r="B58">
        <v>8</v>
      </c>
      <c r="C58" t="inlineStr">
        <is>
          <t>意大利</t>
        </is>
      </c>
      <c r="D58" t="inlineStr">
        <is>
          <t>IT</t>
        </is>
      </c>
      <c r="E58" t="inlineStr">
        <is>
          <t>有</t>
        </is>
      </c>
      <c r="F58" t="inlineStr">
        <is>
          <t>5.8</t>
        </is>
      </c>
      <c r="G58" t="inlineStr">
        <is>
          <t>9.1</t>
        </is>
      </c>
      <c r="H58"/>
      <c r="I58"/>
      <c r="J58">
        <v>3.23</v>
      </c>
      <c r="K58">
        <v>0.15</v>
      </c>
      <c r="L58">
        <v>0.16</v>
      </c>
      <c r="M58">
        <v>0.05</v>
      </c>
      <c r="N58"/>
      <c r="O58" t="inlineStr">
        <is>
          <t>0.0100</t>
        </is>
      </c>
      <c r="P58" t="inlineStr">
        <is>
          <t>0.0200</t>
        </is>
      </c>
      <c r="Q58">
        <v>2.5</v>
      </c>
      <c r="R58">
        <v>33.5</v>
      </c>
      <c r="S58">
        <v>26.5</v>
      </c>
      <c r="T58">
        <v>25</v>
      </c>
      <c r="U58">
        <v>2.3</v>
      </c>
      <c r="V58" t="inlineStr">
        <is>
          <t>3.7</t>
        </is>
      </c>
      <c r="W58" t="inlineStr">
        <is>
          <t>3.7</t>
        </is>
      </c>
      <c r="X58" t="inlineStr">
        <is>
          <t>海运</t>
        </is>
      </c>
      <c r="Y58">
        <v>5.55136</v>
      </c>
      <c r="Z58">
        <v>4</v>
      </c>
      <c r="AA58" t="inlineStr">
        <is>
          <t>-3.730</t>
        </is>
      </c>
      <c r="AB58"/>
      <c r="AC58"/>
      <c r="AD58"/>
      <c r="AE58"/>
      <c r="AF58"/>
      <c r="AG58">
        <v>0.15</v>
      </c>
      <c r="AH58"/>
      <c r="AI58">
        <v>0.02</v>
      </c>
      <c r="AJ58">
        <v>0.05</v>
      </c>
    </row>
    <row r="59" ht="25.5" customHeight="1">
      <c r="A59" t="inlineStr">
        <is>
          <t>HPS39 （15%）coupon</t>
        </is>
      </c>
      <c r="B59">
        <v>8</v>
      </c>
      <c r="C59" t="inlineStr">
        <is>
          <t>意大利</t>
        </is>
      </c>
      <c r="D59" t="inlineStr">
        <is>
          <t>IT</t>
        </is>
      </c>
      <c r="E59" t="inlineStr">
        <is>
          <t>有</t>
        </is>
      </c>
      <c r="F59" t="inlineStr">
        <is>
          <t>5.8</t>
        </is>
      </c>
      <c r="G59" t="inlineStr">
        <is>
          <t>9.1</t>
        </is>
      </c>
      <c r="H59"/>
      <c r="I59"/>
      <c r="J59">
        <v>3.23</v>
      </c>
      <c r="K59">
        <v>0.15</v>
      </c>
      <c r="L59">
        <v>0.16</v>
      </c>
      <c r="M59">
        <v>0.05</v>
      </c>
      <c r="N59"/>
      <c r="O59" t="inlineStr">
        <is>
          <t>0.0100</t>
        </is>
      </c>
      <c r="P59" t="inlineStr">
        <is>
          <t>0.0200</t>
        </is>
      </c>
      <c r="Q59">
        <v>2.5</v>
      </c>
      <c r="R59">
        <v>33.5</v>
      </c>
      <c r="S59">
        <v>26.5</v>
      </c>
      <c r="T59">
        <v>25</v>
      </c>
      <c r="U59">
        <v>2.3</v>
      </c>
      <c r="V59" t="inlineStr">
        <is>
          <t>3.7</t>
        </is>
      </c>
      <c r="W59" t="inlineStr">
        <is>
          <t>3.7</t>
        </is>
      </c>
      <c r="X59" t="inlineStr">
        <is>
          <t>海运</t>
        </is>
      </c>
      <c r="Y59">
        <v>5.55136</v>
      </c>
      <c r="Z59">
        <v>4</v>
      </c>
      <c r="AA59" t="inlineStr">
        <is>
          <t>-3.730</t>
        </is>
      </c>
      <c r="AB59"/>
      <c r="AC59"/>
      <c r="AD59"/>
      <c r="AE59"/>
      <c r="AF59"/>
      <c r="AG59">
        <v>0.15</v>
      </c>
      <c r="AH59"/>
      <c r="AI59">
        <v>0.02</v>
      </c>
      <c r="AJ59">
        <v>0.05</v>
      </c>
    </row>
    <row r="60" ht="25.5" customHeight="1">
      <c r="A60" t="inlineStr">
        <is>
          <t>HPS39 （20%）PD</t>
        </is>
      </c>
      <c r="B60">
        <v>8</v>
      </c>
      <c r="C60" t="inlineStr">
        <is>
          <t>意大利</t>
        </is>
      </c>
      <c r="D60" t="inlineStr">
        <is>
          <t>IT</t>
        </is>
      </c>
      <c r="E60" t="inlineStr">
        <is>
          <t>有</t>
        </is>
      </c>
      <c r="F60" t="inlineStr">
        <is>
          <t>5.8</t>
        </is>
      </c>
      <c r="G60" t="inlineStr">
        <is>
          <t>9.1</t>
        </is>
      </c>
      <c r="H60"/>
      <c r="I60"/>
      <c r="J60">
        <v>3.23</v>
      </c>
      <c r="K60">
        <v>0.15</v>
      </c>
      <c r="L60">
        <v>0.16</v>
      </c>
      <c r="M60">
        <v>0.05</v>
      </c>
      <c r="N60"/>
      <c r="O60" t="inlineStr">
        <is>
          <t>0.0100</t>
        </is>
      </c>
      <c r="P60" t="inlineStr">
        <is>
          <t>0.0200</t>
        </is>
      </c>
      <c r="Q60">
        <v>2.5</v>
      </c>
      <c r="R60">
        <v>33.5</v>
      </c>
      <c r="S60">
        <v>26.5</v>
      </c>
      <c r="T60">
        <v>25</v>
      </c>
      <c r="U60">
        <v>2.3</v>
      </c>
      <c r="V60" t="inlineStr">
        <is>
          <t>3.7</t>
        </is>
      </c>
      <c r="W60" t="inlineStr">
        <is>
          <t>3.7</t>
        </is>
      </c>
      <c r="X60" t="inlineStr">
        <is>
          <t>海运</t>
        </is>
      </c>
      <c r="Y60">
        <v>5.55136</v>
      </c>
      <c r="Z60">
        <v>4</v>
      </c>
      <c r="AA60" t="inlineStr">
        <is>
          <t>-3.730</t>
        </is>
      </c>
      <c r="AB60"/>
      <c r="AC60"/>
      <c r="AD60"/>
      <c r="AE60"/>
      <c r="AF60"/>
      <c r="AG60">
        <v>0.15</v>
      </c>
      <c r="AH60"/>
      <c r="AI60">
        <v>0.02</v>
      </c>
      <c r="AJ60">
        <v>0.05</v>
      </c>
    </row>
    <row r="61" ht="25.5" customHeight="1">
      <c r="A61"/>
      <c r="B61"/>
      <c r="C61"/>
      <c r="D61"/>
      <c r="E61"/>
      <c r="F61"/>
      <c r="G61"/>
      <c r="H61"/>
      <c r="I61"/>
      <c r="J61"/>
      <c r="K61"/>
      <c r="L61"/>
      <c r="M61"/>
      <c r="N61"/>
      <c r="O61" t="inlineStr">
        <is>
          <t>0.0100</t>
        </is>
      </c>
      <c r="P61" t="inlineStr">
        <is>
          <t>0.0200</t>
        </is>
      </c>
      <c r="Q61"/>
      <c r="R61">
        <v>33.5</v>
      </c>
      <c r="S61">
        <v>26.5</v>
      </c>
      <c r="T61">
        <v>25</v>
      </c>
      <c r="U61">
        <v>2.3</v>
      </c>
      <c r="V61" t="inlineStr">
        <is>
          <t>3.7</t>
        </is>
      </c>
      <c r="W61" t="inlineStr">
        <is>
          <t>3.7</t>
        </is>
      </c>
      <c r="X61" t="inlineStr">
        <is>
          <t>海运</t>
        </is>
      </c>
      <c r="Y61"/>
      <c r="Z61"/>
      <c r="AA61"/>
      <c r="AB61"/>
      <c r="AC61"/>
      <c r="AD61"/>
      <c r="AE61"/>
      <c r="AF61"/>
      <c r="AG61"/>
      <c r="AH61"/>
      <c r="AI61"/>
      <c r="AJ61"/>
    </row>
    <row r="62" ht="25.5" customHeight="1">
      <c r="A62" t="inlineStr">
        <is>
          <t>HPS39  定24.99  20%划线价19.99</t>
        </is>
      </c>
      <c r="B62">
        <v>8</v>
      </c>
      <c r="C62" t="inlineStr">
        <is>
          <t>西班牙</t>
        </is>
      </c>
      <c r="D62" t="inlineStr">
        <is>
          <t>ES</t>
        </is>
      </c>
      <c r="E62" t="inlineStr">
        <is>
          <t>有</t>
        </is>
      </c>
      <c r="F62" t="inlineStr">
        <is>
          <t>6.4</t>
        </is>
      </c>
      <c r="G62" t="inlineStr">
        <is>
          <t>11.5</t>
        </is>
      </c>
      <c r="H62">
        <v>19.99</v>
      </c>
      <c r="I62"/>
      <c r="J62">
        <v>2.77</v>
      </c>
      <c r="K62">
        <v>0.15</v>
      </c>
      <c r="L62">
        <v>0.16</v>
      </c>
      <c r="M62">
        <v>0.05</v>
      </c>
      <c r="N62" t="inlineStr">
        <is>
          <t>0.125</t>
        </is>
      </c>
      <c r="O62" t="inlineStr">
        <is>
          <t>0.0100</t>
        </is>
      </c>
      <c r="P62" t="inlineStr">
        <is>
          <t>0.0200</t>
        </is>
      </c>
      <c r="Q62">
        <v>2.5</v>
      </c>
      <c r="R62">
        <v>33.5</v>
      </c>
      <c r="S62">
        <v>26.5</v>
      </c>
      <c r="T62">
        <v>25</v>
      </c>
      <c r="U62">
        <v>2.3</v>
      </c>
      <c r="V62" t="inlineStr">
        <is>
          <t>3.7</t>
        </is>
      </c>
      <c r="W62" t="inlineStr">
        <is>
          <t>3.7</t>
        </is>
      </c>
      <c r="X62" t="inlineStr">
        <is>
          <t>海运</t>
        </is>
      </c>
      <c r="Y62">
        <v>5.55136</v>
      </c>
      <c r="Z62">
        <v>4</v>
      </c>
      <c r="AA62" t="inlineStr">
        <is>
          <t>6.424</t>
        </is>
      </c>
      <c r="AB62" t="inlineStr">
        <is>
          <t>32.14%</t>
        </is>
      </c>
      <c r="AC62"/>
      <c r="AD62" t="inlineStr">
        <is>
          <t>13.86%</t>
        </is>
      </c>
      <c r="AE62" t="inlineStr">
        <is>
          <t>0.00%</t>
        </is>
      </c>
      <c r="AF62" t="inlineStr">
        <is>
          <t>2.50%</t>
        </is>
      </c>
      <c r="AG62">
        <v>0.15</v>
      </c>
      <c r="AH62" t="inlineStr">
        <is>
          <t>12.51%</t>
        </is>
      </c>
      <c r="AI62">
        <v>0.02</v>
      </c>
      <c r="AJ62">
        <v>0.05</v>
      </c>
    </row>
    <row r="63" ht="25.5" customHeight="1">
      <c r="A63" t="inlineStr">
        <is>
          <t>HPS39 （10%）coupon</t>
        </is>
      </c>
      <c r="B63">
        <v>8</v>
      </c>
      <c r="C63" t="inlineStr">
        <is>
          <t>西班牙</t>
        </is>
      </c>
      <c r="D63" t="inlineStr">
        <is>
          <t>ES</t>
        </is>
      </c>
      <c r="E63" t="inlineStr">
        <is>
          <t>有</t>
        </is>
      </c>
      <c r="F63" t="inlineStr">
        <is>
          <t>5.1</t>
        </is>
      </c>
      <c r="G63" t="inlineStr">
        <is>
          <t>8.0</t>
        </is>
      </c>
      <c r="H63"/>
      <c r="I63"/>
      <c r="J63">
        <v>2.77</v>
      </c>
      <c r="K63">
        <v>0.15</v>
      </c>
      <c r="L63">
        <v>0.16</v>
      </c>
      <c r="M63">
        <v>0.05</v>
      </c>
      <c r="N63"/>
      <c r="O63" t="inlineStr">
        <is>
          <t>0.0100</t>
        </is>
      </c>
      <c r="P63" t="inlineStr">
        <is>
          <t>0.0200</t>
        </is>
      </c>
      <c r="Q63">
        <v>2.5</v>
      </c>
      <c r="R63">
        <v>33.5</v>
      </c>
      <c r="S63">
        <v>26.5</v>
      </c>
      <c r="T63">
        <v>25</v>
      </c>
      <c r="U63">
        <v>2.3</v>
      </c>
      <c r="V63" t="inlineStr">
        <is>
          <t>3.7</t>
        </is>
      </c>
      <c r="W63" t="inlineStr">
        <is>
          <t>3.7</t>
        </is>
      </c>
      <c r="X63" t="inlineStr">
        <is>
          <t>海运</t>
        </is>
      </c>
      <c r="Y63">
        <v>5.55136</v>
      </c>
      <c r="Z63">
        <v>4</v>
      </c>
      <c r="AA63" t="inlineStr">
        <is>
          <t>-3.270</t>
        </is>
      </c>
      <c r="AB63"/>
      <c r="AC63"/>
      <c r="AD63"/>
      <c r="AE63"/>
      <c r="AF63"/>
      <c r="AG63">
        <v>0.15</v>
      </c>
      <c r="AH63"/>
      <c r="AI63">
        <v>0.02</v>
      </c>
      <c r="AJ63">
        <v>0.05</v>
      </c>
    </row>
    <row r="64" ht="25.5" customHeight="1">
      <c r="A64" t="inlineStr">
        <is>
          <t>HPS39 （15%）coupon</t>
        </is>
      </c>
      <c r="B64">
        <v>8</v>
      </c>
      <c r="C64" t="inlineStr">
        <is>
          <t>西班牙</t>
        </is>
      </c>
      <c r="D64" t="inlineStr">
        <is>
          <t>ES</t>
        </is>
      </c>
      <c r="E64" t="inlineStr">
        <is>
          <t>有</t>
        </is>
      </c>
      <c r="F64" t="inlineStr">
        <is>
          <t>5.1</t>
        </is>
      </c>
      <c r="G64" t="inlineStr">
        <is>
          <t>8.0</t>
        </is>
      </c>
      <c r="H64"/>
      <c r="I64"/>
      <c r="J64">
        <v>2.77</v>
      </c>
      <c r="K64">
        <v>0.15</v>
      </c>
      <c r="L64">
        <v>0.16</v>
      </c>
      <c r="M64">
        <v>0.05</v>
      </c>
      <c r="N64"/>
      <c r="O64" t="inlineStr">
        <is>
          <t>0.0100</t>
        </is>
      </c>
      <c r="P64" t="inlineStr">
        <is>
          <t>0.0200</t>
        </is>
      </c>
      <c r="Q64">
        <v>2.5</v>
      </c>
      <c r="R64">
        <v>33.5</v>
      </c>
      <c r="S64">
        <v>26.5</v>
      </c>
      <c r="T64">
        <v>25</v>
      </c>
      <c r="U64">
        <v>2.3</v>
      </c>
      <c r="V64" t="inlineStr">
        <is>
          <t>3.7</t>
        </is>
      </c>
      <c r="W64" t="inlineStr">
        <is>
          <t>3.7</t>
        </is>
      </c>
      <c r="X64" t="inlineStr">
        <is>
          <t>海运</t>
        </is>
      </c>
      <c r="Y64">
        <v>5.55136</v>
      </c>
      <c r="Z64">
        <v>4</v>
      </c>
      <c r="AA64" t="inlineStr">
        <is>
          <t>-3.270</t>
        </is>
      </c>
      <c r="AB64"/>
      <c r="AC64"/>
      <c r="AD64"/>
      <c r="AE64"/>
      <c r="AF64"/>
      <c r="AG64">
        <v>0.15</v>
      </c>
      <c r="AH64"/>
      <c r="AI64">
        <v>0.02</v>
      </c>
      <c r="AJ64">
        <v>0.05</v>
      </c>
    </row>
    <row r="65" ht="25.5" customHeight="1">
      <c r="A65" t="inlineStr">
        <is>
          <t>HPS39 （20%）PD</t>
        </is>
      </c>
      <c r="B65">
        <v>8</v>
      </c>
      <c r="C65" t="inlineStr">
        <is>
          <t>西班牙</t>
        </is>
      </c>
      <c r="D65" t="inlineStr">
        <is>
          <t>ES</t>
        </is>
      </c>
      <c r="E65" t="inlineStr">
        <is>
          <t>有</t>
        </is>
      </c>
      <c r="F65" t="inlineStr">
        <is>
          <t>5.1</t>
        </is>
      </c>
      <c r="G65" t="inlineStr">
        <is>
          <t>8.0</t>
        </is>
      </c>
      <c r="H65"/>
      <c r="I65"/>
      <c r="J65">
        <v>2.77</v>
      </c>
      <c r="K65">
        <v>0.15</v>
      </c>
      <c r="L65">
        <v>0.16</v>
      </c>
      <c r="M65">
        <v>0.05</v>
      </c>
      <c r="N65"/>
      <c r="O65" t="inlineStr">
        <is>
          <t>0.0100</t>
        </is>
      </c>
      <c r="P65" t="inlineStr">
        <is>
          <t>0.0200</t>
        </is>
      </c>
      <c r="Q65">
        <v>2.5</v>
      </c>
      <c r="R65">
        <v>33.5</v>
      </c>
      <c r="S65">
        <v>26.5</v>
      </c>
      <c r="T65">
        <v>25</v>
      </c>
      <c r="U65">
        <v>2.3</v>
      </c>
      <c r="V65" t="inlineStr">
        <is>
          <t>3.7</t>
        </is>
      </c>
      <c r="W65" t="inlineStr">
        <is>
          <t>3.7</t>
        </is>
      </c>
      <c r="X65" t="inlineStr">
        <is>
          <t>海运</t>
        </is>
      </c>
      <c r="Y65">
        <v>5.55136</v>
      </c>
      <c r="Z65">
        <v>4</v>
      </c>
      <c r="AA65" t="inlineStr">
        <is>
          <t>-3.270</t>
        </is>
      </c>
      <c r="AB65"/>
      <c r="AC65"/>
      <c r="AD65"/>
      <c r="AE65"/>
      <c r="AF65"/>
      <c r="AG65">
        <v>0.15</v>
      </c>
      <c r="AH65"/>
      <c r="AI65">
        <v>0.02</v>
      </c>
      <c r="AJ65">
        <v>0.05</v>
      </c>
    </row>
    <row r="66" ht="25.5" customHeight="1">
      <c r="A66"/>
      <c r="B66"/>
      <c r="C66"/>
      <c r="D66"/>
      <c r="E66"/>
      <c r="F66"/>
      <c r="G66"/>
      <c r="H66"/>
      <c r="I66"/>
      <c r="J66"/>
      <c r="K66"/>
      <c r="L66"/>
      <c r="M66"/>
      <c r="N66"/>
      <c r="O66" t="inlineStr">
        <is>
          <t>0.0100</t>
        </is>
      </c>
      <c r="P66" t="inlineStr">
        <is>
          <t>0.0200</t>
        </is>
      </c>
      <c r="Q66"/>
      <c r="R66">
        <v>33.5</v>
      </c>
      <c r="S66">
        <v>26.5</v>
      </c>
      <c r="T66">
        <v>25</v>
      </c>
      <c r="U66">
        <v>2.3</v>
      </c>
      <c r="V66" t="inlineStr">
        <is>
          <t>3.7</t>
        </is>
      </c>
      <c r="W66" t="inlineStr">
        <is>
          <t>3.7</t>
        </is>
      </c>
      <c r="X66"/>
      <c r="Y66"/>
      <c r="Z66"/>
      <c r="AA66"/>
      <c r="AB66"/>
      <c r="AC66"/>
      <c r="AD66"/>
      <c r="AE66"/>
      <c r="AF66"/>
      <c r="AG66"/>
      <c r="AH66"/>
      <c r="AI66"/>
      <c r="AJ66"/>
    </row>
    <row r="67" ht="25.5" customHeight="1">
      <c r="A67" t="inlineStr">
        <is>
          <t>HES62  定59.99  25%划线价 44.99</t>
        </is>
      </c>
      <c r="B67">
        <v>8</v>
      </c>
      <c r="C67" t="inlineStr">
        <is>
          <t>德国</t>
        </is>
      </c>
      <c r="D67" t="inlineStr">
        <is>
          <t>DE</t>
        </is>
      </c>
      <c r="E67" t="inlineStr">
        <is>
          <t>有</t>
        </is>
      </c>
      <c r="F67" t="inlineStr">
        <is>
          <t>9.3</t>
        </is>
      </c>
      <c r="G67" t="inlineStr">
        <is>
          <t>16.2</t>
        </is>
      </c>
      <c r="H67">
        <v>39.99</v>
      </c>
      <c r="I67"/>
      <c r="J67">
        <v>4.03</v>
      </c>
      <c r="K67">
        <v>0.15</v>
      </c>
      <c r="L67">
        <v>0.16</v>
      </c>
      <c r="M67">
        <v>0.05</v>
      </c>
      <c r="N67" t="inlineStr">
        <is>
          <t>0.100</t>
        </is>
      </c>
      <c r="O67" t="inlineStr">
        <is>
          <t>0.0100</t>
        </is>
      </c>
      <c r="P67" t="inlineStr">
        <is>
          <t>0.0200</t>
        </is>
      </c>
      <c r="Q67">
        <v>4</v>
      </c>
      <c r="R67">
        <v>33.5</v>
      </c>
      <c r="S67">
        <v>26.5</v>
      </c>
      <c r="T67">
        <v>25</v>
      </c>
      <c r="U67">
        <v>2.3</v>
      </c>
      <c r="V67" t="inlineStr">
        <is>
          <t>3.7</t>
        </is>
      </c>
      <c r="W67" t="inlineStr">
        <is>
          <t>3.7</t>
        </is>
      </c>
      <c r="X67" t="inlineStr">
        <is>
          <t>海运</t>
        </is>
      </c>
      <c r="Y67">
        <v>5.55136</v>
      </c>
      <c r="Z67">
        <v>8</v>
      </c>
      <c r="AA67" t="inlineStr">
        <is>
          <t>15.364</t>
        </is>
      </c>
      <c r="AB67" t="inlineStr">
        <is>
          <t>38.42%</t>
        </is>
      </c>
      <c r="AC67"/>
      <c r="AD67" t="inlineStr">
        <is>
          <t>10.08%</t>
        </is>
      </c>
      <c r="AE67" t="inlineStr">
        <is>
          <t>0.00%</t>
        </is>
      </c>
      <c r="AF67" t="inlineStr">
        <is>
          <t>2.50%</t>
        </is>
      </c>
      <c r="AG67">
        <v>0.15</v>
      </c>
      <c r="AH67" t="inlineStr">
        <is>
          <t>10.00%</t>
        </is>
      </c>
      <c r="AI67">
        <v>0.02</v>
      </c>
      <c r="AJ67">
        <v>0.05</v>
      </c>
    </row>
    <row r="68" ht="25.5" customHeight="1">
      <c r="A68" t="inlineStr">
        <is>
          <t>HES62 （10%）coupon</t>
        </is>
      </c>
      <c r="B68">
        <v>8</v>
      </c>
      <c r="C68" t="inlineStr">
        <is>
          <t>德国</t>
        </is>
      </c>
      <c r="D68" t="inlineStr">
        <is>
          <t>DE</t>
        </is>
      </c>
      <c r="E68" t="inlineStr">
        <is>
          <t>有</t>
        </is>
      </c>
      <c r="F68" t="inlineStr">
        <is>
          <t>7.9</t>
        </is>
      </c>
      <c r="G68" t="inlineStr">
        <is>
          <t>12.3</t>
        </is>
      </c>
      <c r="H68"/>
      <c r="I68"/>
      <c r="J68">
        <v>4.03</v>
      </c>
      <c r="K68">
        <v>0.15</v>
      </c>
      <c r="L68">
        <v>0.16</v>
      </c>
      <c r="M68">
        <v>0.05</v>
      </c>
      <c r="N68"/>
      <c r="O68" t="inlineStr">
        <is>
          <t>0.0100</t>
        </is>
      </c>
      <c r="P68" t="inlineStr">
        <is>
          <t>0.0200</t>
        </is>
      </c>
      <c r="Q68">
        <v>4</v>
      </c>
      <c r="R68">
        <v>33.5</v>
      </c>
      <c r="S68">
        <v>26.5</v>
      </c>
      <c r="T68">
        <v>25</v>
      </c>
      <c r="U68">
        <v>2.3</v>
      </c>
      <c r="V68" t="inlineStr">
        <is>
          <t>3.7</t>
        </is>
      </c>
      <c r="W68" t="inlineStr">
        <is>
          <t>3.7</t>
        </is>
      </c>
      <c r="X68" t="inlineStr">
        <is>
          <t>海运</t>
        </is>
      </c>
      <c r="Y68">
        <v>5.55136</v>
      </c>
      <c r="Z68">
        <v>8</v>
      </c>
      <c r="AA68" t="inlineStr">
        <is>
          <t>-5.030</t>
        </is>
      </c>
      <c r="AB68"/>
      <c r="AC68"/>
      <c r="AD68"/>
      <c r="AE68"/>
      <c r="AF68"/>
      <c r="AG68">
        <v>0.15</v>
      </c>
      <c r="AH68"/>
      <c r="AI68">
        <v>0.02</v>
      </c>
      <c r="AJ68">
        <v>0.05</v>
      </c>
    </row>
    <row r="69" ht="25.5" customHeight="1">
      <c r="A69" t="inlineStr">
        <is>
          <t>HES62 （15%）coupon</t>
        </is>
      </c>
      <c r="B69">
        <v>8</v>
      </c>
      <c r="C69" t="inlineStr">
        <is>
          <t>德国</t>
        </is>
      </c>
      <c r="D69" t="inlineStr">
        <is>
          <t>DE</t>
        </is>
      </c>
      <c r="E69" t="inlineStr">
        <is>
          <t>有</t>
        </is>
      </c>
      <c r="F69" t="inlineStr">
        <is>
          <t>7.9</t>
        </is>
      </c>
      <c r="G69" t="inlineStr">
        <is>
          <t>12.3</t>
        </is>
      </c>
      <c r="H69"/>
      <c r="I69"/>
      <c r="J69">
        <v>4.03</v>
      </c>
      <c r="K69">
        <v>0.15</v>
      </c>
      <c r="L69">
        <v>0.16</v>
      </c>
      <c r="M69">
        <v>0.05</v>
      </c>
      <c r="N69"/>
      <c r="O69" t="inlineStr">
        <is>
          <t>0.0100</t>
        </is>
      </c>
      <c r="P69" t="inlineStr">
        <is>
          <t>0.0200</t>
        </is>
      </c>
      <c r="Q69">
        <v>4</v>
      </c>
      <c r="R69">
        <v>33.5</v>
      </c>
      <c r="S69">
        <v>26.5</v>
      </c>
      <c r="T69">
        <v>25</v>
      </c>
      <c r="U69">
        <v>2.3</v>
      </c>
      <c r="V69" t="inlineStr">
        <is>
          <t>3.7</t>
        </is>
      </c>
      <c r="W69" t="inlineStr">
        <is>
          <t>3.7</t>
        </is>
      </c>
      <c r="X69" t="inlineStr">
        <is>
          <t>海运</t>
        </is>
      </c>
      <c r="Y69">
        <v>5.55136</v>
      </c>
      <c r="Z69">
        <v>8</v>
      </c>
      <c r="AA69" t="inlineStr">
        <is>
          <t>-5.030</t>
        </is>
      </c>
      <c r="AB69"/>
      <c r="AC69"/>
      <c r="AD69"/>
      <c r="AE69"/>
      <c r="AF69"/>
      <c r="AG69">
        <v>0.15</v>
      </c>
      <c r="AH69"/>
      <c r="AI69">
        <v>0.02</v>
      </c>
      <c r="AJ69">
        <v>0.05</v>
      </c>
    </row>
    <row r="70" ht="25.5" customHeight="1">
      <c r="A70" t="inlineStr">
        <is>
          <t>HES62 （20%）PD</t>
        </is>
      </c>
      <c r="B70">
        <v>8</v>
      </c>
      <c r="C70" t="inlineStr">
        <is>
          <t>德国</t>
        </is>
      </c>
      <c r="D70" t="inlineStr">
        <is>
          <t>DE</t>
        </is>
      </c>
      <c r="E70" t="inlineStr">
        <is>
          <t>有</t>
        </is>
      </c>
      <c r="F70" t="inlineStr">
        <is>
          <t>7.9</t>
        </is>
      </c>
      <c r="G70" t="inlineStr">
        <is>
          <t>12.3</t>
        </is>
      </c>
      <c r="H70"/>
      <c r="I70"/>
      <c r="J70">
        <v>4.03</v>
      </c>
      <c r="K70">
        <v>0.15</v>
      </c>
      <c r="L70">
        <v>0.16</v>
      </c>
      <c r="M70">
        <v>0.05</v>
      </c>
      <c r="N70"/>
      <c r="O70" t="inlineStr">
        <is>
          <t>0.0100</t>
        </is>
      </c>
      <c r="P70" t="inlineStr">
        <is>
          <t>0.0200</t>
        </is>
      </c>
      <c r="Q70">
        <v>4</v>
      </c>
      <c r="R70">
        <v>33.5</v>
      </c>
      <c r="S70">
        <v>26.5</v>
      </c>
      <c r="T70">
        <v>25</v>
      </c>
      <c r="U70">
        <v>2.3</v>
      </c>
      <c r="V70" t="inlineStr">
        <is>
          <t>3.7</t>
        </is>
      </c>
      <c r="W70" t="inlineStr">
        <is>
          <t>3.7</t>
        </is>
      </c>
      <c r="X70" t="inlineStr">
        <is>
          <t>海运</t>
        </is>
      </c>
      <c r="Y70">
        <v>5.55136</v>
      </c>
      <c r="Z70">
        <v>8</v>
      </c>
      <c r="AA70" t="inlineStr">
        <is>
          <t>-5.030</t>
        </is>
      </c>
      <c r="AB70"/>
      <c r="AC70"/>
      <c r="AD70"/>
      <c r="AE70"/>
      <c r="AF70"/>
      <c r="AG70">
        <v>0.15</v>
      </c>
      <c r="AH70"/>
      <c r="AI70">
        <v>0.02</v>
      </c>
      <c r="AJ70">
        <v>0.05</v>
      </c>
    </row>
    <row r="71" ht="25.5" customHeight="1">
      <c r="A71"/>
      <c r="B71"/>
      <c r="C71"/>
      <c r="D71"/>
      <c r="E71"/>
      <c r="F71"/>
      <c r="G71"/>
      <c r="H71"/>
      <c r="I71"/>
      <c r="J71"/>
      <c r="K71"/>
      <c r="L71"/>
      <c r="M71"/>
      <c r="N71"/>
      <c r="O71" t="inlineStr">
        <is>
          <t>0.0100</t>
        </is>
      </c>
      <c r="P71" t="inlineStr">
        <is>
          <t>0.0200</t>
        </is>
      </c>
      <c r="Q71"/>
      <c r="R71">
        <v>33.5</v>
      </c>
      <c r="S71">
        <v>26.5</v>
      </c>
      <c r="T71">
        <v>25</v>
      </c>
      <c r="U71">
        <v>2.3</v>
      </c>
      <c r="V71" t="inlineStr">
        <is>
          <t>3.7</t>
        </is>
      </c>
      <c r="W71" t="inlineStr">
        <is>
          <t>3.7</t>
        </is>
      </c>
      <c r="X71"/>
      <c r="Y71"/>
      <c r="Z71"/>
      <c r="AA71"/>
      <c r="AB71"/>
      <c r="AC71"/>
      <c r="AD71"/>
      <c r="AE71"/>
      <c r="AF71"/>
      <c r="AG71"/>
      <c r="AH71"/>
      <c r="AI71"/>
      <c r="AJ71"/>
    </row>
    <row r="72" ht="25.5" customHeight="1">
      <c r="A72" t="inlineStr">
        <is>
          <t>HES62  定59.99  25%划线价 44.99</t>
        </is>
      </c>
      <c r="B72">
        <v>8</v>
      </c>
      <c r="C72" t="inlineStr">
        <is>
          <t>法国</t>
        </is>
      </c>
      <c r="D72" t="inlineStr">
        <is>
          <t>FR</t>
        </is>
      </c>
      <c r="E72" t="inlineStr">
        <is>
          <t>有</t>
        </is>
      </c>
      <c r="F72" t="inlineStr">
        <is>
          <t>12.7</t>
        </is>
      </c>
      <c r="G72" t="inlineStr">
        <is>
          <t>22.2</t>
        </is>
      </c>
      <c r="H72">
        <v>39.99</v>
      </c>
      <c r="I72"/>
      <c r="J72">
        <v>5.87</v>
      </c>
      <c r="K72">
        <v>0.15</v>
      </c>
      <c r="L72">
        <v>0.16</v>
      </c>
      <c r="M72">
        <v>0.05</v>
      </c>
      <c r="N72" t="inlineStr">
        <is>
          <t>0.100</t>
        </is>
      </c>
      <c r="O72" t="inlineStr">
        <is>
          <t>0.0100</t>
        </is>
      </c>
      <c r="P72" t="inlineStr">
        <is>
          <t>0.0200</t>
        </is>
      </c>
      <c r="Q72">
        <v>4</v>
      </c>
      <c r="R72">
        <v>33.5</v>
      </c>
      <c r="S72">
        <v>26.5</v>
      </c>
      <c r="T72">
        <v>25</v>
      </c>
      <c r="U72">
        <v>2.3</v>
      </c>
      <c r="V72" t="inlineStr">
        <is>
          <t>3.7</t>
        </is>
      </c>
      <c r="W72" t="inlineStr">
        <is>
          <t>3.7</t>
        </is>
      </c>
      <c r="X72" t="inlineStr">
        <is>
          <t>海运</t>
        </is>
      </c>
      <c r="Y72">
        <v>5.55136</v>
      </c>
      <c r="Z72">
        <v>8</v>
      </c>
      <c r="AA72" t="inlineStr">
        <is>
          <t>13.524</t>
        </is>
      </c>
      <c r="AB72" t="inlineStr">
        <is>
          <t>33.82%</t>
        </is>
      </c>
      <c r="AC72"/>
      <c r="AD72" t="inlineStr">
        <is>
          <t>14.68%</t>
        </is>
      </c>
      <c r="AE72" t="inlineStr">
        <is>
          <t>0.00%</t>
        </is>
      </c>
      <c r="AF72" t="inlineStr">
        <is>
          <t>2.50%</t>
        </is>
      </c>
      <c r="AG72">
        <v>0.15</v>
      </c>
      <c r="AH72" t="inlineStr">
        <is>
          <t>10.00%</t>
        </is>
      </c>
      <c r="AI72">
        <v>0.02</v>
      </c>
      <c r="AJ72">
        <v>0.05</v>
      </c>
    </row>
    <row r="73" ht="25.5" customHeight="1">
      <c r="A73" t="inlineStr">
        <is>
          <t>HES62 （10%）coupon</t>
        </is>
      </c>
      <c r="B73">
        <v>8</v>
      </c>
      <c r="C73" t="inlineStr">
        <is>
          <t>法国</t>
        </is>
      </c>
      <c r="D73" t="inlineStr">
        <is>
          <t>FR</t>
        </is>
      </c>
      <c r="E73" t="inlineStr">
        <is>
          <t>有</t>
        </is>
      </c>
      <c r="F73" t="inlineStr">
        <is>
          <t>10.7</t>
        </is>
      </c>
      <c r="G73" t="inlineStr">
        <is>
          <t>16.8</t>
        </is>
      </c>
      <c r="H73"/>
      <c r="I73"/>
      <c r="J73">
        <v>5.87</v>
      </c>
      <c r="K73">
        <v>0.15</v>
      </c>
      <c r="L73">
        <v>0.16</v>
      </c>
      <c r="M73">
        <v>0.05</v>
      </c>
      <c r="N73"/>
      <c r="O73" t="inlineStr">
        <is>
          <t>0.0100</t>
        </is>
      </c>
      <c r="P73" t="inlineStr">
        <is>
          <t>0.0200</t>
        </is>
      </c>
      <c r="Q73">
        <v>4</v>
      </c>
      <c r="R73">
        <v>33.5</v>
      </c>
      <c r="S73">
        <v>26.5</v>
      </c>
      <c r="T73">
        <v>25</v>
      </c>
      <c r="U73">
        <v>2.3</v>
      </c>
      <c r="V73" t="inlineStr">
        <is>
          <t>3.7</t>
        </is>
      </c>
      <c r="W73" t="inlineStr">
        <is>
          <t>3.7</t>
        </is>
      </c>
      <c r="X73" t="inlineStr">
        <is>
          <t>海运</t>
        </is>
      </c>
      <c r="Y73">
        <v>5.55136</v>
      </c>
      <c r="Z73">
        <v>8</v>
      </c>
      <c r="AA73" t="inlineStr">
        <is>
          <t>-6.870</t>
        </is>
      </c>
      <c r="AB73"/>
      <c r="AC73"/>
      <c r="AD73"/>
      <c r="AE73"/>
      <c r="AF73"/>
      <c r="AG73">
        <v>0.15</v>
      </c>
      <c r="AH73"/>
      <c r="AI73">
        <v>0.02</v>
      </c>
      <c r="AJ73">
        <v>0.05</v>
      </c>
    </row>
    <row r="74" ht="25.5" customHeight="1">
      <c r="A74" t="inlineStr">
        <is>
          <t>HES62 （15%）coupon</t>
        </is>
      </c>
      <c r="B74">
        <v>8</v>
      </c>
      <c r="C74" t="inlineStr">
        <is>
          <t>法国</t>
        </is>
      </c>
      <c r="D74" t="inlineStr">
        <is>
          <t>FR</t>
        </is>
      </c>
      <c r="E74" t="inlineStr">
        <is>
          <t>有</t>
        </is>
      </c>
      <c r="F74" t="inlineStr">
        <is>
          <t>10.7</t>
        </is>
      </c>
      <c r="G74" t="inlineStr">
        <is>
          <t>16.8</t>
        </is>
      </c>
      <c r="H74"/>
      <c r="I74"/>
      <c r="J74">
        <v>5.87</v>
      </c>
      <c r="K74">
        <v>0.15</v>
      </c>
      <c r="L74">
        <v>0.16</v>
      </c>
      <c r="M74">
        <v>0.05</v>
      </c>
      <c r="N74"/>
      <c r="O74" t="inlineStr">
        <is>
          <t>0.0100</t>
        </is>
      </c>
      <c r="P74" t="inlineStr">
        <is>
          <t>0.0200</t>
        </is>
      </c>
      <c r="Q74">
        <v>4</v>
      </c>
      <c r="R74">
        <v>33.5</v>
      </c>
      <c r="S74">
        <v>26.5</v>
      </c>
      <c r="T74">
        <v>25</v>
      </c>
      <c r="U74">
        <v>2.3</v>
      </c>
      <c r="V74" t="inlineStr">
        <is>
          <t>3.7</t>
        </is>
      </c>
      <c r="W74" t="inlineStr">
        <is>
          <t>3.7</t>
        </is>
      </c>
      <c r="X74" t="inlineStr">
        <is>
          <t>海运</t>
        </is>
      </c>
      <c r="Y74">
        <v>5.55136</v>
      </c>
      <c r="Z74">
        <v>8</v>
      </c>
      <c r="AA74" t="inlineStr">
        <is>
          <t>-6.870</t>
        </is>
      </c>
      <c r="AB74"/>
      <c r="AC74"/>
      <c r="AD74"/>
      <c r="AE74"/>
      <c r="AF74"/>
      <c r="AG74">
        <v>0.15</v>
      </c>
      <c r="AH74"/>
      <c r="AI74">
        <v>0.02</v>
      </c>
      <c r="AJ74">
        <v>0.05</v>
      </c>
    </row>
    <row r="75" ht="25.5" customHeight="1">
      <c r="A75" t="inlineStr">
        <is>
          <t>HES62 （20%）PD</t>
        </is>
      </c>
      <c r="B75">
        <v>8</v>
      </c>
      <c r="C75" t="inlineStr">
        <is>
          <t>法国</t>
        </is>
      </c>
      <c r="D75" t="inlineStr">
        <is>
          <t>FR</t>
        </is>
      </c>
      <c r="E75" t="inlineStr">
        <is>
          <t>有</t>
        </is>
      </c>
      <c r="F75" t="inlineStr">
        <is>
          <t>10.7</t>
        </is>
      </c>
      <c r="G75" t="inlineStr">
        <is>
          <t>16.8</t>
        </is>
      </c>
      <c r="H75"/>
      <c r="I75"/>
      <c r="J75">
        <v>5.87</v>
      </c>
      <c r="K75">
        <v>0.15</v>
      </c>
      <c r="L75">
        <v>0.16</v>
      </c>
      <c r="M75">
        <v>0.05</v>
      </c>
      <c r="N75"/>
      <c r="O75" t="inlineStr">
        <is>
          <t>0.0100</t>
        </is>
      </c>
      <c r="P75" t="inlineStr">
        <is>
          <t>0.0200</t>
        </is>
      </c>
      <c r="Q75">
        <v>4</v>
      </c>
      <c r="R75">
        <v>33.5</v>
      </c>
      <c r="S75">
        <v>26.5</v>
      </c>
      <c r="T75">
        <v>25</v>
      </c>
      <c r="U75">
        <v>2.3</v>
      </c>
      <c r="V75" t="inlineStr">
        <is>
          <t>3.7</t>
        </is>
      </c>
      <c r="W75" t="inlineStr">
        <is>
          <t>3.7</t>
        </is>
      </c>
      <c r="X75" t="inlineStr">
        <is>
          <t>海运</t>
        </is>
      </c>
      <c r="Y75">
        <v>5.55136</v>
      </c>
      <c r="Z75">
        <v>8</v>
      </c>
      <c r="AA75" t="inlineStr">
        <is>
          <t>-6.870</t>
        </is>
      </c>
      <c r="AB75"/>
      <c r="AC75"/>
      <c r="AD75"/>
      <c r="AE75"/>
      <c r="AF75"/>
      <c r="AG75">
        <v>0.15</v>
      </c>
      <c r="AH75"/>
      <c r="AI75">
        <v>0.02</v>
      </c>
      <c r="AJ75">
        <v>0.05</v>
      </c>
    </row>
    <row r="76" ht="25.5" customHeight="1">
      <c r="A76"/>
      <c r="B76"/>
      <c r="C76"/>
      <c r="D76"/>
      <c r="E76"/>
      <c r="F76"/>
      <c r="G76"/>
      <c r="H76"/>
      <c r="I76"/>
      <c r="J76"/>
      <c r="K76"/>
      <c r="L76"/>
      <c r="M76"/>
      <c r="N76"/>
      <c r="O76" t="inlineStr">
        <is>
          <t>0.0100</t>
        </is>
      </c>
      <c r="P76" t="inlineStr">
        <is>
          <t>0.0200</t>
        </is>
      </c>
      <c r="Q76"/>
      <c r="R76">
        <v>33.5</v>
      </c>
      <c r="S76">
        <v>26.5</v>
      </c>
      <c r="T76">
        <v>25</v>
      </c>
      <c r="U76">
        <v>2.3</v>
      </c>
      <c r="V76" t="inlineStr">
        <is>
          <t>3.7</t>
        </is>
      </c>
      <c r="W76" t="inlineStr">
        <is>
          <t>3.7</t>
        </is>
      </c>
      <c r="X76"/>
      <c r="Y76"/>
      <c r="Z76"/>
      <c r="AA76"/>
      <c r="AB76"/>
      <c r="AC76"/>
      <c r="AD76"/>
      <c r="AE76"/>
      <c r="AF76"/>
      <c r="AG76"/>
      <c r="AH76"/>
      <c r="AI76"/>
      <c r="AJ76"/>
    </row>
    <row r="77" ht="25.5" customHeight="1">
      <c r="A77" t="inlineStr">
        <is>
          <t>HES62  定59.99  25%划线价 44.99</t>
        </is>
      </c>
      <c r="B77">
        <v>8</v>
      </c>
      <c r="C77" t="inlineStr">
        <is>
          <t>意大利</t>
        </is>
      </c>
      <c r="D77" t="inlineStr">
        <is>
          <t>IT</t>
        </is>
      </c>
      <c r="E77" t="inlineStr">
        <is>
          <t>有</t>
        </is>
      </c>
      <c r="F77" t="inlineStr">
        <is>
          <t>12.1</t>
        </is>
      </c>
      <c r="G77" t="inlineStr">
        <is>
          <t>21.0</t>
        </is>
      </c>
      <c r="H77">
        <v>39.99</v>
      </c>
      <c r="I77"/>
      <c r="J77">
        <v>5.51</v>
      </c>
      <c r="K77">
        <v>0.15</v>
      </c>
      <c r="L77">
        <v>0.16</v>
      </c>
      <c r="M77">
        <v>0.05</v>
      </c>
      <c r="N77" t="inlineStr">
        <is>
          <t>0.100</t>
        </is>
      </c>
      <c r="O77" t="inlineStr">
        <is>
          <t>0.0100</t>
        </is>
      </c>
      <c r="P77" t="inlineStr">
        <is>
          <t>0.0200</t>
        </is>
      </c>
      <c r="Q77">
        <v>4</v>
      </c>
      <c r="R77">
        <v>33.5</v>
      </c>
      <c r="S77">
        <v>26.5</v>
      </c>
      <c r="T77">
        <v>25</v>
      </c>
      <c r="U77">
        <v>2.3</v>
      </c>
      <c r="V77" t="inlineStr">
        <is>
          <t>3.7</t>
        </is>
      </c>
      <c r="W77" t="inlineStr">
        <is>
          <t>3.7</t>
        </is>
      </c>
      <c r="X77" t="inlineStr">
        <is>
          <t>海运</t>
        </is>
      </c>
      <c r="Y77">
        <v>5.55136</v>
      </c>
      <c r="Z77">
        <v>8</v>
      </c>
      <c r="AA77" t="inlineStr">
        <is>
          <t>13.884</t>
        </is>
      </c>
      <c r="AB77" t="inlineStr">
        <is>
          <t>34.72%</t>
        </is>
      </c>
      <c r="AC77"/>
      <c r="AD77" t="inlineStr">
        <is>
          <t>13.78%</t>
        </is>
      </c>
      <c r="AE77" t="inlineStr">
        <is>
          <t>0.00%</t>
        </is>
      </c>
      <c r="AF77" t="inlineStr">
        <is>
          <t>2.50%</t>
        </is>
      </c>
      <c r="AG77">
        <v>0.15</v>
      </c>
      <c r="AH77" t="inlineStr">
        <is>
          <t>10.00%</t>
        </is>
      </c>
      <c r="AI77">
        <v>0.02</v>
      </c>
      <c r="AJ77">
        <v>0.05</v>
      </c>
    </row>
    <row r="78" ht="25.5" customHeight="1">
      <c r="A78" t="inlineStr">
        <is>
          <t>HES62 （10%）coupon</t>
        </is>
      </c>
      <c r="B78">
        <v>8</v>
      </c>
      <c r="C78" t="inlineStr">
        <is>
          <t>意大利</t>
        </is>
      </c>
      <c r="D78" t="inlineStr">
        <is>
          <t>IT</t>
        </is>
      </c>
      <c r="E78" t="inlineStr">
        <is>
          <t>有</t>
        </is>
      </c>
      <c r="F78" t="inlineStr">
        <is>
          <t>10.2</t>
        </is>
      </c>
      <c r="G78" t="inlineStr">
        <is>
          <t>15.9</t>
        </is>
      </c>
      <c r="H78"/>
      <c r="I78"/>
      <c r="J78">
        <v>5.51</v>
      </c>
      <c r="K78">
        <v>0.15</v>
      </c>
      <c r="L78">
        <v>0.16</v>
      </c>
      <c r="M78">
        <v>0.05</v>
      </c>
      <c r="N78"/>
      <c r="O78" t="inlineStr">
        <is>
          <t>0.0100</t>
        </is>
      </c>
      <c r="P78" t="inlineStr">
        <is>
          <t>0.0200</t>
        </is>
      </c>
      <c r="Q78">
        <v>4</v>
      </c>
      <c r="R78">
        <v>33.5</v>
      </c>
      <c r="S78">
        <v>26.5</v>
      </c>
      <c r="T78">
        <v>25</v>
      </c>
      <c r="U78">
        <v>2.3</v>
      </c>
      <c r="V78" t="inlineStr">
        <is>
          <t>3.7</t>
        </is>
      </c>
      <c r="W78" t="inlineStr">
        <is>
          <t>3.7</t>
        </is>
      </c>
      <c r="X78" t="inlineStr">
        <is>
          <t>海运</t>
        </is>
      </c>
      <c r="Y78">
        <v>5.55136</v>
      </c>
      <c r="Z78">
        <v>8</v>
      </c>
      <c r="AA78" t="inlineStr">
        <is>
          <t>-6.510</t>
        </is>
      </c>
      <c r="AB78"/>
      <c r="AC78"/>
      <c r="AD78"/>
      <c r="AE78"/>
      <c r="AF78"/>
      <c r="AG78">
        <v>0.15</v>
      </c>
      <c r="AH78"/>
      <c r="AI78">
        <v>0.02</v>
      </c>
      <c r="AJ78">
        <v>0.05</v>
      </c>
    </row>
    <row r="79" ht="25.5" customHeight="1">
      <c r="A79" t="inlineStr">
        <is>
          <t>HES62 （15%）coupon</t>
        </is>
      </c>
      <c r="B79">
        <v>8</v>
      </c>
      <c r="C79" t="inlineStr">
        <is>
          <t>意大利</t>
        </is>
      </c>
      <c r="D79" t="inlineStr">
        <is>
          <t>IT</t>
        </is>
      </c>
      <c r="E79" t="inlineStr">
        <is>
          <t>有</t>
        </is>
      </c>
      <c r="F79" t="inlineStr">
        <is>
          <t>10.2</t>
        </is>
      </c>
      <c r="G79" t="inlineStr">
        <is>
          <t>15.9</t>
        </is>
      </c>
      <c r="H79"/>
      <c r="I79"/>
      <c r="J79">
        <v>5.51</v>
      </c>
      <c r="K79">
        <v>0.15</v>
      </c>
      <c r="L79">
        <v>0.16</v>
      </c>
      <c r="M79">
        <v>0.05</v>
      </c>
      <c r="N79"/>
      <c r="O79" t="inlineStr">
        <is>
          <t>0.0100</t>
        </is>
      </c>
      <c r="P79" t="inlineStr">
        <is>
          <t>0.0200</t>
        </is>
      </c>
      <c r="Q79">
        <v>4</v>
      </c>
      <c r="R79">
        <v>33.5</v>
      </c>
      <c r="S79">
        <v>26.5</v>
      </c>
      <c r="T79">
        <v>25</v>
      </c>
      <c r="U79">
        <v>2.3</v>
      </c>
      <c r="V79" t="inlineStr">
        <is>
          <t>3.7</t>
        </is>
      </c>
      <c r="W79" t="inlineStr">
        <is>
          <t>3.7</t>
        </is>
      </c>
      <c r="X79" t="inlineStr">
        <is>
          <t>海运</t>
        </is>
      </c>
      <c r="Y79">
        <v>5.55136</v>
      </c>
      <c r="Z79">
        <v>8</v>
      </c>
      <c r="AA79" t="inlineStr">
        <is>
          <t>-6.510</t>
        </is>
      </c>
      <c r="AB79"/>
      <c r="AC79"/>
      <c r="AD79"/>
      <c r="AE79"/>
      <c r="AF79"/>
      <c r="AG79">
        <v>0.15</v>
      </c>
      <c r="AH79"/>
      <c r="AI79">
        <v>0.02</v>
      </c>
      <c r="AJ79">
        <v>0.05</v>
      </c>
    </row>
    <row r="80" ht="25.5" customHeight="1">
      <c r="A80" t="inlineStr">
        <is>
          <t>HES62 （20%）PD</t>
        </is>
      </c>
      <c r="B80">
        <v>8</v>
      </c>
      <c r="C80" t="inlineStr">
        <is>
          <t>意大利</t>
        </is>
      </c>
      <c r="D80" t="inlineStr">
        <is>
          <t>IT</t>
        </is>
      </c>
      <c r="E80" t="inlineStr">
        <is>
          <t>有</t>
        </is>
      </c>
      <c r="F80" t="inlineStr">
        <is>
          <t>10.2</t>
        </is>
      </c>
      <c r="G80" t="inlineStr">
        <is>
          <t>15.9</t>
        </is>
      </c>
      <c r="H80"/>
      <c r="I80"/>
      <c r="J80">
        <v>5.51</v>
      </c>
      <c r="K80">
        <v>0.15</v>
      </c>
      <c r="L80">
        <v>0.16</v>
      </c>
      <c r="M80">
        <v>0.05</v>
      </c>
      <c r="N80"/>
      <c r="O80" t="inlineStr">
        <is>
          <t>0.0100</t>
        </is>
      </c>
      <c r="P80" t="inlineStr">
        <is>
          <t>0.0200</t>
        </is>
      </c>
      <c r="Q80">
        <v>4</v>
      </c>
      <c r="R80">
        <v>33.5</v>
      </c>
      <c r="S80">
        <v>26.5</v>
      </c>
      <c r="T80">
        <v>25</v>
      </c>
      <c r="U80">
        <v>2.3</v>
      </c>
      <c r="V80" t="inlineStr">
        <is>
          <t>3.7</t>
        </is>
      </c>
      <c r="W80" t="inlineStr">
        <is>
          <t>3.7</t>
        </is>
      </c>
      <c r="X80" t="inlineStr">
        <is>
          <t>海运</t>
        </is>
      </c>
      <c r="Y80">
        <v>5.55136</v>
      </c>
      <c r="Z80">
        <v>8</v>
      </c>
      <c r="AA80" t="inlineStr">
        <is>
          <t>-6.510</t>
        </is>
      </c>
      <c r="AB80"/>
      <c r="AC80"/>
      <c r="AD80"/>
      <c r="AE80"/>
      <c r="AF80"/>
      <c r="AG80">
        <v>0.15</v>
      </c>
      <c r="AH80"/>
      <c r="AI80">
        <v>0.02</v>
      </c>
      <c r="AJ80">
        <v>0.05</v>
      </c>
    </row>
    <row r="81" ht="25.5" customHeight="1">
      <c r="A81"/>
      <c r="B81"/>
      <c r="C81"/>
      <c r="D81"/>
      <c r="E81"/>
      <c r="F81"/>
      <c r="G81"/>
      <c r="H81"/>
      <c r="I81"/>
      <c r="J81"/>
      <c r="K81"/>
      <c r="L81"/>
      <c r="M81"/>
      <c r="N81"/>
      <c r="O81" t="inlineStr">
        <is>
          <t>0.0100</t>
        </is>
      </c>
      <c r="P81" t="inlineStr">
        <is>
          <t>0.0200</t>
        </is>
      </c>
      <c r="Q81"/>
      <c r="R81">
        <v>33.5</v>
      </c>
      <c r="S81">
        <v>26.5</v>
      </c>
      <c r="T81">
        <v>25</v>
      </c>
      <c r="U81">
        <v>2.3</v>
      </c>
      <c r="V81" t="inlineStr">
        <is>
          <t>3.7</t>
        </is>
      </c>
      <c r="W81" t="inlineStr">
        <is>
          <t>3.7</t>
        </is>
      </c>
      <c r="X81"/>
      <c r="Y81"/>
      <c r="Z81"/>
      <c r="AA81"/>
      <c r="AB81"/>
      <c r="AC81"/>
      <c r="AD81"/>
      <c r="AE81"/>
      <c r="AF81"/>
      <c r="AG81"/>
      <c r="AH81"/>
      <c r="AI81"/>
      <c r="AJ81"/>
    </row>
    <row r="82" ht="25.5" customHeight="1">
      <c r="A82" t="inlineStr">
        <is>
          <t>HES62  定59.99  25%划线价 44.99</t>
        </is>
      </c>
      <c r="B82">
        <v>8</v>
      </c>
      <c r="C82" t="inlineStr">
        <is>
          <t>西班牙</t>
        </is>
      </c>
      <c r="D82" t="inlineStr">
        <is>
          <t>ES</t>
        </is>
      </c>
      <c r="E82" t="inlineStr">
        <is>
          <t>有</t>
        </is>
      </c>
      <c r="F82" t="inlineStr">
        <is>
          <t>9.6</t>
        </is>
      </c>
      <c r="G82" t="inlineStr">
        <is>
          <t>16.8</t>
        </is>
      </c>
      <c r="H82">
        <v>39.99</v>
      </c>
      <c r="I82"/>
      <c r="J82">
        <v>4.21</v>
      </c>
      <c r="K82">
        <v>0.15</v>
      </c>
      <c r="L82">
        <v>0.16</v>
      </c>
      <c r="M82">
        <v>0.05</v>
      </c>
      <c r="N82" t="inlineStr">
        <is>
          <t>0.100</t>
        </is>
      </c>
      <c r="O82" t="inlineStr">
        <is>
          <t>0.0100</t>
        </is>
      </c>
      <c r="P82" t="inlineStr">
        <is>
          <t>0.0200</t>
        </is>
      </c>
      <c r="Q82">
        <v>4</v>
      </c>
      <c r="R82">
        <v>33.5</v>
      </c>
      <c r="S82">
        <v>26.5</v>
      </c>
      <c r="T82">
        <v>25</v>
      </c>
      <c r="U82">
        <v>2.3</v>
      </c>
      <c r="V82" t="inlineStr">
        <is>
          <t>3.7</t>
        </is>
      </c>
      <c r="W82" t="inlineStr">
        <is>
          <t>3.7</t>
        </is>
      </c>
      <c r="X82" t="inlineStr">
        <is>
          <t>海运</t>
        </is>
      </c>
      <c r="Y82">
        <v>5.55136</v>
      </c>
      <c r="Z82">
        <v>8</v>
      </c>
      <c r="AA82" t="inlineStr">
        <is>
          <t>15.184</t>
        </is>
      </c>
      <c r="AB82" t="inlineStr">
        <is>
          <t>37.97%</t>
        </is>
      </c>
      <c r="AC82"/>
      <c r="AD82" t="inlineStr">
        <is>
          <t>10.53%</t>
        </is>
      </c>
      <c r="AE82" t="inlineStr">
        <is>
          <t>0.00%</t>
        </is>
      </c>
      <c r="AF82" t="inlineStr">
        <is>
          <t>2.50%</t>
        </is>
      </c>
      <c r="AG82">
        <v>0.15</v>
      </c>
      <c r="AH82" t="inlineStr">
        <is>
          <t>10.00%</t>
        </is>
      </c>
      <c r="AI82">
        <v>0.02</v>
      </c>
      <c r="AJ82">
        <v>0.05</v>
      </c>
    </row>
    <row r="83" ht="25.5" customHeight="1">
      <c r="A83" t="inlineStr">
        <is>
          <t>HES62 （10%）coupon</t>
        </is>
      </c>
      <c r="B83">
        <v>8</v>
      </c>
      <c r="C83" t="inlineStr">
        <is>
          <t>西班牙</t>
        </is>
      </c>
      <c r="D83" t="inlineStr">
        <is>
          <t>ES</t>
        </is>
      </c>
      <c r="E83" t="inlineStr">
        <is>
          <t>有</t>
        </is>
      </c>
      <c r="F83" t="inlineStr">
        <is>
          <t>7.7</t>
        </is>
      </c>
      <c r="G83" t="inlineStr">
        <is>
          <t>12.1</t>
        </is>
      </c>
      <c r="H83"/>
      <c r="I83"/>
      <c r="J83">
        <v>3.95</v>
      </c>
      <c r="K83">
        <v>0.15</v>
      </c>
      <c r="L83">
        <v>0.16</v>
      </c>
      <c r="M83">
        <v>0.05</v>
      </c>
      <c r="N83"/>
      <c r="O83" t="inlineStr">
        <is>
          <t>0.0100</t>
        </is>
      </c>
      <c r="P83" t="inlineStr">
        <is>
          <t>0.0200</t>
        </is>
      </c>
      <c r="Q83">
        <v>4</v>
      </c>
      <c r="R83">
        <v>33.5</v>
      </c>
      <c r="S83">
        <v>26.5</v>
      </c>
      <c r="T83">
        <v>25</v>
      </c>
      <c r="U83">
        <v>2.3</v>
      </c>
      <c r="V83" t="inlineStr">
        <is>
          <t>3.7</t>
        </is>
      </c>
      <c r="W83" t="inlineStr">
        <is>
          <t>3.7</t>
        </is>
      </c>
      <c r="X83" t="inlineStr">
        <is>
          <t>海运</t>
        </is>
      </c>
      <c r="Y83">
        <v>5.55136</v>
      </c>
      <c r="Z83">
        <v>8</v>
      </c>
      <c r="AA83" t="inlineStr">
        <is>
          <t>-4.950</t>
        </is>
      </c>
      <c r="AB83"/>
      <c r="AC83"/>
      <c r="AD83"/>
      <c r="AE83"/>
      <c r="AF83"/>
      <c r="AG83">
        <v>0.15</v>
      </c>
      <c r="AH83"/>
      <c r="AI83">
        <v>0.02</v>
      </c>
      <c r="AJ83">
        <v>0.05</v>
      </c>
    </row>
    <row r="84" ht="25.5" customHeight="1">
      <c r="A84" t="inlineStr">
        <is>
          <t>HES62 （15%）coupon</t>
        </is>
      </c>
      <c r="B84">
        <v>8</v>
      </c>
      <c r="C84" t="inlineStr">
        <is>
          <t>西班牙</t>
        </is>
      </c>
      <c r="D84" t="inlineStr">
        <is>
          <t>ES</t>
        </is>
      </c>
      <c r="E84" t="inlineStr">
        <is>
          <t>有</t>
        </is>
      </c>
      <c r="F84" t="inlineStr">
        <is>
          <t>7.7</t>
        </is>
      </c>
      <c r="G84" t="inlineStr">
        <is>
          <t>12.1</t>
        </is>
      </c>
      <c r="H84"/>
      <c r="I84"/>
      <c r="J84">
        <v>3.95</v>
      </c>
      <c r="K84">
        <v>0.15</v>
      </c>
      <c r="L84">
        <v>0.16</v>
      </c>
      <c r="M84">
        <v>0.05</v>
      </c>
      <c r="N84"/>
      <c r="O84" t="inlineStr">
        <is>
          <t>0.0100</t>
        </is>
      </c>
      <c r="P84" t="inlineStr">
        <is>
          <t>0.0200</t>
        </is>
      </c>
      <c r="Q84">
        <v>4</v>
      </c>
      <c r="R84">
        <v>33.5</v>
      </c>
      <c r="S84">
        <v>26.5</v>
      </c>
      <c r="T84">
        <v>25</v>
      </c>
      <c r="U84">
        <v>2.3</v>
      </c>
      <c r="V84" t="inlineStr">
        <is>
          <t>3.7</t>
        </is>
      </c>
      <c r="W84" t="inlineStr">
        <is>
          <t>3.7</t>
        </is>
      </c>
      <c r="X84" t="inlineStr">
        <is>
          <t>海运</t>
        </is>
      </c>
      <c r="Y84">
        <v>5.55136</v>
      </c>
      <c r="Z84">
        <v>8</v>
      </c>
      <c r="AA84" t="inlineStr">
        <is>
          <t>-4.950</t>
        </is>
      </c>
      <c r="AB84"/>
      <c r="AC84"/>
      <c r="AD84"/>
      <c r="AE84"/>
      <c r="AF84"/>
      <c r="AG84">
        <v>0.15</v>
      </c>
      <c r="AH84"/>
      <c r="AI84">
        <v>0.02</v>
      </c>
      <c r="AJ84">
        <v>0.05</v>
      </c>
    </row>
    <row r="85" ht="25.5" customHeight="1">
      <c r="A85" t="inlineStr">
        <is>
          <t>HES62 （20%）PD</t>
        </is>
      </c>
      <c r="B85">
        <v>8</v>
      </c>
      <c r="C85" t="inlineStr">
        <is>
          <t>西班牙</t>
        </is>
      </c>
      <c r="D85" t="inlineStr">
        <is>
          <t>ES</t>
        </is>
      </c>
      <c r="E85" t="inlineStr">
        <is>
          <t>有</t>
        </is>
      </c>
      <c r="F85" t="inlineStr">
        <is>
          <t>7.7</t>
        </is>
      </c>
      <c r="G85" t="inlineStr">
        <is>
          <t>12.1</t>
        </is>
      </c>
      <c r="H85"/>
      <c r="I85"/>
      <c r="J85">
        <v>3.95</v>
      </c>
      <c r="K85">
        <v>0.15</v>
      </c>
      <c r="L85">
        <v>0.16</v>
      </c>
      <c r="M85">
        <v>0.05</v>
      </c>
      <c r="N85"/>
      <c r="O85" t="inlineStr">
        <is>
          <t>0.0100</t>
        </is>
      </c>
      <c r="P85" t="inlineStr">
        <is>
          <t>0.0200</t>
        </is>
      </c>
      <c r="Q85">
        <v>4</v>
      </c>
      <c r="R85">
        <v>33.5</v>
      </c>
      <c r="S85">
        <v>26.5</v>
      </c>
      <c r="T85">
        <v>25</v>
      </c>
      <c r="U85">
        <v>2.3</v>
      </c>
      <c r="V85" t="inlineStr">
        <is>
          <t>3.7</t>
        </is>
      </c>
      <c r="W85" t="inlineStr">
        <is>
          <t>3.7</t>
        </is>
      </c>
      <c r="X85" t="inlineStr">
        <is>
          <t>海运</t>
        </is>
      </c>
      <c r="Y85">
        <v>5.55136</v>
      </c>
      <c r="Z85">
        <v>8</v>
      </c>
      <c r="AA85" t="inlineStr">
        <is>
          <t>-4.950</t>
        </is>
      </c>
      <c r="AB85"/>
      <c r="AC85"/>
      <c r="AD85"/>
      <c r="AE85"/>
      <c r="AF85"/>
      <c r="AG85">
        <v>0.15</v>
      </c>
      <c r="AH85"/>
      <c r="AI85">
        <v>0.02</v>
      </c>
      <c r="AJ85">
        <v>0.05</v>
      </c>
    </row>
    <row r="86" ht="25.5" customHeight="1">
      <c r="A86"/>
      <c r="B86"/>
      <c r="C86"/>
      <c r="D86"/>
      <c r="E86"/>
      <c r="F86"/>
      <c r="G86"/>
      <c r="H86"/>
      <c r="I86"/>
      <c r="J86"/>
      <c r="K86"/>
      <c r="L86"/>
      <c r="M86"/>
      <c r="N86"/>
      <c r="O86" t="inlineStr">
        <is>
          <t>0.0100</t>
        </is>
      </c>
      <c r="P86" t="inlineStr">
        <is>
          <t>0.0200</t>
        </is>
      </c>
      <c r="Q86"/>
      <c r="R86">
        <v>33.5</v>
      </c>
      <c r="S86">
        <v>26.5</v>
      </c>
      <c r="T86">
        <v>25</v>
      </c>
      <c r="U86">
        <v>2.3</v>
      </c>
      <c r="V86" t="inlineStr">
        <is>
          <t>3.7</t>
        </is>
      </c>
      <c r="W86" t="inlineStr">
        <is>
          <t>3.7</t>
        </is>
      </c>
      <c r="X86"/>
      <c r="Y86"/>
      <c r="Z86"/>
      <c r="AA86"/>
      <c r="AB86"/>
      <c r="AC86"/>
      <c r="AD86"/>
      <c r="AE86"/>
      <c r="AF86"/>
      <c r="AG86"/>
      <c r="AH86"/>
      <c r="AI86"/>
      <c r="AJ86"/>
    </row>
    <row r="87" ht="25.5" customHeight="1">
      <c r="A87" t="inlineStr">
        <is>
          <t>T2225 气泵  定119.99  20%划线价 94.99</t>
        </is>
      </c>
      <c r="B87">
        <v>8</v>
      </c>
      <c r="C87" t="inlineStr">
        <is>
          <t>德国</t>
        </is>
      </c>
      <c r="D87" t="inlineStr">
        <is>
          <t>DE</t>
        </is>
      </c>
      <c r="E87" t="inlineStr">
        <is>
          <t>有</t>
        </is>
      </c>
      <c r="F87" t="inlineStr">
        <is>
          <t>10.8</t>
        </is>
      </c>
      <c r="G87" t="inlineStr">
        <is>
          <t>19.3</t>
        </is>
      </c>
      <c r="H87">
        <v>84.99</v>
      </c>
      <c r="I87"/>
      <c r="J87">
        <v>4.03</v>
      </c>
      <c r="K87">
        <v>0.15</v>
      </c>
      <c r="L87">
        <v>0.16</v>
      </c>
      <c r="M87">
        <v>0.05</v>
      </c>
      <c r="N87" t="inlineStr">
        <is>
          <t>0.118</t>
        </is>
      </c>
      <c r="O87" t="inlineStr">
        <is>
          <t>0.0100</t>
        </is>
      </c>
      <c r="P87" t="inlineStr">
        <is>
          <t>0.0200</t>
        </is>
      </c>
      <c r="Q87">
        <v>10</v>
      </c>
      <c r="R87">
        <v>33.5</v>
      </c>
      <c r="S87">
        <v>26.5</v>
      </c>
      <c r="T87">
        <v>25</v>
      </c>
      <c r="U87">
        <v>2.3</v>
      </c>
      <c r="V87" t="inlineStr">
        <is>
          <t>3.7</t>
        </is>
      </c>
      <c r="W87" t="inlineStr">
        <is>
          <t>3.7</t>
        </is>
      </c>
      <c r="X87" t="inlineStr">
        <is>
          <t>海运</t>
        </is>
      </c>
      <c r="Y87">
        <v>5.55136</v>
      </c>
      <c r="Z87">
        <v>13</v>
      </c>
      <c r="AA87" t="inlineStr">
        <is>
          <t>36.189</t>
        </is>
      </c>
      <c r="AB87" t="inlineStr">
        <is>
          <t>42.58%</t>
        </is>
      </c>
      <c r="AC87"/>
      <c r="AD87" t="inlineStr">
        <is>
          <t>4.74%</t>
        </is>
      </c>
      <c r="AE87" t="inlineStr">
        <is>
          <t>0.00%</t>
        </is>
      </c>
      <c r="AF87" t="inlineStr">
        <is>
          <t>1.91%</t>
        </is>
      </c>
      <c r="AG87">
        <v>0.15</v>
      </c>
      <c r="AH87" t="inlineStr">
        <is>
          <t>11.77%</t>
        </is>
      </c>
      <c r="AI87">
        <v>0.02</v>
      </c>
      <c r="AJ87">
        <v>0.05</v>
      </c>
    </row>
    <row r="88" ht="25.5" customHeight="1">
      <c r="A88" t="inlineStr">
        <is>
          <t>T2225 气泵 （10%）coupon</t>
        </is>
      </c>
      <c r="B88">
        <v>8</v>
      </c>
      <c r="C88" t="inlineStr">
        <is>
          <t>德国</t>
        </is>
      </c>
      <c r="D88" t="inlineStr">
        <is>
          <t>DE</t>
        </is>
      </c>
      <c r="E88" t="inlineStr">
        <is>
          <t>有</t>
        </is>
      </c>
      <c r="F88" t="inlineStr">
        <is>
          <t>8.8</t>
        </is>
      </c>
      <c r="G88" t="inlineStr">
        <is>
          <t>13.8</t>
        </is>
      </c>
      <c r="H88"/>
      <c r="I88"/>
      <c r="J88">
        <v>4.03</v>
      </c>
      <c r="K88">
        <v>0.15</v>
      </c>
      <c r="L88">
        <v>0.16</v>
      </c>
      <c r="M88">
        <v>0.05</v>
      </c>
      <c r="N88"/>
      <c r="O88" t="inlineStr">
        <is>
          <t>0.0100</t>
        </is>
      </c>
      <c r="P88" t="inlineStr">
        <is>
          <t>0.0200</t>
        </is>
      </c>
      <c r="Q88">
        <v>10</v>
      </c>
      <c r="R88">
        <v>33.5</v>
      </c>
      <c r="S88">
        <v>26.5</v>
      </c>
      <c r="T88">
        <v>25</v>
      </c>
      <c r="U88">
        <v>2.3</v>
      </c>
      <c r="V88" t="inlineStr">
        <is>
          <t>3.7</t>
        </is>
      </c>
      <c r="W88" t="inlineStr">
        <is>
          <t>3.7</t>
        </is>
      </c>
      <c r="X88" t="inlineStr">
        <is>
          <t>海运</t>
        </is>
      </c>
      <c r="Y88">
        <v>5.55136</v>
      </c>
      <c r="Z88">
        <v>13</v>
      </c>
      <c r="AA88" t="inlineStr">
        <is>
          <t>-5.655</t>
        </is>
      </c>
      <c r="AB88"/>
      <c r="AC88"/>
      <c r="AD88"/>
      <c r="AE88"/>
      <c r="AF88"/>
      <c r="AG88">
        <v>0.15</v>
      </c>
      <c r="AH88"/>
      <c r="AI88">
        <v>0.02</v>
      </c>
      <c r="AJ88">
        <v>0.05</v>
      </c>
    </row>
    <row r="89" ht="25.5" customHeight="1">
      <c r="A89" t="inlineStr">
        <is>
          <t>T2225 气泵 （15%）coupon</t>
        </is>
      </c>
      <c r="B89">
        <v>8</v>
      </c>
      <c r="C89" t="inlineStr">
        <is>
          <t>德国</t>
        </is>
      </c>
      <c r="D89" t="inlineStr">
        <is>
          <t>DE</t>
        </is>
      </c>
      <c r="E89" t="inlineStr">
        <is>
          <t>有</t>
        </is>
      </c>
      <c r="F89" t="inlineStr">
        <is>
          <t>8.8</t>
        </is>
      </c>
      <c r="G89" t="inlineStr">
        <is>
          <t>13.8</t>
        </is>
      </c>
      <c r="H89"/>
      <c r="I89"/>
      <c r="J89">
        <v>4.03</v>
      </c>
      <c r="K89">
        <v>0.15</v>
      </c>
      <c r="L89">
        <v>0.16</v>
      </c>
      <c r="M89">
        <v>0.05</v>
      </c>
      <c r="N89"/>
      <c r="O89" t="inlineStr">
        <is>
          <t>0.0100</t>
        </is>
      </c>
      <c r="P89" t="inlineStr">
        <is>
          <t>0.0200</t>
        </is>
      </c>
      <c r="Q89">
        <v>10</v>
      </c>
      <c r="R89">
        <v>33.5</v>
      </c>
      <c r="S89">
        <v>26.5</v>
      </c>
      <c r="T89">
        <v>25</v>
      </c>
      <c r="U89">
        <v>2.3</v>
      </c>
      <c r="V89" t="inlineStr">
        <is>
          <t>3.7</t>
        </is>
      </c>
      <c r="W89" t="inlineStr">
        <is>
          <t>3.7</t>
        </is>
      </c>
      <c r="X89" t="inlineStr">
        <is>
          <t>海运</t>
        </is>
      </c>
      <c r="Y89">
        <v>5.55136</v>
      </c>
      <c r="Z89">
        <v>13</v>
      </c>
      <c r="AA89" t="inlineStr">
        <is>
          <t>-5.655</t>
        </is>
      </c>
      <c r="AB89"/>
      <c r="AC89"/>
      <c r="AD89"/>
      <c r="AE89"/>
      <c r="AF89"/>
      <c r="AG89">
        <v>0.15</v>
      </c>
      <c r="AH89"/>
      <c r="AI89">
        <v>0.02</v>
      </c>
      <c r="AJ89">
        <v>0.05</v>
      </c>
    </row>
    <row r="90" ht="25.5" customHeight="1">
      <c r="A90" t="inlineStr">
        <is>
          <t>T2225 气泵 （20%）PD</t>
        </is>
      </c>
      <c r="B90">
        <v>8</v>
      </c>
      <c r="C90" t="inlineStr">
        <is>
          <t>德国</t>
        </is>
      </c>
      <c r="D90" t="inlineStr">
        <is>
          <t>DE</t>
        </is>
      </c>
      <c r="E90" t="inlineStr">
        <is>
          <t>有</t>
        </is>
      </c>
      <c r="F90" t="inlineStr">
        <is>
          <t>8.8</t>
        </is>
      </c>
      <c r="G90" t="inlineStr">
        <is>
          <t>13.8</t>
        </is>
      </c>
      <c r="H90"/>
      <c r="I90"/>
      <c r="J90">
        <v>4.03</v>
      </c>
      <c r="K90">
        <v>0.15</v>
      </c>
      <c r="L90">
        <v>0.16</v>
      </c>
      <c r="M90">
        <v>0.05</v>
      </c>
      <c r="N90"/>
      <c r="O90" t="inlineStr">
        <is>
          <t>0.0100</t>
        </is>
      </c>
      <c r="P90" t="inlineStr">
        <is>
          <t>0.0200</t>
        </is>
      </c>
      <c r="Q90">
        <v>10</v>
      </c>
      <c r="R90">
        <v>33.5</v>
      </c>
      <c r="S90">
        <v>26.5</v>
      </c>
      <c r="T90">
        <v>25</v>
      </c>
      <c r="U90">
        <v>2.3</v>
      </c>
      <c r="V90" t="inlineStr">
        <is>
          <t>3.7</t>
        </is>
      </c>
      <c r="W90" t="inlineStr">
        <is>
          <t>3.7</t>
        </is>
      </c>
      <c r="X90" t="inlineStr">
        <is>
          <t>海运</t>
        </is>
      </c>
      <c r="Y90">
        <v>5.55136</v>
      </c>
      <c r="Z90">
        <v>13</v>
      </c>
      <c r="AA90" t="inlineStr">
        <is>
          <t>-5.655</t>
        </is>
      </c>
      <c r="AB90"/>
      <c r="AC90"/>
      <c r="AD90"/>
      <c r="AE90"/>
      <c r="AF90"/>
      <c r="AG90">
        <v>0.15</v>
      </c>
      <c r="AH90"/>
      <c r="AI90">
        <v>0.02</v>
      </c>
      <c r="AJ90">
        <v>0.05</v>
      </c>
    </row>
    <row r="91" ht="25.5" customHeight="1">
      <c r="A91"/>
      <c r="B91"/>
      <c r="C91"/>
      <c r="D91"/>
      <c r="E91"/>
      <c r="F91"/>
      <c r="G91"/>
      <c r="H91"/>
      <c r="I91"/>
      <c r="J91"/>
      <c r="K91"/>
      <c r="L91"/>
      <c r="M91"/>
      <c r="N91"/>
      <c r="O91" t="inlineStr">
        <is>
          <t>0.0100</t>
        </is>
      </c>
      <c r="P91" t="inlineStr">
        <is>
          <t>0.0200</t>
        </is>
      </c>
      <c r="Q91"/>
      <c r="R91">
        <v>33.5</v>
      </c>
      <c r="S91">
        <v>26.5</v>
      </c>
      <c r="T91">
        <v>25</v>
      </c>
      <c r="U91">
        <v>2.3</v>
      </c>
      <c r="V91" t="inlineStr">
        <is>
          <t>3.7</t>
        </is>
      </c>
      <c r="W91" t="inlineStr">
        <is>
          <t>3.7</t>
        </is>
      </c>
      <c r="X91"/>
      <c r="Y91"/>
      <c r="Z91"/>
      <c r="AA91"/>
      <c r="AB91"/>
      <c r="AC91"/>
      <c r="AD91"/>
      <c r="AE91"/>
      <c r="AF91"/>
      <c r="AG91"/>
      <c r="AH91"/>
      <c r="AI91"/>
      <c r="AJ91"/>
    </row>
    <row r="92" ht="25.5" customHeight="1">
      <c r="A92" t="inlineStr">
        <is>
          <t>T2225 气泵  定119.99  20%划线价 94.99</t>
        </is>
      </c>
      <c r="B92">
        <v>8</v>
      </c>
      <c r="C92" t="inlineStr">
        <is>
          <t>法国</t>
        </is>
      </c>
      <c r="D92" t="inlineStr">
        <is>
          <t>FR</t>
        </is>
      </c>
      <c r="E92" t="inlineStr">
        <is>
          <t>有</t>
        </is>
      </c>
      <c r="F92" t="inlineStr">
        <is>
          <t>14.3</t>
        </is>
      </c>
      <c r="G92" t="inlineStr">
        <is>
          <t>25.6</t>
        </is>
      </c>
      <c r="H92">
        <v>84.99</v>
      </c>
      <c r="I92"/>
      <c r="J92">
        <v>5.87</v>
      </c>
      <c r="K92">
        <v>0.15</v>
      </c>
      <c r="L92">
        <v>0.16</v>
      </c>
      <c r="M92">
        <v>0.05</v>
      </c>
      <c r="N92" t="inlineStr">
        <is>
          <t>0.118</t>
        </is>
      </c>
      <c r="O92" t="inlineStr">
        <is>
          <t>0.0100</t>
        </is>
      </c>
      <c r="P92" t="inlineStr">
        <is>
          <t>0.0200</t>
        </is>
      </c>
      <c r="Q92">
        <v>10</v>
      </c>
      <c r="R92">
        <v>33.5</v>
      </c>
      <c r="S92">
        <v>26.5</v>
      </c>
      <c r="T92">
        <v>25</v>
      </c>
      <c r="U92">
        <v>2.3</v>
      </c>
      <c r="V92" t="inlineStr">
        <is>
          <t>3.7</t>
        </is>
      </c>
      <c r="W92" t="inlineStr">
        <is>
          <t>3.7</t>
        </is>
      </c>
      <c r="X92" t="inlineStr">
        <is>
          <t>海运</t>
        </is>
      </c>
      <c r="Y92">
        <v>5.55136</v>
      </c>
      <c r="Z92">
        <v>13</v>
      </c>
      <c r="AA92" t="inlineStr">
        <is>
          <t>34.349</t>
        </is>
      </c>
      <c r="AB92" t="inlineStr">
        <is>
          <t>40.42%</t>
        </is>
      </c>
      <c r="AC92"/>
      <c r="AD92" t="inlineStr">
        <is>
          <t>6.91%</t>
        </is>
      </c>
      <c r="AE92" t="inlineStr">
        <is>
          <t>0.00%</t>
        </is>
      </c>
      <c r="AF92" t="inlineStr">
        <is>
          <t>1.91%</t>
        </is>
      </c>
      <c r="AG92">
        <v>0.15</v>
      </c>
      <c r="AH92" t="inlineStr">
        <is>
          <t>11.77%</t>
        </is>
      </c>
      <c r="AI92">
        <v>0.02</v>
      </c>
      <c r="AJ92">
        <v>0.05</v>
      </c>
    </row>
    <row r="93" ht="25.5" customHeight="1">
      <c r="A93" t="inlineStr">
        <is>
          <t>T2225 气泵 （10%）coupon</t>
        </is>
      </c>
      <c r="B93">
        <v>8</v>
      </c>
      <c r="C93" t="inlineStr">
        <is>
          <t>法国</t>
        </is>
      </c>
      <c r="D93" t="inlineStr">
        <is>
          <t>FR</t>
        </is>
      </c>
      <c r="E93" t="inlineStr">
        <is>
          <t>有</t>
        </is>
      </c>
      <c r="F93" t="inlineStr">
        <is>
          <t>11.7</t>
        </is>
      </c>
      <c r="G93" t="inlineStr">
        <is>
          <t>18.3</t>
        </is>
      </c>
      <c r="H93"/>
      <c r="I93"/>
      <c r="J93">
        <v>5.87</v>
      </c>
      <c r="K93">
        <v>0.15</v>
      </c>
      <c r="L93">
        <v>0.16</v>
      </c>
      <c r="M93">
        <v>0.05</v>
      </c>
      <c r="N93"/>
      <c r="O93" t="inlineStr">
        <is>
          <t>0.0100</t>
        </is>
      </c>
      <c r="P93" t="inlineStr">
        <is>
          <t>0.0200</t>
        </is>
      </c>
      <c r="Q93">
        <v>10</v>
      </c>
      <c r="R93">
        <v>33.5</v>
      </c>
      <c r="S93">
        <v>26.5</v>
      </c>
      <c r="T93">
        <v>25</v>
      </c>
      <c r="U93">
        <v>2.3</v>
      </c>
      <c r="V93" t="inlineStr">
        <is>
          <t>3.7</t>
        </is>
      </c>
      <c r="W93" t="inlineStr">
        <is>
          <t>3.7</t>
        </is>
      </c>
      <c r="X93" t="inlineStr">
        <is>
          <t>海运</t>
        </is>
      </c>
      <c r="Y93">
        <v>5.55136</v>
      </c>
      <c r="Z93">
        <v>13</v>
      </c>
      <c r="AA93" t="inlineStr">
        <is>
          <t>-7.495</t>
        </is>
      </c>
      <c r="AB93"/>
      <c r="AC93"/>
      <c r="AD93"/>
      <c r="AE93"/>
      <c r="AF93"/>
      <c r="AG93">
        <v>0.15</v>
      </c>
      <c r="AH93"/>
      <c r="AI93">
        <v>0.02</v>
      </c>
      <c r="AJ93">
        <v>0.05</v>
      </c>
    </row>
    <row r="94" ht="25.5" customHeight="1">
      <c r="A94" t="inlineStr">
        <is>
          <t>T2225 气泵 （15%）coupon</t>
        </is>
      </c>
      <c r="B94">
        <v>8</v>
      </c>
      <c r="C94" t="inlineStr">
        <is>
          <t>法国</t>
        </is>
      </c>
      <c r="D94" t="inlineStr">
        <is>
          <t>FR</t>
        </is>
      </c>
      <c r="E94" t="inlineStr">
        <is>
          <t>有</t>
        </is>
      </c>
      <c r="F94" t="inlineStr">
        <is>
          <t>11.7</t>
        </is>
      </c>
      <c r="G94" t="inlineStr">
        <is>
          <t>18.3</t>
        </is>
      </c>
      <c r="H94"/>
      <c r="I94"/>
      <c r="J94">
        <v>5.87</v>
      </c>
      <c r="K94">
        <v>0.15</v>
      </c>
      <c r="L94">
        <v>0.16</v>
      </c>
      <c r="M94">
        <v>0.05</v>
      </c>
      <c r="N94"/>
      <c r="O94" t="inlineStr">
        <is>
          <t>0.0100</t>
        </is>
      </c>
      <c r="P94" t="inlineStr">
        <is>
          <t>0.0200</t>
        </is>
      </c>
      <c r="Q94">
        <v>10</v>
      </c>
      <c r="R94">
        <v>33.5</v>
      </c>
      <c r="S94">
        <v>26.5</v>
      </c>
      <c r="T94">
        <v>25</v>
      </c>
      <c r="U94">
        <v>2.3</v>
      </c>
      <c r="V94" t="inlineStr">
        <is>
          <t>3.7</t>
        </is>
      </c>
      <c r="W94" t="inlineStr">
        <is>
          <t>3.7</t>
        </is>
      </c>
      <c r="X94" t="inlineStr">
        <is>
          <t>海运</t>
        </is>
      </c>
      <c r="Y94">
        <v>5.55136</v>
      </c>
      <c r="Z94">
        <v>13</v>
      </c>
      <c r="AA94" t="inlineStr">
        <is>
          <t>-7.495</t>
        </is>
      </c>
      <c r="AB94"/>
      <c r="AC94"/>
      <c r="AD94"/>
      <c r="AE94"/>
      <c r="AF94"/>
      <c r="AG94">
        <v>0.15</v>
      </c>
      <c r="AH94"/>
      <c r="AI94">
        <v>0.02</v>
      </c>
      <c r="AJ94">
        <v>0.05</v>
      </c>
    </row>
    <row r="95" ht="25.5" customHeight="1">
      <c r="A95" t="inlineStr">
        <is>
          <t>T2225 气泵 （20%）PD</t>
        </is>
      </c>
      <c r="B95">
        <v>8</v>
      </c>
      <c r="C95" t="inlineStr">
        <is>
          <t>法国</t>
        </is>
      </c>
      <c r="D95" t="inlineStr">
        <is>
          <t>FR</t>
        </is>
      </c>
      <c r="E95" t="inlineStr">
        <is>
          <t>有</t>
        </is>
      </c>
      <c r="F95" t="inlineStr">
        <is>
          <t>11.7</t>
        </is>
      </c>
      <c r="G95" t="inlineStr">
        <is>
          <t>18.3</t>
        </is>
      </c>
      <c r="H95"/>
      <c r="I95"/>
      <c r="J95">
        <v>5.87</v>
      </c>
      <c r="K95">
        <v>0.15</v>
      </c>
      <c r="L95">
        <v>0.16</v>
      </c>
      <c r="M95">
        <v>0.05</v>
      </c>
      <c r="N95"/>
      <c r="O95" t="inlineStr">
        <is>
          <t>0.0100</t>
        </is>
      </c>
      <c r="P95" t="inlineStr">
        <is>
          <t>0.0200</t>
        </is>
      </c>
      <c r="Q95">
        <v>10</v>
      </c>
      <c r="R95">
        <v>33.5</v>
      </c>
      <c r="S95">
        <v>26.5</v>
      </c>
      <c r="T95">
        <v>25</v>
      </c>
      <c r="U95">
        <v>2.3</v>
      </c>
      <c r="V95" t="inlineStr">
        <is>
          <t>3.7</t>
        </is>
      </c>
      <c r="W95" t="inlineStr">
        <is>
          <t>3.7</t>
        </is>
      </c>
      <c r="X95" t="inlineStr">
        <is>
          <t>海运</t>
        </is>
      </c>
      <c r="Y95">
        <v>5.55136</v>
      </c>
      <c r="Z95">
        <v>13</v>
      </c>
      <c r="AA95" t="inlineStr">
        <is>
          <t>-7.495</t>
        </is>
      </c>
      <c r="AB95"/>
      <c r="AC95"/>
      <c r="AD95"/>
      <c r="AE95"/>
      <c r="AF95"/>
      <c r="AG95">
        <v>0.15</v>
      </c>
      <c r="AH95"/>
      <c r="AI95">
        <v>0.02</v>
      </c>
      <c r="AJ95">
        <v>0.05</v>
      </c>
    </row>
    <row r="96" ht="25.5" customHeight="1">
      <c r="A96"/>
      <c r="B96"/>
      <c r="C96"/>
      <c r="D96"/>
      <c r="E96"/>
      <c r="F96"/>
      <c r="G96"/>
      <c r="H96"/>
      <c r="I96"/>
      <c r="J96"/>
      <c r="K96"/>
      <c r="L96"/>
      <c r="M96"/>
      <c r="N96"/>
      <c r="O96" t="inlineStr">
        <is>
          <t>0.0100</t>
        </is>
      </c>
      <c r="P96" t="inlineStr">
        <is>
          <t>0.0200</t>
        </is>
      </c>
      <c r="Q96"/>
      <c r="R96">
        <v>33.5</v>
      </c>
      <c r="S96">
        <v>26.5</v>
      </c>
      <c r="T96">
        <v>25</v>
      </c>
      <c r="U96">
        <v>2.3</v>
      </c>
      <c r="V96" t="inlineStr">
        <is>
          <t>3.7</t>
        </is>
      </c>
      <c r="W96" t="inlineStr">
        <is>
          <t>3.7</t>
        </is>
      </c>
      <c r="X96"/>
      <c r="Y96"/>
      <c r="Z96"/>
      <c r="AA96"/>
      <c r="AB96"/>
      <c r="AC96"/>
      <c r="AD96"/>
      <c r="AE96"/>
      <c r="AF96"/>
      <c r="AG96"/>
      <c r="AH96"/>
      <c r="AI96"/>
      <c r="AJ96"/>
    </row>
    <row r="97" ht="25.5" customHeight="1">
      <c r="A97" t="inlineStr">
        <is>
          <t>T2225 气泵  定119.99  20%划线价 94.99</t>
        </is>
      </c>
      <c r="B97">
        <v>8</v>
      </c>
      <c r="C97" t="inlineStr">
        <is>
          <t>意大利</t>
        </is>
      </c>
      <c r="D97" t="inlineStr">
        <is>
          <t>IT</t>
        </is>
      </c>
      <c r="E97" t="inlineStr">
        <is>
          <t>有</t>
        </is>
      </c>
      <c r="F97" t="inlineStr">
        <is>
          <t>13.7</t>
        </is>
      </c>
      <c r="G97" t="inlineStr">
        <is>
          <t>24.4</t>
        </is>
      </c>
      <c r="H97">
        <v>84.99</v>
      </c>
      <c r="I97"/>
      <c r="J97">
        <v>5.51</v>
      </c>
      <c r="K97">
        <v>0.15</v>
      </c>
      <c r="L97">
        <v>0.16</v>
      </c>
      <c r="M97">
        <v>0.05</v>
      </c>
      <c r="N97" t="inlineStr">
        <is>
          <t>0.118</t>
        </is>
      </c>
      <c r="O97" t="inlineStr">
        <is>
          <t>0.0100</t>
        </is>
      </c>
      <c r="P97" t="inlineStr">
        <is>
          <t>0.0200</t>
        </is>
      </c>
      <c r="Q97">
        <v>10</v>
      </c>
      <c r="R97">
        <v>33.5</v>
      </c>
      <c r="S97">
        <v>26.5</v>
      </c>
      <c r="T97">
        <v>25</v>
      </c>
      <c r="U97">
        <v>2.3</v>
      </c>
      <c r="V97" t="inlineStr">
        <is>
          <t>3.7</t>
        </is>
      </c>
      <c r="W97" t="inlineStr">
        <is>
          <t>3.7</t>
        </is>
      </c>
      <c r="X97" t="inlineStr">
        <is>
          <t>海运</t>
        </is>
      </c>
      <c r="Y97">
        <v>5.55136</v>
      </c>
      <c r="Z97">
        <v>13</v>
      </c>
      <c r="AA97" t="inlineStr">
        <is>
          <t>34.709</t>
        </is>
      </c>
      <c r="AB97" t="inlineStr">
        <is>
          <t>40.84%</t>
        </is>
      </c>
      <c r="AC97"/>
      <c r="AD97" t="inlineStr">
        <is>
          <t>6.48%</t>
        </is>
      </c>
      <c r="AE97" t="inlineStr">
        <is>
          <t>0.00%</t>
        </is>
      </c>
      <c r="AF97" t="inlineStr">
        <is>
          <t>1.91%</t>
        </is>
      </c>
      <c r="AG97">
        <v>0.15</v>
      </c>
      <c r="AH97" t="inlineStr">
        <is>
          <t>11.77%</t>
        </is>
      </c>
      <c r="AI97">
        <v>0.02</v>
      </c>
      <c r="AJ97">
        <v>0.05</v>
      </c>
    </row>
    <row r="98" ht="25.5" customHeight="1">
      <c r="A98" t="inlineStr">
        <is>
          <t>T2225 气泵 （10%）coupon</t>
        </is>
      </c>
      <c r="B98">
        <v>8</v>
      </c>
      <c r="C98" t="inlineStr">
        <is>
          <t>意大利</t>
        </is>
      </c>
      <c r="D98" t="inlineStr">
        <is>
          <t>IT</t>
        </is>
      </c>
      <c r="E98" t="inlineStr">
        <is>
          <t>有</t>
        </is>
      </c>
      <c r="F98" t="inlineStr">
        <is>
          <t>11.1</t>
        </is>
      </c>
      <c r="G98" t="inlineStr">
        <is>
          <t>17.4</t>
        </is>
      </c>
      <c r="H98"/>
      <c r="I98"/>
      <c r="J98">
        <v>5.51</v>
      </c>
      <c r="K98">
        <v>0.15</v>
      </c>
      <c r="L98">
        <v>0.16</v>
      </c>
      <c r="M98">
        <v>0.05</v>
      </c>
      <c r="N98"/>
      <c r="O98" t="inlineStr">
        <is>
          <t>0.0100</t>
        </is>
      </c>
      <c r="P98" t="inlineStr">
        <is>
          <t>0.0200</t>
        </is>
      </c>
      <c r="Q98">
        <v>10</v>
      </c>
      <c r="R98">
        <v>33.5</v>
      </c>
      <c r="S98">
        <v>26.5</v>
      </c>
      <c r="T98">
        <v>25</v>
      </c>
      <c r="U98">
        <v>2.3</v>
      </c>
      <c r="V98" t="inlineStr">
        <is>
          <t>3.7</t>
        </is>
      </c>
      <c r="W98" t="inlineStr">
        <is>
          <t>3.7</t>
        </is>
      </c>
      <c r="X98" t="inlineStr">
        <is>
          <t>海运</t>
        </is>
      </c>
      <c r="Y98">
        <v>5.55136</v>
      </c>
      <c r="Z98">
        <v>13</v>
      </c>
      <c r="AA98" t="inlineStr">
        <is>
          <t>-7.135</t>
        </is>
      </c>
      <c r="AB98"/>
      <c r="AC98"/>
      <c r="AD98"/>
      <c r="AE98"/>
      <c r="AF98"/>
      <c r="AG98">
        <v>0.15</v>
      </c>
      <c r="AH98"/>
      <c r="AI98">
        <v>0.02</v>
      </c>
      <c r="AJ98">
        <v>0.05</v>
      </c>
    </row>
    <row r="99" ht="25.5" customHeight="1">
      <c r="A99" t="inlineStr">
        <is>
          <t>T2225 气泵 （15%）coupon</t>
        </is>
      </c>
      <c r="B99">
        <v>8</v>
      </c>
      <c r="C99" t="inlineStr">
        <is>
          <t>意大利</t>
        </is>
      </c>
      <c r="D99" t="inlineStr">
        <is>
          <t>IT</t>
        </is>
      </c>
      <c r="E99" t="inlineStr">
        <is>
          <t>有</t>
        </is>
      </c>
      <c r="F99" t="inlineStr">
        <is>
          <t>11.1</t>
        </is>
      </c>
      <c r="G99" t="inlineStr">
        <is>
          <t>17.4</t>
        </is>
      </c>
      <c r="H99"/>
      <c r="I99"/>
      <c r="J99">
        <v>5.51</v>
      </c>
      <c r="K99">
        <v>0.15</v>
      </c>
      <c r="L99">
        <v>0.16</v>
      </c>
      <c r="M99">
        <v>0.05</v>
      </c>
      <c r="N99"/>
      <c r="O99" t="inlineStr">
        <is>
          <t>0.0100</t>
        </is>
      </c>
      <c r="P99" t="inlineStr">
        <is>
          <t>0.0200</t>
        </is>
      </c>
      <c r="Q99">
        <v>10</v>
      </c>
      <c r="R99">
        <v>33.5</v>
      </c>
      <c r="S99">
        <v>26.5</v>
      </c>
      <c r="T99">
        <v>25</v>
      </c>
      <c r="U99">
        <v>2.3</v>
      </c>
      <c r="V99" t="inlineStr">
        <is>
          <t>3.7</t>
        </is>
      </c>
      <c r="W99" t="inlineStr">
        <is>
          <t>3.7</t>
        </is>
      </c>
      <c r="X99" t="inlineStr">
        <is>
          <t>海运</t>
        </is>
      </c>
      <c r="Y99">
        <v>5.55136</v>
      </c>
      <c r="Z99">
        <v>13</v>
      </c>
      <c r="AA99" t="inlineStr">
        <is>
          <t>-7.135</t>
        </is>
      </c>
      <c r="AB99"/>
      <c r="AC99"/>
      <c r="AD99"/>
      <c r="AE99"/>
      <c r="AF99"/>
      <c r="AG99">
        <v>0.15</v>
      </c>
      <c r="AH99"/>
      <c r="AI99">
        <v>0.02</v>
      </c>
      <c r="AJ99">
        <v>0.05</v>
      </c>
    </row>
    <row r="100" ht="25.5" customHeight="1">
      <c r="A100" t="inlineStr">
        <is>
          <t>T2225 气泵 （20%）PD</t>
        </is>
      </c>
      <c r="B100">
        <v>8</v>
      </c>
      <c r="C100" t="inlineStr">
        <is>
          <t>意大利</t>
        </is>
      </c>
      <c r="D100" t="inlineStr">
        <is>
          <t>IT</t>
        </is>
      </c>
      <c r="E100" t="inlineStr">
        <is>
          <t>有</t>
        </is>
      </c>
      <c r="F100" t="inlineStr">
        <is>
          <t>11.1</t>
        </is>
      </c>
      <c r="G100" t="inlineStr">
        <is>
          <t>17.4</t>
        </is>
      </c>
      <c r="H100"/>
      <c r="I100"/>
      <c r="J100">
        <v>5.51</v>
      </c>
      <c r="K100">
        <v>0.15</v>
      </c>
      <c r="L100">
        <v>0.16</v>
      </c>
      <c r="M100">
        <v>0.05</v>
      </c>
      <c r="N100"/>
      <c r="O100" t="inlineStr">
        <is>
          <t>0.0100</t>
        </is>
      </c>
      <c r="P100" t="inlineStr">
        <is>
          <t>0.0200</t>
        </is>
      </c>
      <c r="Q100">
        <v>10</v>
      </c>
      <c r="R100">
        <v>33.5</v>
      </c>
      <c r="S100">
        <v>26.5</v>
      </c>
      <c r="T100">
        <v>25</v>
      </c>
      <c r="U100">
        <v>2.3</v>
      </c>
      <c r="V100" t="inlineStr">
        <is>
          <t>3.7</t>
        </is>
      </c>
      <c r="W100" t="inlineStr">
        <is>
          <t>3.7</t>
        </is>
      </c>
      <c r="X100" t="inlineStr">
        <is>
          <t>海运</t>
        </is>
      </c>
      <c r="Y100">
        <v>5.55136</v>
      </c>
      <c r="Z100">
        <v>13</v>
      </c>
      <c r="AA100" t="inlineStr">
        <is>
          <t>-7.135</t>
        </is>
      </c>
      <c r="AB100"/>
      <c r="AC100"/>
      <c r="AD100"/>
      <c r="AE100"/>
      <c r="AF100"/>
      <c r="AG100">
        <v>0.15</v>
      </c>
      <c r="AH100"/>
      <c r="AI100">
        <v>0.02</v>
      </c>
      <c r="AJ100">
        <v>0.05</v>
      </c>
    </row>
    <row r="101" ht="25.5" customHeight="1">
      <c r="A101"/>
      <c r="B101"/>
      <c r="C101"/>
      <c r="D101"/>
      <c r="E101"/>
      <c r="F101"/>
      <c r="G101"/>
      <c r="H101"/>
      <c r="I101"/>
      <c r="J101"/>
      <c r="K101"/>
      <c r="L101"/>
      <c r="M101"/>
      <c r="N101"/>
      <c r="O101" t="inlineStr">
        <is>
          <t>0.0100</t>
        </is>
      </c>
      <c r="P101" t="inlineStr">
        <is>
          <t>0.0200</t>
        </is>
      </c>
      <c r="Q101"/>
      <c r="R101">
        <v>33.5</v>
      </c>
      <c r="S101">
        <v>26.5</v>
      </c>
      <c r="T101">
        <v>25</v>
      </c>
      <c r="U101">
        <v>2.3</v>
      </c>
      <c r="V101" t="inlineStr">
        <is>
          <t>3.7</t>
        </is>
      </c>
      <c r="W101" t="inlineStr">
        <is>
          <t>3.7</t>
        </is>
      </c>
      <c r="X101"/>
      <c r="Y101"/>
      <c r="Z101"/>
      <c r="AA101"/>
      <c r="AB101"/>
      <c r="AC101"/>
      <c r="AD101"/>
      <c r="AE101"/>
      <c r="AF101"/>
      <c r="AG101"/>
      <c r="AH101"/>
      <c r="AI101"/>
      <c r="AJ101"/>
    </row>
    <row r="102" ht="25.5" customHeight="1">
      <c r="A102" t="inlineStr">
        <is>
          <t>T2225 气泵  定119.99  20%划线价 94.99</t>
        </is>
      </c>
      <c r="B102">
        <v>8</v>
      </c>
      <c r="C102" t="inlineStr">
        <is>
          <t>西班牙</t>
        </is>
      </c>
      <c r="D102" t="inlineStr">
        <is>
          <t>ES</t>
        </is>
      </c>
      <c r="E102" t="inlineStr">
        <is>
          <t>有</t>
        </is>
      </c>
      <c r="F102" t="inlineStr">
        <is>
          <t>11.2</t>
        </is>
      </c>
      <c r="G102" t="inlineStr">
        <is>
          <t>20.0</t>
        </is>
      </c>
      <c r="H102">
        <v>84.99</v>
      </c>
      <c r="I102"/>
      <c r="J102">
        <v>4.21</v>
      </c>
      <c r="K102">
        <v>0.15</v>
      </c>
      <c r="L102">
        <v>0.16</v>
      </c>
      <c r="M102">
        <v>0.05</v>
      </c>
      <c r="N102" t="inlineStr">
        <is>
          <t>0.118</t>
        </is>
      </c>
      <c r="O102" t="inlineStr">
        <is>
          <t>0.0100</t>
        </is>
      </c>
      <c r="P102" t="inlineStr">
        <is>
          <t>0.0200</t>
        </is>
      </c>
      <c r="Q102">
        <v>10</v>
      </c>
      <c r="R102">
        <v>33.5</v>
      </c>
      <c r="S102">
        <v>26.5</v>
      </c>
      <c r="T102">
        <v>25</v>
      </c>
      <c r="U102">
        <v>2.3</v>
      </c>
      <c r="V102" t="inlineStr">
        <is>
          <t>3.7</t>
        </is>
      </c>
      <c r="W102" t="inlineStr">
        <is>
          <t>3.7</t>
        </is>
      </c>
      <c r="X102" t="inlineStr">
        <is>
          <t>海运</t>
        </is>
      </c>
      <c r="Y102">
        <v>5.55136</v>
      </c>
      <c r="Z102">
        <v>13</v>
      </c>
      <c r="AA102" t="inlineStr">
        <is>
          <t>36.009</t>
        </is>
      </c>
      <c r="AB102" t="inlineStr">
        <is>
          <t>42.37%</t>
        </is>
      </c>
      <c r="AC102"/>
      <c r="AD102" t="inlineStr">
        <is>
          <t>4.95%</t>
        </is>
      </c>
      <c r="AE102" t="inlineStr">
        <is>
          <t>0.00%</t>
        </is>
      </c>
      <c r="AF102" t="inlineStr">
        <is>
          <t>1.91%</t>
        </is>
      </c>
      <c r="AG102">
        <v>0.15</v>
      </c>
      <c r="AH102" t="inlineStr">
        <is>
          <t>11.77%</t>
        </is>
      </c>
      <c r="AI102">
        <v>0.02</v>
      </c>
      <c r="AJ102">
        <v>0.05</v>
      </c>
    </row>
    <row r="103" ht="25.5" customHeight="1">
      <c r="A103" t="inlineStr">
        <is>
          <t>T2225 气泵 （10%）coupon</t>
        </is>
      </c>
      <c r="B103">
        <v>8</v>
      </c>
      <c r="C103" t="inlineStr">
        <is>
          <t>西班牙</t>
        </is>
      </c>
      <c r="D103" t="inlineStr">
        <is>
          <t>ES</t>
        </is>
      </c>
      <c r="E103" t="inlineStr">
        <is>
          <t>有</t>
        </is>
      </c>
      <c r="F103" t="inlineStr">
        <is>
          <t>9.1</t>
        </is>
      </c>
      <c r="G103" t="inlineStr">
        <is>
          <t>14.2</t>
        </is>
      </c>
      <c r="H103"/>
      <c r="I103"/>
      <c r="J103">
        <v>4.21</v>
      </c>
      <c r="K103">
        <v>0.15</v>
      </c>
      <c r="L103">
        <v>0.16</v>
      </c>
      <c r="M103">
        <v>0.05</v>
      </c>
      <c r="N103"/>
      <c r="O103" t="inlineStr">
        <is>
          <t>0.0100</t>
        </is>
      </c>
      <c r="P103" t="inlineStr">
        <is>
          <t>0.0200</t>
        </is>
      </c>
      <c r="Q103">
        <v>10</v>
      </c>
      <c r="R103">
        <v>33.5</v>
      </c>
      <c r="S103">
        <v>26.5</v>
      </c>
      <c r="T103">
        <v>25</v>
      </c>
      <c r="U103">
        <v>2.3</v>
      </c>
      <c r="V103" t="inlineStr">
        <is>
          <t>3.7</t>
        </is>
      </c>
      <c r="W103" t="inlineStr">
        <is>
          <t>3.7</t>
        </is>
      </c>
      <c r="X103" t="inlineStr">
        <is>
          <t>海运</t>
        </is>
      </c>
      <c r="Y103">
        <v>5.55136</v>
      </c>
      <c r="Z103">
        <v>13</v>
      </c>
      <c r="AA103" t="inlineStr">
        <is>
          <t>-5.835</t>
        </is>
      </c>
      <c r="AB103"/>
      <c r="AC103"/>
      <c r="AD103"/>
      <c r="AE103"/>
      <c r="AF103"/>
      <c r="AG103">
        <v>0.15</v>
      </c>
      <c r="AH103"/>
      <c r="AI103">
        <v>0.02</v>
      </c>
      <c r="AJ103">
        <v>0.05</v>
      </c>
    </row>
    <row r="104" ht="25.5" customHeight="1">
      <c r="A104" t="inlineStr">
        <is>
          <t>T2225 气泵 （15%）coupon</t>
        </is>
      </c>
      <c r="B104">
        <v>8</v>
      </c>
      <c r="C104" t="inlineStr">
        <is>
          <t>西班牙</t>
        </is>
      </c>
      <c r="D104" t="inlineStr">
        <is>
          <t>ES</t>
        </is>
      </c>
      <c r="E104" t="inlineStr">
        <is>
          <t>有</t>
        </is>
      </c>
      <c r="F104" t="inlineStr">
        <is>
          <t>9.1</t>
        </is>
      </c>
      <c r="G104" t="inlineStr">
        <is>
          <t>14.2</t>
        </is>
      </c>
      <c r="H104"/>
      <c r="I104"/>
      <c r="J104">
        <v>4.21</v>
      </c>
      <c r="K104">
        <v>0.15</v>
      </c>
      <c r="L104">
        <v>0.16</v>
      </c>
      <c r="M104">
        <v>0.05</v>
      </c>
      <c r="N104"/>
      <c r="O104" t="inlineStr">
        <is>
          <t>0.0100</t>
        </is>
      </c>
      <c r="P104" t="inlineStr">
        <is>
          <t>0.0200</t>
        </is>
      </c>
      <c r="Q104">
        <v>10</v>
      </c>
      <c r="R104">
        <v>33.5</v>
      </c>
      <c r="S104">
        <v>26.5</v>
      </c>
      <c r="T104">
        <v>25</v>
      </c>
      <c r="U104">
        <v>2.3</v>
      </c>
      <c r="V104" t="inlineStr">
        <is>
          <t>3.7</t>
        </is>
      </c>
      <c r="W104" t="inlineStr">
        <is>
          <t>3.7</t>
        </is>
      </c>
      <c r="X104" t="inlineStr">
        <is>
          <t>海运</t>
        </is>
      </c>
      <c r="Y104">
        <v>5.55136</v>
      </c>
      <c r="Z104">
        <v>13</v>
      </c>
      <c r="AA104" t="inlineStr">
        <is>
          <t>-5.835</t>
        </is>
      </c>
      <c r="AB104"/>
      <c r="AC104"/>
      <c r="AD104"/>
      <c r="AE104"/>
      <c r="AF104"/>
      <c r="AG104">
        <v>0.15</v>
      </c>
      <c r="AH104"/>
      <c r="AI104">
        <v>0.02</v>
      </c>
      <c r="AJ104">
        <v>0.05</v>
      </c>
    </row>
    <row r="105" ht="25.5" customHeight="1">
      <c r="A105" t="inlineStr">
        <is>
          <t>T2225 气泵 （20%）PD</t>
        </is>
      </c>
      <c r="B105">
        <v>8</v>
      </c>
      <c r="C105" t="inlineStr">
        <is>
          <t>西班牙</t>
        </is>
      </c>
      <c r="D105" t="inlineStr">
        <is>
          <t>ES</t>
        </is>
      </c>
      <c r="E105" t="inlineStr">
        <is>
          <t>有</t>
        </is>
      </c>
      <c r="F105" t="inlineStr">
        <is>
          <t>9.1</t>
        </is>
      </c>
      <c r="G105" t="inlineStr">
        <is>
          <t>14.2</t>
        </is>
      </c>
      <c r="H105"/>
      <c r="I105"/>
      <c r="J105">
        <v>4.21</v>
      </c>
      <c r="K105">
        <v>0.15</v>
      </c>
      <c r="L105">
        <v>0.16</v>
      </c>
      <c r="M105">
        <v>0.05</v>
      </c>
      <c r="N105"/>
      <c r="O105" t="inlineStr">
        <is>
          <t>0.0100</t>
        </is>
      </c>
      <c r="P105" t="inlineStr">
        <is>
          <t>0.0200</t>
        </is>
      </c>
      <c r="Q105">
        <v>10</v>
      </c>
      <c r="R105">
        <v>33.5</v>
      </c>
      <c r="S105">
        <v>26.5</v>
      </c>
      <c r="T105">
        <v>25</v>
      </c>
      <c r="U105">
        <v>2.3</v>
      </c>
      <c r="V105" t="inlineStr">
        <is>
          <t>3.7</t>
        </is>
      </c>
      <c r="W105" t="inlineStr">
        <is>
          <t>3.7</t>
        </is>
      </c>
      <c r="X105" t="inlineStr">
        <is>
          <t>海运</t>
        </is>
      </c>
      <c r="Y105">
        <v>5.55136</v>
      </c>
      <c r="Z105">
        <v>13</v>
      </c>
      <c r="AA105" t="inlineStr">
        <is>
          <t>-5.835</t>
        </is>
      </c>
      <c r="AB105"/>
      <c r="AC105"/>
      <c r="AD105"/>
      <c r="AE105"/>
      <c r="AF105"/>
      <c r="AG105">
        <v>0.15</v>
      </c>
      <c r="AH105"/>
      <c r="AI105">
        <v>0.02</v>
      </c>
      <c r="AJ105">
        <v>0.05</v>
      </c>
    </row>
    <row r="106" ht="25.5" customHeight="1">
      <c r="A106"/>
      <c r="B106"/>
      <c r="C106"/>
      <c r="D106"/>
      <c r="E106"/>
      <c r="F106"/>
      <c r="G106"/>
      <c r="H106"/>
      <c r="I106"/>
      <c r="J106"/>
      <c r="K106"/>
      <c r="L106"/>
      <c r="M106"/>
      <c r="N106"/>
      <c r="O106" t="inlineStr">
        <is>
          <t>0.0100</t>
        </is>
      </c>
      <c r="P106" t="inlineStr">
        <is>
          <t>0.0200</t>
        </is>
      </c>
      <c r="Q106"/>
      <c r="R106">
        <v>33.5</v>
      </c>
      <c r="S106">
        <v>26.5</v>
      </c>
      <c r="T106">
        <v>25</v>
      </c>
      <c r="U106">
        <v>2.3</v>
      </c>
      <c r="V106" t="inlineStr">
        <is>
          <t>3.7</t>
        </is>
      </c>
      <c r="W106" t="inlineStr">
        <is>
          <t>3.7</t>
        </is>
      </c>
      <c r="X106"/>
      <c r="Y106"/>
      <c r="Z106"/>
      <c r="AA106"/>
      <c r="AB106"/>
      <c r="AC106"/>
      <c r="AD106"/>
      <c r="AE106"/>
      <c r="AF106"/>
      <c r="AG106"/>
      <c r="AH106"/>
      <c r="AI106"/>
      <c r="AJ106"/>
    </row>
    <row r="107" ht="25.5" customHeight="1">
      <c r="A107" t="inlineStr">
        <is>
          <t>T2225 气泵  定119.99  25%划线价 89.99</t>
        </is>
      </c>
      <c r="B107">
        <v>9</v>
      </c>
      <c r="C107" t="inlineStr">
        <is>
          <t>英国</t>
        </is>
      </c>
      <c r="D107" t="inlineStr">
        <is>
          <t>UK</t>
        </is>
      </c>
      <c r="E107" t="inlineStr">
        <is>
          <t>有</t>
        </is>
      </c>
      <c r="F107" t="inlineStr">
        <is>
          <t>10.0</t>
        </is>
      </c>
      <c r="G107" t="inlineStr">
        <is>
          <t>18.3</t>
        </is>
      </c>
      <c r="H107">
        <v>74.99</v>
      </c>
      <c r="I107"/>
      <c r="J107">
        <v>3.05</v>
      </c>
      <c r="K107">
        <v>0.15</v>
      </c>
      <c r="L107">
        <v>0.16</v>
      </c>
      <c r="M107">
        <v>0.05</v>
      </c>
      <c r="N107" t="inlineStr">
        <is>
          <t>0.133</t>
        </is>
      </c>
      <c r="O107" t="inlineStr">
        <is>
          <t>0.0100</t>
        </is>
      </c>
      <c r="P107" t="inlineStr">
        <is>
          <t>0.0200</t>
        </is>
      </c>
      <c r="Q107">
        <v>10</v>
      </c>
      <c r="R107">
        <v>33.5</v>
      </c>
      <c r="S107">
        <v>26.5</v>
      </c>
      <c r="T107">
        <v>25</v>
      </c>
      <c r="U107">
        <v>2.3</v>
      </c>
      <c r="V107" t="inlineStr">
        <is>
          <t>3.7</t>
        </is>
      </c>
      <c r="W107" t="inlineStr">
        <is>
          <t>3.7</t>
        </is>
      </c>
      <c r="X107" t="inlineStr">
        <is>
          <t>海运</t>
        </is>
      </c>
      <c r="Y107">
        <v>6.084</v>
      </c>
      <c r="Z107">
        <v>18</v>
      </c>
      <c r="AA107" t="inlineStr">
        <is>
          <t>30.694</t>
        </is>
      </c>
      <c r="AB107" t="inlineStr">
        <is>
          <t>40.93%</t>
        </is>
      </c>
      <c r="AC107"/>
      <c r="AD107" t="inlineStr">
        <is>
          <t>4.07%</t>
        </is>
      </c>
      <c r="AE107" t="inlineStr">
        <is>
          <t>0.00%</t>
        </is>
      </c>
      <c r="AF107" t="inlineStr">
        <is>
          <t>2.67%</t>
        </is>
      </c>
      <c r="AG107">
        <v>0.15</v>
      </c>
      <c r="AH107" t="inlineStr">
        <is>
          <t>13.34%</t>
        </is>
      </c>
      <c r="AI107">
        <v>0.02</v>
      </c>
      <c r="AJ107">
        <v>0.05</v>
      </c>
    </row>
    <row r="108" ht="25.5" customHeight="1">
      <c r="A108" t="inlineStr">
        <is>
          <t>T2225 气泵 （10%）coupon</t>
        </is>
      </c>
      <c r="B108">
        <v>9</v>
      </c>
      <c r="C108" t="inlineStr">
        <is>
          <t>英国</t>
        </is>
      </c>
      <c r="D108" t="inlineStr">
        <is>
          <t>UK</t>
        </is>
      </c>
      <c r="E108" t="inlineStr">
        <is>
          <t>有</t>
        </is>
      </c>
      <c r="F108" t="inlineStr">
        <is>
          <t>7.9</t>
        </is>
      </c>
      <c r="G108" t="inlineStr">
        <is>
          <t>12.3</t>
        </is>
      </c>
      <c r="H108"/>
      <c r="I108"/>
      <c r="J108">
        <v>3.05</v>
      </c>
      <c r="K108">
        <v>0.15</v>
      </c>
      <c r="L108">
        <v>0.16</v>
      </c>
      <c r="M108">
        <v>0.05</v>
      </c>
      <c r="N108"/>
      <c r="O108" t="inlineStr">
        <is>
          <t>0.0100</t>
        </is>
      </c>
      <c r="P108" t="inlineStr">
        <is>
          <t>0.0200</t>
        </is>
      </c>
      <c r="Q108">
        <v>10</v>
      </c>
      <c r="R108">
        <v>33.5</v>
      </c>
      <c r="S108">
        <v>26.5</v>
      </c>
      <c r="T108">
        <v>25</v>
      </c>
      <c r="U108">
        <v>2.3</v>
      </c>
      <c r="V108" t="inlineStr">
        <is>
          <t>3.7</t>
        </is>
      </c>
      <c r="W108" t="inlineStr">
        <is>
          <t>3.7</t>
        </is>
      </c>
      <c r="X108" t="inlineStr">
        <is>
          <t>海运</t>
        </is>
      </c>
      <c r="Y108">
        <v>6.084</v>
      </c>
      <c r="Z108">
        <v>18</v>
      </c>
      <c r="AA108" t="inlineStr">
        <is>
          <t>-5.050</t>
        </is>
      </c>
      <c r="AB108"/>
      <c r="AC108"/>
      <c r="AD108"/>
      <c r="AE108"/>
      <c r="AF108"/>
      <c r="AG108">
        <v>0.15</v>
      </c>
      <c r="AH108"/>
      <c r="AI108">
        <v>0.02</v>
      </c>
      <c r="AJ108">
        <v>0.05</v>
      </c>
    </row>
    <row r="109" ht="25.5" customHeight="1">
      <c r="A109" t="inlineStr">
        <is>
          <t>T2225 气泵 （15%）coupon</t>
        </is>
      </c>
      <c r="B109">
        <v>9</v>
      </c>
      <c r="C109" t="inlineStr">
        <is>
          <t>英国</t>
        </is>
      </c>
      <c r="D109" t="inlineStr">
        <is>
          <t>UK</t>
        </is>
      </c>
      <c r="E109" t="inlineStr">
        <is>
          <t>有</t>
        </is>
      </c>
      <c r="F109" t="inlineStr">
        <is>
          <t>7.9</t>
        </is>
      </c>
      <c r="G109" t="inlineStr">
        <is>
          <t>12.3</t>
        </is>
      </c>
      <c r="H109"/>
      <c r="I109"/>
      <c r="J109">
        <v>3.05</v>
      </c>
      <c r="K109">
        <v>0.15</v>
      </c>
      <c r="L109">
        <v>0.16</v>
      </c>
      <c r="M109">
        <v>0.05</v>
      </c>
      <c r="N109"/>
      <c r="O109" t="inlineStr">
        <is>
          <t>0.0100</t>
        </is>
      </c>
      <c r="P109" t="inlineStr">
        <is>
          <t>0.0200</t>
        </is>
      </c>
      <c r="Q109">
        <v>10</v>
      </c>
      <c r="R109">
        <v>33.5</v>
      </c>
      <c r="S109">
        <v>26.5</v>
      </c>
      <c r="T109">
        <v>25</v>
      </c>
      <c r="U109">
        <v>2.3</v>
      </c>
      <c r="V109" t="inlineStr">
        <is>
          <t>3.7</t>
        </is>
      </c>
      <c r="W109" t="inlineStr">
        <is>
          <t>3.7</t>
        </is>
      </c>
      <c r="X109" t="inlineStr">
        <is>
          <t>海运</t>
        </is>
      </c>
      <c r="Y109">
        <v>6.084</v>
      </c>
      <c r="Z109">
        <v>18</v>
      </c>
      <c r="AA109" t="inlineStr">
        <is>
          <t>-5.050</t>
        </is>
      </c>
      <c r="AB109"/>
      <c r="AC109"/>
      <c r="AD109"/>
      <c r="AE109"/>
      <c r="AF109"/>
      <c r="AG109">
        <v>0.15</v>
      </c>
      <c r="AH109"/>
      <c r="AI109">
        <v>0.02</v>
      </c>
      <c r="AJ109">
        <v>0.05</v>
      </c>
    </row>
    <row r="110" ht="25.5" customHeight="1">
      <c r="A110"/>
      <c r="B110"/>
      <c r="C110"/>
      <c r="D110"/>
      <c r="E110"/>
      <c r="F110"/>
      <c r="G110"/>
      <c r="H110"/>
      <c r="I110"/>
      <c r="J110"/>
      <c r="K110"/>
      <c r="L110"/>
      <c r="M110"/>
      <c r="N110"/>
      <c r="O110" t="inlineStr">
        <is>
          <t>0.0100</t>
        </is>
      </c>
      <c r="P110" t="inlineStr">
        <is>
          <t>0.0200</t>
        </is>
      </c>
      <c r="Q110"/>
      <c r="R110">
        <v>33.5</v>
      </c>
      <c r="S110">
        <v>26.5</v>
      </c>
      <c r="T110">
        <v>25</v>
      </c>
      <c r="U110">
        <v>2.3</v>
      </c>
      <c r="V110" t="inlineStr">
        <is>
          <t>3.7</t>
        </is>
      </c>
      <c r="W110" t="inlineStr">
        <is>
          <t>3.7</t>
        </is>
      </c>
      <c r="X110"/>
      <c r="Y110"/>
      <c r="Z110"/>
      <c r="AA110"/>
      <c r="AB110"/>
      <c r="AC110"/>
      <c r="AD110"/>
      <c r="AE110"/>
      <c r="AF110"/>
      <c r="AG110"/>
      <c r="AH110"/>
      <c r="AI110"/>
      <c r="AJ110"/>
    </row>
    <row r="111" ht="25.5" customHeight="1">
      <c r="A111" t="inlineStr">
        <is>
          <t>RS1棘轮  定39.99  25%划线价 29.99</t>
        </is>
      </c>
      <c r="B111">
        <v>8</v>
      </c>
      <c r="C111" t="inlineStr">
        <is>
          <t>德国</t>
        </is>
      </c>
      <c r="D111" t="inlineStr">
        <is>
          <t>DE</t>
        </is>
      </c>
      <c r="E111" t="inlineStr">
        <is>
          <t>有</t>
        </is>
      </c>
      <c r="F111" t="inlineStr">
        <is>
          <t>6.6</t>
        </is>
      </c>
      <c r="G111" t="inlineStr">
        <is>
          <t>10.9</t>
        </is>
      </c>
      <c r="H111">
        <v>24.99</v>
      </c>
      <c r="I111"/>
      <c r="J111">
        <v>3.04</v>
      </c>
      <c r="K111">
        <v>0.15</v>
      </c>
      <c r="L111">
        <v>0.16</v>
      </c>
      <c r="M111">
        <v>0.02</v>
      </c>
      <c r="N111" t="inlineStr">
        <is>
          <t>0.080</t>
        </is>
      </c>
      <c r="O111" t="inlineStr">
        <is>
          <t>0.0100</t>
        </is>
      </c>
      <c r="P111" t="inlineStr">
        <is>
          <t>0.0200</t>
        </is>
      </c>
      <c r="Q111">
        <v>2</v>
      </c>
      <c r="R111">
        <v>33.5</v>
      </c>
      <c r="S111">
        <v>26.5</v>
      </c>
      <c r="T111">
        <v>25</v>
      </c>
      <c r="U111">
        <v>2.3</v>
      </c>
      <c r="V111" t="inlineStr">
        <is>
          <t>3.7</t>
        </is>
      </c>
      <c r="W111" t="inlineStr">
        <is>
          <t>3.7</t>
        </is>
      </c>
      <c r="X111" t="inlineStr">
        <is>
          <t>海运</t>
        </is>
      </c>
      <c r="Y111">
        <v>5.55136</v>
      </c>
      <c r="Z111">
        <v>7</v>
      </c>
      <c r="AA111" t="inlineStr">
        <is>
          <t>10.079</t>
        </is>
      </c>
      <c r="AB111" t="inlineStr">
        <is>
          <t>40.33%</t>
        </is>
      </c>
      <c r="AC111"/>
      <c r="AD111" t="inlineStr">
        <is>
          <t>12.16%</t>
        </is>
      </c>
      <c r="AE111" t="inlineStr">
        <is>
          <t>0.00%</t>
        </is>
      </c>
      <c r="AF111" t="inlineStr">
        <is>
          <t>3.50%</t>
        </is>
      </c>
      <c r="AG111">
        <v>0.15</v>
      </c>
      <c r="AH111" t="inlineStr">
        <is>
          <t>8.00%</t>
        </is>
      </c>
      <c r="AI111">
        <v>0.02</v>
      </c>
      <c r="AJ111">
        <v>0.02</v>
      </c>
    </row>
    <row r="112" ht="25.5" customHeight="1">
      <c r="A112" t="inlineStr">
        <is>
          <t>RS1棘轮 （10%）coupon</t>
        </is>
      </c>
      <c r="B112">
        <v>8</v>
      </c>
      <c r="C112" t="inlineStr">
        <is>
          <t>德国</t>
        </is>
      </c>
      <c r="D112" t="inlineStr">
        <is>
          <t>DE</t>
        </is>
      </c>
      <c r="E112" t="inlineStr">
        <is>
          <t>有</t>
        </is>
      </c>
      <c r="F112" t="inlineStr">
        <is>
          <t>5.8</t>
        </is>
      </c>
      <c r="G112" t="inlineStr">
        <is>
          <t>8.9</t>
        </is>
      </c>
      <c r="H112"/>
      <c r="I112"/>
      <c r="J112">
        <v>3.04</v>
      </c>
      <c r="K112">
        <v>0.15</v>
      </c>
      <c r="L112">
        <v>0.16</v>
      </c>
      <c r="M112">
        <v>0.02</v>
      </c>
      <c r="N112"/>
      <c r="O112" t="inlineStr">
        <is>
          <t>0.0100</t>
        </is>
      </c>
      <c r="P112" t="inlineStr">
        <is>
          <t>0.0200</t>
        </is>
      </c>
      <c r="Q112">
        <v>2</v>
      </c>
      <c r="R112">
        <v>33.5</v>
      </c>
      <c r="S112">
        <v>26.5</v>
      </c>
      <c r="T112">
        <v>25</v>
      </c>
      <c r="U112">
        <v>2.3</v>
      </c>
      <c r="V112" t="inlineStr">
        <is>
          <t>3.7</t>
        </is>
      </c>
      <c r="W112" t="inlineStr">
        <is>
          <t>3.7</t>
        </is>
      </c>
      <c r="X112" t="inlineStr">
        <is>
          <t>海运</t>
        </is>
      </c>
      <c r="Y112">
        <v>5.55136</v>
      </c>
      <c r="Z112">
        <v>7</v>
      </c>
      <c r="AA112" t="inlineStr">
        <is>
          <t>-3.915</t>
        </is>
      </c>
      <c r="AB112"/>
      <c r="AC112"/>
      <c r="AD112"/>
      <c r="AE112"/>
      <c r="AF112"/>
      <c r="AG112">
        <v>0.15</v>
      </c>
      <c r="AH112"/>
      <c r="AI112">
        <v>0.02</v>
      </c>
      <c r="AJ112">
        <v>0.02</v>
      </c>
    </row>
    <row r="113" ht="25.5" customHeight="1">
      <c r="A113" t="inlineStr">
        <is>
          <t>RS1棘轮 （15%）coupon</t>
        </is>
      </c>
      <c r="B113">
        <v>8</v>
      </c>
      <c r="C113" t="inlineStr">
        <is>
          <t>德国</t>
        </is>
      </c>
      <c r="D113" t="inlineStr">
        <is>
          <t>DE</t>
        </is>
      </c>
      <c r="E113" t="inlineStr">
        <is>
          <t>有</t>
        </is>
      </c>
      <c r="F113" t="inlineStr">
        <is>
          <t>5.8</t>
        </is>
      </c>
      <c r="G113" t="inlineStr">
        <is>
          <t>8.9</t>
        </is>
      </c>
      <c r="H113"/>
      <c r="I113"/>
      <c r="J113">
        <v>3.04</v>
      </c>
      <c r="K113">
        <v>0.15</v>
      </c>
      <c r="L113">
        <v>0.16</v>
      </c>
      <c r="M113">
        <v>0.02</v>
      </c>
      <c r="N113"/>
      <c r="O113" t="inlineStr">
        <is>
          <t>0.0100</t>
        </is>
      </c>
      <c r="P113" t="inlineStr">
        <is>
          <t>0.0200</t>
        </is>
      </c>
      <c r="Q113">
        <v>2</v>
      </c>
      <c r="R113">
        <v>33.5</v>
      </c>
      <c r="S113">
        <v>26.5</v>
      </c>
      <c r="T113">
        <v>25</v>
      </c>
      <c r="U113">
        <v>2.3</v>
      </c>
      <c r="V113" t="inlineStr">
        <is>
          <t>3.7</t>
        </is>
      </c>
      <c r="W113" t="inlineStr">
        <is>
          <t>3.7</t>
        </is>
      </c>
      <c r="X113" t="inlineStr">
        <is>
          <t>海运</t>
        </is>
      </c>
      <c r="Y113">
        <v>5.55136</v>
      </c>
      <c r="Z113">
        <v>7</v>
      </c>
      <c r="AA113" t="inlineStr">
        <is>
          <t>-3.915</t>
        </is>
      </c>
      <c r="AB113"/>
      <c r="AC113"/>
      <c r="AD113"/>
      <c r="AE113"/>
      <c r="AF113"/>
      <c r="AG113">
        <v>0.15</v>
      </c>
      <c r="AH113"/>
      <c r="AI113">
        <v>0.02</v>
      </c>
      <c r="AJ113">
        <v>0.02</v>
      </c>
    </row>
    <row r="114" ht="25.5" customHeight="1">
      <c r="A114" t="inlineStr">
        <is>
          <t>RS1棘轮 （20%）PD</t>
        </is>
      </c>
      <c r="B114">
        <v>8</v>
      </c>
      <c r="C114" t="inlineStr">
        <is>
          <t>德国</t>
        </is>
      </c>
      <c r="D114" t="inlineStr">
        <is>
          <t>DE</t>
        </is>
      </c>
      <c r="E114" t="inlineStr">
        <is>
          <t>有</t>
        </is>
      </c>
      <c r="F114" t="inlineStr">
        <is>
          <t>5.8</t>
        </is>
      </c>
      <c r="G114" t="inlineStr">
        <is>
          <t>8.9</t>
        </is>
      </c>
      <c r="H114"/>
      <c r="I114"/>
      <c r="J114">
        <v>3.04</v>
      </c>
      <c r="K114">
        <v>0.15</v>
      </c>
      <c r="L114">
        <v>0.16</v>
      </c>
      <c r="M114">
        <v>0.02</v>
      </c>
      <c r="N114"/>
      <c r="O114" t="inlineStr">
        <is>
          <t>0.0100</t>
        </is>
      </c>
      <c r="P114" t="inlineStr">
        <is>
          <t>0.0200</t>
        </is>
      </c>
      <c r="Q114">
        <v>2</v>
      </c>
      <c r="R114">
        <v>33.5</v>
      </c>
      <c r="S114">
        <v>26.5</v>
      </c>
      <c r="T114">
        <v>25</v>
      </c>
      <c r="U114">
        <v>2.3</v>
      </c>
      <c r="V114" t="inlineStr">
        <is>
          <t>3.7</t>
        </is>
      </c>
      <c r="W114" t="inlineStr">
        <is>
          <t>3.7</t>
        </is>
      </c>
      <c r="X114" t="inlineStr">
        <is>
          <t>海运</t>
        </is>
      </c>
      <c r="Y114">
        <v>5.55136</v>
      </c>
      <c r="Z114">
        <v>7</v>
      </c>
      <c r="AA114" t="inlineStr">
        <is>
          <t>-3.915</t>
        </is>
      </c>
      <c r="AB114"/>
      <c r="AC114"/>
      <c r="AD114"/>
      <c r="AE114"/>
      <c r="AF114"/>
      <c r="AG114">
        <v>0.15</v>
      </c>
      <c r="AH114"/>
      <c r="AI114">
        <v>0.02</v>
      </c>
      <c r="AJ114">
        <v>0.02</v>
      </c>
    </row>
    <row r="115" ht="25.5" customHeight="1">
      <c r="A115"/>
      <c r="B115"/>
      <c r="C115"/>
      <c r="D115"/>
      <c r="E115"/>
      <c r="F115"/>
      <c r="G115"/>
      <c r="H115"/>
      <c r="I115"/>
      <c r="J115"/>
      <c r="K115"/>
      <c r="L115"/>
      <c r="M115"/>
      <c r="N115"/>
      <c r="O115" t="inlineStr">
        <is>
          <t>0.0100</t>
        </is>
      </c>
      <c r="P115" t="inlineStr">
        <is>
          <t>0.0200</t>
        </is>
      </c>
      <c r="Q115"/>
      <c r="R115">
        <v>33.5</v>
      </c>
      <c r="S115">
        <v>26.5</v>
      </c>
      <c r="T115">
        <v>25</v>
      </c>
      <c r="U115">
        <v>2.3</v>
      </c>
      <c r="V115" t="inlineStr">
        <is>
          <t>3.7</t>
        </is>
      </c>
      <c r="W115" t="inlineStr">
        <is>
          <t>3.7</t>
        </is>
      </c>
      <c r="X115"/>
      <c r="Y115"/>
      <c r="Z115"/>
      <c r="AA115"/>
      <c r="AB115"/>
      <c r="AC115"/>
      <c r="AD115"/>
      <c r="AE115"/>
      <c r="AF115"/>
      <c r="AG115"/>
      <c r="AH115"/>
      <c r="AI115"/>
      <c r="AJ115"/>
    </row>
    <row r="116" ht="25.5" customHeight="1">
      <c r="A116" t="inlineStr">
        <is>
          <t>RS1棘轮  定39.99  25%划线价 29.99</t>
        </is>
      </c>
      <c r="B116">
        <v>8</v>
      </c>
      <c r="C116" t="inlineStr">
        <is>
          <t>法国</t>
        </is>
      </c>
      <c r="D116" t="inlineStr">
        <is>
          <t>FR</t>
        </is>
      </c>
      <c r="E116" t="inlineStr">
        <is>
          <t>有</t>
        </is>
      </c>
      <c r="F116" t="inlineStr">
        <is>
          <t>9.4</t>
        </is>
      </c>
      <c r="G116" t="inlineStr">
        <is>
          <t>15.3</t>
        </is>
      </c>
      <c r="H116">
        <v>24.99</v>
      </c>
      <c r="I116"/>
      <c r="J116">
        <v>4.65</v>
      </c>
      <c r="K116">
        <v>0.15</v>
      </c>
      <c r="L116">
        <v>0.16</v>
      </c>
      <c r="M116">
        <v>0.02</v>
      </c>
      <c r="N116" t="inlineStr">
        <is>
          <t>0.080</t>
        </is>
      </c>
      <c r="O116" t="inlineStr">
        <is>
          <t>0.0100</t>
        </is>
      </c>
      <c r="P116" t="inlineStr">
        <is>
          <t>0.0200</t>
        </is>
      </c>
      <c r="Q116">
        <v>2</v>
      </c>
      <c r="R116">
        <v>33.5</v>
      </c>
      <c r="S116">
        <v>26.5</v>
      </c>
      <c r="T116">
        <v>25</v>
      </c>
      <c r="U116">
        <v>2.3</v>
      </c>
      <c r="V116" t="inlineStr">
        <is>
          <t>3.7</t>
        </is>
      </c>
      <c r="W116" t="inlineStr">
        <is>
          <t>3.7</t>
        </is>
      </c>
      <c r="X116" t="inlineStr">
        <is>
          <t>海运</t>
        </is>
      </c>
      <c r="Y116">
        <v>5.55136</v>
      </c>
      <c r="Z116">
        <v>7</v>
      </c>
      <c r="AA116" t="inlineStr">
        <is>
          <t>8.469</t>
        </is>
      </c>
      <c r="AB116" t="inlineStr">
        <is>
          <t>33.89%</t>
        </is>
      </c>
      <c r="AC116"/>
      <c r="AD116" t="inlineStr">
        <is>
          <t>18.61%</t>
        </is>
      </c>
      <c r="AE116" t="inlineStr">
        <is>
          <t>0.00%</t>
        </is>
      </c>
      <c r="AF116" t="inlineStr">
        <is>
          <t>3.50%</t>
        </is>
      </c>
      <c r="AG116">
        <v>0.15</v>
      </c>
      <c r="AH116" t="inlineStr">
        <is>
          <t>8.00%</t>
        </is>
      </c>
      <c r="AI116">
        <v>0.02</v>
      </c>
      <c r="AJ116">
        <v>0.02</v>
      </c>
    </row>
    <row r="117" ht="25.5" customHeight="1">
      <c r="A117" t="inlineStr">
        <is>
          <t>RS1棘轮 （10%）coupon</t>
        </is>
      </c>
      <c r="B117">
        <v>8</v>
      </c>
      <c r="C117" t="inlineStr">
        <is>
          <t>法国</t>
        </is>
      </c>
      <c r="D117" t="inlineStr">
        <is>
          <t>FR</t>
        </is>
      </c>
      <c r="E117" t="inlineStr">
        <is>
          <t>有</t>
        </is>
      </c>
      <c r="F117" t="inlineStr">
        <is>
          <t>8.2</t>
        </is>
      </c>
      <c r="G117" t="inlineStr">
        <is>
          <t>12.6</t>
        </is>
      </c>
      <c r="H117"/>
      <c r="I117"/>
      <c r="J117">
        <v>4.65</v>
      </c>
      <c r="K117">
        <v>0.15</v>
      </c>
      <c r="L117">
        <v>0.16</v>
      </c>
      <c r="M117">
        <v>0.02</v>
      </c>
      <c r="N117"/>
      <c r="O117" t="inlineStr">
        <is>
          <t>0.0100</t>
        </is>
      </c>
      <c r="P117" t="inlineStr">
        <is>
          <t>0.0200</t>
        </is>
      </c>
      <c r="Q117">
        <v>2</v>
      </c>
      <c r="R117">
        <v>33.5</v>
      </c>
      <c r="S117">
        <v>26.5</v>
      </c>
      <c r="T117">
        <v>25</v>
      </c>
      <c r="U117">
        <v>2.3</v>
      </c>
      <c r="V117" t="inlineStr">
        <is>
          <t>3.7</t>
        </is>
      </c>
      <c r="W117" t="inlineStr">
        <is>
          <t>3.7</t>
        </is>
      </c>
      <c r="X117" t="inlineStr">
        <is>
          <t>海运</t>
        </is>
      </c>
      <c r="Y117">
        <v>5.55136</v>
      </c>
      <c r="Z117">
        <v>7</v>
      </c>
      <c r="AA117" t="inlineStr">
        <is>
          <t>-5.525</t>
        </is>
      </c>
      <c r="AB117"/>
      <c r="AC117"/>
      <c r="AD117"/>
      <c r="AE117"/>
      <c r="AF117"/>
      <c r="AG117">
        <v>0.15</v>
      </c>
      <c r="AH117"/>
      <c r="AI117">
        <v>0.02</v>
      </c>
      <c r="AJ117">
        <v>0.02</v>
      </c>
    </row>
    <row r="118" ht="25.5" customHeight="1">
      <c r="A118" t="inlineStr">
        <is>
          <t>RS1棘轮 （15%）coupon</t>
        </is>
      </c>
      <c r="B118">
        <v>8</v>
      </c>
      <c r="C118" t="inlineStr">
        <is>
          <t>法国</t>
        </is>
      </c>
      <c r="D118" t="inlineStr">
        <is>
          <t>FR</t>
        </is>
      </c>
      <c r="E118" t="inlineStr">
        <is>
          <t>有</t>
        </is>
      </c>
      <c r="F118" t="inlineStr">
        <is>
          <t>8.2</t>
        </is>
      </c>
      <c r="G118" t="inlineStr">
        <is>
          <t>12.6</t>
        </is>
      </c>
      <c r="H118"/>
      <c r="I118"/>
      <c r="J118">
        <v>4.65</v>
      </c>
      <c r="K118">
        <v>0.15</v>
      </c>
      <c r="L118">
        <v>0.16</v>
      </c>
      <c r="M118">
        <v>0.02</v>
      </c>
      <c r="N118"/>
      <c r="O118" t="inlineStr">
        <is>
          <t>0.0100</t>
        </is>
      </c>
      <c r="P118" t="inlineStr">
        <is>
          <t>0.0200</t>
        </is>
      </c>
      <c r="Q118">
        <v>2</v>
      </c>
      <c r="R118">
        <v>33.5</v>
      </c>
      <c r="S118">
        <v>26.5</v>
      </c>
      <c r="T118">
        <v>25</v>
      </c>
      <c r="U118">
        <v>2.3</v>
      </c>
      <c r="V118" t="inlineStr">
        <is>
          <t>3.7</t>
        </is>
      </c>
      <c r="W118" t="inlineStr">
        <is>
          <t>3.7</t>
        </is>
      </c>
      <c r="X118" t="inlineStr">
        <is>
          <t>海运</t>
        </is>
      </c>
      <c r="Y118">
        <v>5.55136</v>
      </c>
      <c r="Z118">
        <v>7</v>
      </c>
      <c r="AA118" t="inlineStr">
        <is>
          <t>-5.525</t>
        </is>
      </c>
      <c r="AB118"/>
      <c r="AC118"/>
      <c r="AD118"/>
      <c r="AE118"/>
      <c r="AF118"/>
      <c r="AG118">
        <v>0.15</v>
      </c>
      <c r="AH118"/>
      <c r="AI118">
        <v>0.02</v>
      </c>
      <c r="AJ118">
        <v>0.02</v>
      </c>
    </row>
    <row r="119" ht="25.5" customHeight="1">
      <c r="A119" t="inlineStr">
        <is>
          <t>RS1棘轮 （20%）PD</t>
        </is>
      </c>
      <c r="B119">
        <v>8</v>
      </c>
      <c r="C119" t="inlineStr">
        <is>
          <t>法国</t>
        </is>
      </c>
      <c r="D119" t="inlineStr">
        <is>
          <t>FR</t>
        </is>
      </c>
      <c r="E119" t="inlineStr">
        <is>
          <t>有</t>
        </is>
      </c>
      <c r="F119" t="inlineStr">
        <is>
          <t>8.2</t>
        </is>
      </c>
      <c r="G119" t="inlineStr">
        <is>
          <t>12.6</t>
        </is>
      </c>
      <c r="H119"/>
      <c r="I119"/>
      <c r="J119">
        <v>4.65</v>
      </c>
      <c r="K119">
        <v>0.15</v>
      </c>
      <c r="L119">
        <v>0.16</v>
      </c>
      <c r="M119">
        <v>0.02</v>
      </c>
      <c r="N119"/>
      <c r="O119" t="inlineStr">
        <is>
          <t>0.0100</t>
        </is>
      </c>
      <c r="P119" t="inlineStr">
        <is>
          <t>0.0200</t>
        </is>
      </c>
      <c r="Q119">
        <v>2</v>
      </c>
      <c r="R119">
        <v>33.5</v>
      </c>
      <c r="S119">
        <v>26.5</v>
      </c>
      <c r="T119">
        <v>25</v>
      </c>
      <c r="U119">
        <v>2.3</v>
      </c>
      <c r="V119" t="inlineStr">
        <is>
          <t>3.7</t>
        </is>
      </c>
      <c r="W119" t="inlineStr">
        <is>
          <t>3.7</t>
        </is>
      </c>
      <c r="X119" t="inlineStr">
        <is>
          <t>海运</t>
        </is>
      </c>
      <c r="Y119">
        <v>5.55136</v>
      </c>
      <c r="Z119">
        <v>7</v>
      </c>
      <c r="AA119" t="inlineStr">
        <is>
          <t>-5.525</t>
        </is>
      </c>
      <c r="AB119"/>
      <c r="AC119"/>
      <c r="AD119"/>
      <c r="AE119"/>
      <c r="AF119"/>
      <c r="AG119">
        <v>0.15</v>
      </c>
      <c r="AH119"/>
      <c r="AI119">
        <v>0.02</v>
      </c>
      <c r="AJ119">
        <v>0.02</v>
      </c>
    </row>
    <row r="120" ht="25.5" customHeight="1">
      <c r="A120"/>
      <c r="B120"/>
      <c r="C120"/>
      <c r="D120"/>
      <c r="E120"/>
      <c r="F120"/>
      <c r="G120"/>
      <c r="H120"/>
      <c r="I120"/>
      <c r="J120"/>
      <c r="K120"/>
      <c r="L120"/>
      <c r="M120"/>
      <c r="N120"/>
      <c r="O120" t="inlineStr">
        <is>
          <t>0.0100</t>
        </is>
      </c>
      <c r="P120" t="inlineStr">
        <is>
          <t>0.0200</t>
        </is>
      </c>
      <c r="Q120"/>
      <c r="R120">
        <v>33.5</v>
      </c>
      <c r="S120">
        <v>26.5</v>
      </c>
      <c r="T120">
        <v>25</v>
      </c>
      <c r="U120">
        <v>2.3</v>
      </c>
      <c r="V120" t="inlineStr">
        <is>
          <t>3.7</t>
        </is>
      </c>
      <c r="W120" t="inlineStr">
        <is>
          <t>3.7</t>
        </is>
      </c>
      <c r="X120"/>
      <c r="Y120"/>
      <c r="Z120"/>
      <c r="AA120"/>
      <c r="AB120"/>
      <c r="AC120"/>
      <c r="AD120"/>
      <c r="AE120"/>
      <c r="AF120"/>
      <c r="AG120"/>
      <c r="AH120"/>
      <c r="AI120"/>
      <c r="AJ120"/>
    </row>
    <row r="121" ht="25.5" customHeight="1">
      <c r="A121" t="inlineStr">
        <is>
          <t>RS1棘轮  定39.99  25%划线价 29.99</t>
        </is>
      </c>
      <c r="B121">
        <v>8</v>
      </c>
      <c r="C121" t="inlineStr">
        <is>
          <t>意大利</t>
        </is>
      </c>
      <c r="D121" t="inlineStr">
        <is>
          <t>IT</t>
        </is>
      </c>
      <c r="E121" t="inlineStr">
        <is>
          <t>有</t>
        </is>
      </c>
      <c r="F121" t="inlineStr">
        <is>
          <t>8.5</t>
        </is>
      </c>
      <c r="G121" t="inlineStr">
        <is>
          <t>13.9</t>
        </is>
      </c>
      <c r="H121">
        <v>24.99</v>
      </c>
      <c r="I121"/>
      <c r="J121">
        <v>4.13</v>
      </c>
      <c r="K121">
        <v>0.15</v>
      </c>
      <c r="L121">
        <v>0.16</v>
      </c>
      <c r="M121">
        <v>0.02</v>
      </c>
      <c r="N121" t="inlineStr">
        <is>
          <t>0.080</t>
        </is>
      </c>
      <c r="O121" t="inlineStr">
        <is>
          <t>0.0100</t>
        </is>
      </c>
      <c r="P121" t="inlineStr">
        <is>
          <t>0.0200</t>
        </is>
      </c>
      <c r="Q121">
        <v>2</v>
      </c>
      <c r="R121">
        <v>33.5</v>
      </c>
      <c r="S121">
        <v>26.5</v>
      </c>
      <c r="T121">
        <v>25</v>
      </c>
      <c r="U121">
        <v>2.3</v>
      </c>
      <c r="V121" t="inlineStr">
        <is>
          <t>3.7</t>
        </is>
      </c>
      <c r="W121" t="inlineStr">
        <is>
          <t>3.7</t>
        </is>
      </c>
      <c r="X121" t="inlineStr">
        <is>
          <t>海运</t>
        </is>
      </c>
      <c r="Y121">
        <v>5.55136</v>
      </c>
      <c r="Z121">
        <v>7</v>
      </c>
      <c r="AA121" t="inlineStr">
        <is>
          <t>8.989</t>
        </is>
      </c>
      <c r="AB121" t="inlineStr">
        <is>
          <t>35.97%</t>
        </is>
      </c>
      <c r="AC121"/>
      <c r="AD121" t="inlineStr">
        <is>
          <t>16.53%</t>
        </is>
      </c>
      <c r="AE121" t="inlineStr">
        <is>
          <t>0.00%</t>
        </is>
      </c>
      <c r="AF121" t="inlineStr">
        <is>
          <t>3.50%</t>
        </is>
      </c>
      <c r="AG121">
        <v>0.15</v>
      </c>
      <c r="AH121" t="inlineStr">
        <is>
          <t>8.00%</t>
        </is>
      </c>
      <c r="AI121">
        <v>0.02</v>
      </c>
      <c r="AJ121">
        <v>0.02</v>
      </c>
    </row>
    <row r="122" ht="25.5" customHeight="1">
      <c r="A122" t="inlineStr">
        <is>
          <t>RS1棘轮 （10%）coupon</t>
        </is>
      </c>
      <c r="B122">
        <v>8</v>
      </c>
      <c r="C122" t="inlineStr">
        <is>
          <t>意大利</t>
        </is>
      </c>
      <c r="D122" t="inlineStr">
        <is>
          <t>IT</t>
        </is>
      </c>
      <c r="E122" t="inlineStr">
        <is>
          <t>有</t>
        </is>
      </c>
      <c r="F122" t="inlineStr">
        <is>
          <t>7.5</t>
        </is>
      </c>
      <c r="G122" t="inlineStr">
        <is>
          <t>11.4</t>
        </is>
      </c>
      <c r="H122"/>
      <c r="I122"/>
      <c r="J122">
        <v>4.13</v>
      </c>
      <c r="K122">
        <v>0.15</v>
      </c>
      <c r="L122">
        <v>0.16</v>
      </c>
      <c r="M122">
        <v>0.02</v>
      </c>
      <c r="N122"/>
      <c r="O122" t="inlineStr">
        <is>
          <t>0.0100</t>
        </is>
      </c>
      <c r="P122" t="inlineStr">
        <is>
          <t>0.0200</t>
        </is>
      </c>
      <c r="Q122">
        <v>2</v>
      </c>
      <c r="R122">
        <v>33.5</v>
      </c>
      <c r="S122">
        <v>26.5</v>
      </c>
      <c r="T122">
        <v>25</v>
      </c>
      <c r="U122">
        <v>2.3</v>
      </c>
      <c r="V122" t="inlineStr">
        <is>
          <t>3.7</t>
        </is>
      </c>
      <c r="W122" t="inlineStr">
        <is>
          <t>3.7</t>
        </is>
      </c>
      <c r="X122" t="inlineStr">
        <is>
          <t>海运</t>
        </is>
      </c>
      <c r="Y122">
        <v>5.55136</v>
      </c>
      <c r="Z122">
        <v>7</v>
      </c>
      <c r="AA122" t="inlineStr">
        <is>
          <t>-5.005</t>
        </is>
      </c>
      <c r="AB122"/>
      <c r="AC122"/>
      <c r="AD122"/>
      <c r="AE122"/>
      <c r="AF122"/>
      <c r="AG122">
        <v>0.15</v>
      </c>
      <c r="AH122"/>
      <c r="AI122">
        <v>0.02</v>
      </c>
      <c r="AJ122">
        <v>0.02</v>
      </c>
    </row>
    <row r="123" ht="25.5" customHeight="1">
      <c r="A123" t="inlineStr">
        <is>
          <t>RS1棘轮 （15%）coupon</t>
        </is>
      </c>
      <c r="B123">
        <v>8</v>
      </c>
      <c r="C123" t="inlineStr">
        <is>
          <t>意大利</t>
        </is>
      </c>
      <c r="D123" t="inlineStr">
        <is>
          <t>IT</t>
        </is>
      </c>
      <c r="E123" t="inlineStr">
        <is>
          <t>有</t>
        </is>
      </c>
      <c r="F123" t="inlineStr">
        <is>
          <t>7.5</t>
        </is>
      </c>
      <c r="G123" t="inlineStr">
        <is>
          <t>11.4</t>
        </is>
      </c>
      <c r="H123"/>
      <c r="I123"/>
      <c r="J123">
        <v>4.13</v>
      </c>
      <c r="K123">
        <v>0.15</v>
      </c>
      <c r="L123">
        <v>0.16</v>
      </c>
      <c r="M123">
        <v>0.02</v>
      </c>
      <c r="N123"/>
      <c r="O123" t="inlineStr">
        <is>
          <t>0.0100</t>
        </is>
      </c>
      <c r="P123" t="inlineStr">
        <is>
          <t>0.0200</t>
        </is>
      </c>
      <c r="Q123">
        <v>2</v>
      </c>
      <c r="R123">
        <v>33.5</v>
      </c>
      <c r="S123">
        <v>26.5</v>
      </c>
      <c r="T123">
        <v>25</v>
      </c>
      <c r="U123">
        <v>2.3</v>
      </c>
      <c r="V123" t="inlineStr">
        <is>
          <t>3.7</t>
        </is>
      </c>
      <c r="W123" t="inlineStr">
        <is>
          <t>3.7</t>
        </is>
      </c>
      <c r="X123" t="inlineStr">
        <is>
          <t>海运</t>
        </is>
      </c>
      <c r="Y123">
        <v>5.55136</v>
      </c>
      <c r="Z123">
        <v>7</v>
      </c>
      <c r="AA123" t="inlineStr">
        <is>
          <t>-5.005</t>
        </is>
      </c>
      <c r="AB123"/>
      <c r="AC123"/>
      <c r="AD123"/>
      <c r="AE123"/>
      <c r="AF123"/>
      <c r="AG123">
        <v>0.15</v>
      </c>
      <c r="AH123"/>
      <c r="AI123">
        <v>0.02</v>
      </c>
      <c r="AJ123">
        <v>0.02</v>
      </c>
    </row>
    <row r="124" ht="25.5" customHeight="1">
      <c r="A124" t="inlineStr">
        <is>
          <t>RS1棘轮 （20%）PD</t>
        </is>
      </c>
      <c r="B124">
        <v>8</v>
      </c>
      <c r="C124" t="inlineStr">
        <is>
          <t>意大利</t>
        </is>
      </c>
      <c r="D124" t="inlineStr">
        <is>
          <t>IT</t>
        </is>
      </c>
      <c r="E124" t="inlineStr">
        <is>
          <t>有</t>
        </is>
      </c>
      <c r="F124" t="inlineStr">
        <is>
          <t>7.5</t>
        </is>
      </c>
      <c r="G124" t="inlineStr">
        <is>
          <t>11.4</t>
        </is>
      </c>
      <c r="H124"/>
      <c r="I124"/>
      <c r="J124">
        <v>4.13</v>
      </c>
      <c r="K124">
        <v>0.15</v>
      </c>
      <c r="L124">
        <v>0.16</v>
      </c>
      <c r="M124">
        <v>0.02</v>
      </c>
      <c r="N124"/>
      <c r="O124" t="inlineStr">
        <is>
          <t>0.0100</t>
        </is>
      </c>
      <c r="P124" t="inlineStr">
        <is>
          <t>0.0200</t>
        </is>
      </c>
      <c r="Q124">
        <v>2</v>
      </c>
      <c r="R124">
        <v>33.5</v>
      </c>
      <c r="S124">
        <v>26.5</v>
      </c>
      <c r="T124">
        <v>25</v>
      </c>
      <c r="U124">
        <v>2.3</v>
      </c>
      <c r="V124" t="inlineStr">
        <is>
          <t>3.7</t>
        </is>
      </c>
      <c r="W124" t="inlineStr">
        <is>
          <t>3.7</t>
        </is>
      </c>
      <c r="X124" t="inlineStr">
        <is>
          <t>海运</t>
        </is>
      </c>
      <c r="Y124">
        <v>5.55136</v>
      </c>
      <c r="Z124">
        <v>7</v>
      </c>
      <c r="AA124" t="inlineStr">
        <is>
          <t>-5.005</t>
        </is>
      </c>
      <c r="AB124"/>
      <c r="AC124"/>
      <c r="AD124"/>
      <c r="AE124"/>
      <c r="AF124"/>
      <c r="AG124">
        <v>0.15</v>
      </c>
      <c r="AH124"/>
      <c r="AI124">
        <v>0.02</v>
      </c>
      <c r="AJ124">
        <v>0.02</v>
      </c>
    </row>
    <row r="125" ht="25.5" customHeight="1">
      <c r="A125"/>
      <c r="B125"/>
      <c r="C125"/>
      <c r="D125"/>
      <c r="E125"/>
      <c r="F125"/>
      <c r="G125"/>
      <c r="H125"/>
      <c r="I125"/>
      <c r="J125"/>
      <c r="K125"/>
      <c r="L125"/>
      <c r="M125"/>
      <c r="N125"/>
      <c r="O125" t="inlineStr">
        <is>
          <t>0.0100</t>
        </is>
      </c>
      <c r="P125" t="inlineStr">
        <is>
          <t>0.0200</t>
        </is>
      </c>
      <c r="Q125"/>
      <c r="R125">
        <v>33.5</v>
      </c>
      <c r="S125">
        <v>26.5</v>
      </c>
      <c r="T125">
        <v>25</v>
      </c>
      <c r="U125">
        <v>2.3</v>
      </c>
      <c r="V125" t="inlineStr">
        <is>
          <t>3.7</t>
        </is>
      </c>
      <c r="W125" t="inlineStr">
        <is>
          <t>3.7</t>
        </is>
      </c>
      <c r="X125"/>
      <c r="Y125"/>
      <c r="Z125"/>
      <c r="AA125"/>
      <c r="AB125"/>
      <c r="AC125"/>
      <c r="AD125"/>
      <c r="AE125"/>
      <c r="AF125"/>
      <c r="AG125"/>
      <c r="AH125"/>
      <c r="AI125"/>
      <c r="AJ125"/>
    </row>
    <row r="126" ht="25.5" customHeight="1">
      <c r="A126" t="inlineStr">
        <is>
          <t>RS1棘轮  定39.99  25%划线价 29.99</t>
        </is>
      </c>
      <c r="B126">
        <v>8</v>
      </c>
      <c r="C126" t="inlineStr">
        <is>
          <t>西班牙</t>
        </is>
      </c>
      <c r="D126" t="inlineStr">
        <is>
          <t>ES</t>
        </is>
      </c>
      <c r="E126" t="inlineStr">
        <is>
          <t>有</t>
        </is>
      </c>
      <c r="F126" t="inlineStr">
        <is>
          <t>7.9</t>
        </is>
      </c>
      <c r="G126" t="inlineStr">
        <is>
          <t>13.0</t>
        </is>
      </c>
      <c r="H126">
        <v>24.99</v>
      </c>
      <c r="I126"/>
      <c r="J126">
        <v>3.8</v>
      </c>
      <c r="K126">
        <v>0.15</v>
      </c>
      <c r="L126">
        <v>0.16</v>
      </c>
      <c r="M126">
        <v>0.02</v>
      </c>
      <c r="N126" t="inlineStr">
        <is>
          <t>0.080</t>
        </is>
      </c>
      <c r="O126" t="inlineStr">
        <is>
          <t>0.0100</t>
        </is>
      </c>
      <c r="P126" t="inlineStr">
        <is>
          <t>0.0200</t>
        </is>
      </c>
      <c r="Q126">
        <v>2</v>
      </c>
      <c r="R126">
        <v>33.5</v>
      </c>
      <c r="S126">
        <v>26.5</v>
      </c>
      <c r="T126">
        <v>25</v>
      </c>
      <c r="U126">
        <v>2.3</v>
      </c>
      <c r="V126" t="inlineStr">
        <is>
          <t>3.7</t>
        </is>
      </c>
      <c r="W126" t="inlineStr">
        <is>
          <t>3.7</t>
        </is>
      </c>
      <c r="X126" t="inlineStr">
        <is>
          <t>海运</t>
        </is>
      </c>
      <c r="Y126">
        <v>5.55136</v>
      </c>
      <c r="Z126">
        <v>7</v>
      </c>
      <c r="AA126" t="inlineStr">
        <is>
          <t>9.319</t>
        </is>
      </c>
      <c r="AB126" t="inlineStr">
        <is>
          <t>37.29%</t>
        </is>
      </c>
      <c r="AC126"/>
      <c r="AD126" t="inlineStr">
        <is>
          <t>15.21%</t>
        </is>
      </c>
      <c r="AE126" t="inlineStr">
        <is>
          <t>0.00%</t>
        </is>
      </c>
      <c r="AF126" t="inlineStr">
        <is>
          <t>3.50%</t>
        </is>
      </c>
      <c r="AG126">
        <v>0.15</v>
      </c>
      <c r="AH126" t="inlineStr">
        <is>
          <t>8.00%</t>
        </is>
      </c>
      <c r="AI126">
        <v>0.02</v>
      </c>
      <c r="AJ126">
        <v>0.02</v>
      </c>
    </row>
    <row r="127" ht="25.5" customHeight="1">
      <c r="A127" t="inlineStr">
        <is>
          <t>RS1棘轮 （10%）coupon</t>
        </is>
      </c>
      <c r="B127">
        <v>8</v>
      </c>
      <c r="C127" t="inlineStr">
        <is>
          <t>西班牙</t>
        </is>
      </c>
      <c r="D127" t="inlineStr">
        <is>
          <t>ES</t>
        </is>
      </c>
      <c r="E127" t="inlineStr">
        <is>
          <t>有</t>
        </is>
      </c>
      <c r="F127" t="inlineStr">
        <is>
          <t>7.0</t>
        </is>
      </c>
      <c r="G127" t="inlineStr">
        <is>
          <t>10.6</t>
        </is>
      </c>
      <c r="H127"/>
      <c r="I127"/>
      <c r="J127">
        <v>3.8</v>
      </c>
      <c r="K127">
        <v>0.15</v>
      </c>
      <c r="L127">
        <v>0.16</v>
      </c>
      <c r="M127">
        <v>0.02</v>
      </c>
      <c r="N127"/>
      <c r="O127" t="inlineStr">
        <is>
          <t>0.0100</t>
        </is>
      </c>
      <c r="P127" t="inlineStr">
        <is>
          <t>0.0200</t>
        </is>
      </c>
      <c r="Q127">
        <v>2</v>
      </c>
      <c r="R127">
        <v>33.5</v>
      </c>
      <c r="S127">
        <v>26.5</v>
      </c>
      <c r="T127">
        <v>25</v>
      </c>
      <c r="U127">
        <v>2.3</v>
      </c>
      <c r="V127" t="inlineStr">
        <is>
          <t>3.7</t>
        </is>
      </c>
      <c r="W127" t="inlineStr">
        <is>
          <t>3.7</t>
        </is>
      </c>
      <c r="X127" t="inlineStr">
        <is>
          <t>海运</t>
        </is>
      </c>
      <c r="Y127">
        <v>5.55136</v>
      </c>
      <c r="Z127">
        <v>7</v>
      </c>
      <c r="AA127" t="inlineStr">
        <is>
          <t>-4.675</t>
        </is>
      </c>
      <c r="AB127"/>
      <c r="AC127"/>
      <c r="AD127"/>
      <c r="AE127"/>
      <c r="AF127"/>
      <c r="AG127">
        <v>0.15</v>
      </c>
      <c r="AH127"/>
      <c r="AI127">
        <v>0.02</v>
      </c>
      <c r="AJ127">
        <v>0.02</v>
      </c>
    </row>
    <row r="128" ht="25.5" customHeight="1">
      <c r="A128" t="inlineStr">
        <is>
          <t>RS1棘轮 （15%）coupon</t>
        </is>
      </c>
      <c r="B128">
        <v>8</v>
      </c>
      <c r="C128" t="inlineStr">
        <is>
          <t>西班牙</t>
        </is>
      </c>
      <c r="D128" t="inlineStr">
        <is>
          <t>ES</t>
        </is>
      </c>
      <c r="E128" t="inlineStr">
        <is>
          <t>有</t>
        </is>
      </c>
      <c r="F128" t="inlineStr">
        <is>
          <t>7.0</t>
        </is>
      </c>
      <c r="G128" t="inlineStr">
        <is>
          <t>10.6</t>
        </is>
      </c>
      <c r="H128"/>
      <c r="I128"/>
      <c r="J128">
        <v>3.8</v>
      </c>
      <c r="K128">
        <v>0.15</v>
      </c>
      <c r="L128">
        <v>0.16</v>
      </c>
      <c r="M128">
        <v>0.02</v>
      </c>
      <c r="N128"/>
      <c r="O128" t="inlineStr">
        <is>
          <t>0.0100</t>
        </is>
      </c>
      <c r="P128" t="inlineStr">
        <is>
          <t>0.0200</t>
        </is>
      </c>
      <c r="Q128">
        <v>2</v>
      </c>
      <c r="R128">
        <v>33.5</v>
      </c>
      <c r="S128">
        <v>26.5</v>
      </c>
      <c r="T128">
        <v>25</v>
      </c>
      <c r="U128">
        <v>2.3</v>
      </c>
      <c r="V128" t="inlineStr">
        <is>
          <t>3.7</t>
        </is>
      </c>
      <c r="W128" t="inlineStr">
        <is>
          <t>3.7</t>
        </is>
      </c>
      <c r="X128" t="inlineStr">
        <is>
          <t>海运</t>
        </is>
      </c>
      <c r="Y128">
        <v>5.55136</v>
      </c>
      <c r="Z128">
        <v>7</v>
      </c>
      <c r="AA128" t="inlineStr">
        <is>
          <t>-4.675</t>
        </is>
      </c>
      <c r="AB128"/>
      <c r="AC128"/>
      <c r="AD128"/>
      <c r="AE128"/>
      <c r="AF128"/>
      <c r="AG128">
        <v>0.15</v>
      </c>
      <c r="AH128"/>
      <c r="AI128">
        <v>0.02</v>
      </c>
      <c r="AJ128">
        <v>0.02</v>
      </c>
    </row>
    <row r="129" ht="25.5" customHeight="1">
      <c r="A129" t="inlineStr">
        <is>
          <t>RS1棘轮 （20%）PD</t>
        </is>
      </c>
      <c r="B129">
        <v>8</v>
      </c>
      <c r="C129" t="inlineStr">
        <is>
          <t>西班牙</t>
        </is>
      </c>
      <c r="D129" t="inlineStr">
        <is>
          <t>ES</t>
        </is>
      </c>
      <c r="E129" t="inlineStr">
        <is>
          <t>有</t>
        </is>
      </c>
      <c r="F129" t="inlineStr">
        <is>
          <t>7.0</t>
        </is>
      </c>
      <c r="G129" t="inlineStr">
        <is>
          <t>10.6</t>
        </is>
      </c>
      <c r="H129"/>
      <c r="I129"/>
      <c r="J129">
        <v>3.8</v>
      </c>
      <c r="K129">
        <v>0.15</v>
      </c>
      <c r="L129">
        <v>0.16</v>
      </c>
      <c r="M129">
        <v>0.02</v>
      </c>
      <c r="N129"/>
      <c r="O129" t="inlineStr">
        <is>
          <t>0.0100</t>
        </is>
      </c>
      <c r="P129" t="inlineStr">
        <is>
          <t>0.0200</t>
        </is>
      </c>
      <c r="Q129">
        <v>2</v>
      </c>
      <c r="R129">
        <v>33.5</v>
      </c>
      <c r="S129">
        <v>26.5</v>
      </c>
      <c r="T129">
        <v>25</v>
      </c>
      <c r="U129">
        <v>2.3</v>
      </c>
      <c r="V129" t="inlineStr">
        <is>
          <t>3.7</t>
        </is>
      </c>
      <c r="W129" t="inlineStr">
        <is>
          <t>3.7</t>
        </is>
      </c>
      <c r="X129" t="inlineStr">
        <is>
          <t>海运</t>
        </is>
      </c>
      <c r="Y129">
        <v>5.55136</v>
      </c>
      <c r="Z129">
        <v>7</v>
      </c>
      <c r="AA129" t="inlineStr">
        <is>
          <t>-4.675</t>
        </is>
      </c>
      <c r="AB129"/>
      <c r="AC129"/>
      <c r="AD129"/>
      <c r="AE129"/>
      <c r="AF129"/>
      <c r="AG129">
        <v>0.15</v>
      </c>
      <c r="AH129"/>
      <c r="AI129">
        <v>0.02</v>
      </c>
      <c r="AJ129">
        <v>0.02</v>
      </c>
    </row>
    <row r="130" ht="25.5" customHeight="1">
      <c r="A130"/>
      <c r="B130"/>
      <c r="C130"/>
      <c r="D130"/>
      <c r="E130"/>
      <c r="F130"/>
      <c r="G130"/>
      <c r="H130"/>
      <c r="I130"/>
      <c r="J130"/>
      <c r="K130"/>
      <c r="L130"/>
      <c r="M130"/>
      <c r="N130"/>
      <c r="O130" t="inlineStr">
        <is>
          <t>0.0100</t>
        </is>
      </c>
      <c r="P130" t="inlineStr">
        <is>
          <t>0.0200</t>
        </is>
      </c>
      <c r="Q130"/>
      <c r="R130">
        <v>33.5</v>
      </c>
      <c r="S130">
        <v>26.5</v>
      </c>
      <c r="T130">
        <v>25</v>
      </c>
      <c r="U130">
        <v>2.3</v>
      </c>
      <c r="V130" t="inlineStr">
        <is>
          <t>3.7</t>
        </is>
      </c>
      <c r="W130" t="inlineStr">
        <is>
          <t>3.7</t>
        </is>
      </c>
      <c r="X130"/>
      <c r="Y130"/>
      <c r="Z130"/>
      <c r="AA130"/>
      <c r="AB130"/>
      <c r="AC130"/>
      <c r="AD130"/>
      <c r="AE130"/>
      <c r="AF130"/>
      <c r="AG130"/>
      <c r="AH130"/>
      <c r="AI130"/>
      <c r="AJ130"/>
    </row>
    <row r="131" ht="25.5" customHeight="1">
      <c r="A131" t="inlineStr">
        <is>
          <t>RS1棘轮  定39.99  25%划线价 29.99</t>
        </is>
      </c>
      <c r="B131">
        <v>9</v>
      </c>
      <c r="C131" t="inlineStr">
        <is>
          <t>英国</t>
        </is>
      </c>
      <c r="D131" t="inlineStr">
        <is>
          <t>UK</t>
        </is>
      </c>
      <c r="E131" t="inlineStr">
        <is>
          <t>有</t>
        </is>
      </c>
      <c r="F131" t="inlineStr">
        <is>
          <t>6.8</t>
        </is>
      </c>
      <c r="G131" t="inlineStr">
        <is>
          <t>11.4</t>
        </is>
      </c>
      <c r="H131">
        <v>15.99</v>
      </c>
      <c r="I131"/>
      <c r="J131">
        <v>2.77</v>
      </c>
      <c r="K131">
        <v>0.15</v>
      </c>
      <c r="L131">
        <v>0.16</v>
      </c>
      <c r="M131">
        <v>0</v>
      </c>
      <c r="N131" t="inlineStr">
        <is>
          <t>0.125</t>
        </is>
      </c>
      <c r="O131" t="inlineStr">
        <is>
          <t>0.0100</t>
        </is>
      </c>
      <c r="P131" t="inlineStr">
        <is>
          <t>0.0200</t>
        </is>
      </c>
      <c r="Q131">
        <v>2</v>
      </c>
      <c r="R131">
        <v>33.5</v>
      </c>
      <c r="S131">
        <v>26.5</v>
      </c>
      <c r="T131">
        <v>25</v>
      </c>
      <c r="U131">
        <v>2.3</v>
      </c>
      <c r="V131" t="inlineStr">
        <is>
          <t>3.7</t>
        </is>
      </c>
      <c r="W131" t="inlineStr">
        <is>
          <t>3.7</t>
        </is>
      </c>
      <c r="X131" t="inlineStr">
        <is>
          <t>海运</t>
        </is>
      </c>
      <c r="Y131">
        <v>6.084</v>
      </c>
      <c r="Z131">
        <v>9.5</v>
      </c>
      <c r="AA131" t="inlineStr">
        <is>
          <t>4.728</t>
        </is>
      </c>
      <c r="AB131" t="inlineStr">
        <is>
          <t>29.57%</t>
        </is>
      </c>
      <c r="AC131"/>
      <c r="AD131" t="inlineStr">
        <is>
          <t>17.32%</t>
        </is>
      </c>
      <c r="AE131" t="inlineStr">
        <is>
          <t>0.00%</t>
        </is>
      </c>
      <c r="AF131" t="inlineStr">
        <is>
          <t>6.60%</t>
        </is>
      </c>
      <c r="AG131">
        <v>0.15</v>
      </c>
      <c r="AH131" t="inlineStr">
        <is>
          <t>12.51%</t>
        </is>
      </c>
      <c r="AI131">
        <v>0.02</v>
      </c>
      <c r="AJ131">
        <v>0</v>
      </c>
    </row>
    <row r="132" ht="25.5" customHeight="1">
      <c r="A132" t="inlineStr">
        <is>
          <t>RS1棘轮 （10%）coupon</t>
        </is>
      </c>
      <c r="B132">
        <v>9</v>
      </c>
      <c r="C132" t="inlineStr">
        <is>
          <t>英国</t>
        </is>
      </c>
      <c r="D132" t="inlineStr">
        <is>
          <t>UK</t>
        </is>
      </c>
      <c r="E132" t="inlineStr">
        <is>
          <t>有</t>
        </is>
      </c>
      <c r="F132" t="inlineStr">
        <is>
          <t>5.7</t>
        </is>
      </c>
      <c r="G132" t="inlineStr">
        <is>
          <t>8.7</t>
        </is>
      </c>
      <c r="H132"/>
      <c r="I132"/>
      <c r="J132">
        <v>2.77</v>
      </c>
      <c r="K132">
        <v>0.15</v>
      </c>
      <c r="L132">
        <v>0.16</v>
      </c>
      <c r="M132">
        <v>0.02</v>
      </c>
      <c r="N132"/>
      <c r="O132" t="inlineStr">
        <is>
          <t>0.0100</t>
        </is>
      </c>
      <c r="P132" t="inlineStr">
        <is>
          <t>0.0200</t>
        </is>
      </c>
      <c r="Q132">
        <v>2</v>
      </c>
      <c r="R132">
        <v>33.5</v>
      </c>
      <c r="S132">
        <v>26.5</v>
      </c>
      <c r="T132">
        <v>25</v>
      </c>
      <c r="U132">
        <v>2.3</v>
      </c>
      <c r="V132" t="inlineStr">
        <is>
          <t>3.7</t>
        </is>
      </c>
      <c r="W132" t="inlineStr">
        <is>
          <t>3.7</t>
        </is>
      </c>
      <c r="X132" t="inlineStr">
        <is>
          <t>海运</t>
        </is>
      </c>
      <c r="Y132">
        <v>6.084</v>
      </c>
      <c r="Z132">
        <v>9.5</v>
      </c>
      <c r="AA132" t="inlineStr">
        <is>
          <t>-3.826</t>
        </is>
      </c>
      <c r="AB132"/>
      <c r="AC132"/>
      <c r="AD132"/>
      <c r="AE132"/>
      <c r="AF132"/>
      <c r="AG132">
        <v>0.15</v>
      </c>
      <c r="AH132"/>
      <c r="AI132">
        <v>0.02</v>
      </c>
      <c r="AJ132">
        <v>0.02</v>
      </c>
    </row>
    <row r="133" ht="25.5" customHeight="1">
      <c r="A133" t="inlineStr">
        <is>
          <t>RS1棘轮 （15%）coupon</t>
        </is>
      </c>
      <c r="B133">
        <v>9</v>
      </c>
      <c r="C133" t="inlineStr">
        <is>
          <t>英国</t>
        </is>
      </c>
      <c r="D133" t="inlineStr">
        <is>
          <t>UK</t>
        </is>
      </c>
      <c r="E133" t="inlineStr">
        <is>
          <t>有</t>
        </is>
      </c>
      <c r="F133" t="inlineStr">
        <is>
          <t>5.7</t>
        </is>
      </c>
      <c r="G133" t="inlineStr">
        <is>
          <t>8.7</t>
        </is>
      </c>
      <c r="H133"/>
      <c r="I133"/>
      <c r="J133">
        <v>2.77</v>
      </c>
      <c r="K133">
        <v>0.15</v>
      </c>
      <c r="L133">
        <v>0.16</v>
      </c>
      <c r="M133">
        <v>0.02</v>
      </c>
      <c r="N133"/>
      <c r="O133" t="inlineStr">
        <is>
          <t>0.0100</t>
        </is>
      </c>
      <c r="P133" t="inlineStr">
        <is>
          <t>0.0200</t>
        </is>
      </c>
      <c r="Q133">
        <v>2</v>
      </c>
      <c r="R133">
        <v>33.5</v>
      </c>
      <c r="S133">
        <v>26.5</v>
      </c>
      <c r="T133">
        <v>25</v>
      </c>
      <c r="U133">
        <v>2.3</v>
      </c>
      <c r="V133" t="inlineStr">
        <is>
          <t>3.7</t>
        </is>
      </c>
      <c r="W133" t="inlineStr">
        <is>
          <t>3.7</t>
        </is>
      </c>
      <c r="X133" t="inlineStr">
        <is>
          <t>海运</t>
        </is>
      </c>
      <c r="Y133">
        <v>6.084</v>
      </c>
      <c r="Z133">
        <v>9.5</v>
      </c>
      <c r="AA133" t="inlineStr">
        <is>
          <t>-3.826</t>
        </is>
      </c>
      <c r="AB133"/>
      <c r="AC133"/>
      <c r="AD133"/>
      <c r="AE133"/>
      <c r="AF133"/>
      <c r="AG133">
        <v>0.15</v>
      </c>
      <c r="AH133"/>
      <c r="AI133">
        <v>0.02</v>
      </c>
      <c r="AJ133">
        <v>0.02</v>
      </c>
    </row>
    <row r="134" ht="25.5" customHeight="1">
      <c r="A134" t="inlineStr">
        <is>
          <t>RS1棘轮 （20%）PD</t>
        </is>
      </c>
      <c r="B134">
        <v>9</v>
      </c>
      <c r="C134" t="inlineStr">
        <is>
          <t>英国</t>
        </is>
      </c>
      <c r="D134" t="inlineStr">
        <is>
          <t>UK</t>
        </is>
      </c>
      <c r="E134" t="inlineStr">
        <is>
          <t>有</t>
        </is>
      </c>
      <c r="F134" t="inlineStr">
        <is>
          <t>5.7</t>
        </is>
      </c>
      <c r="G134" t="inlineStr">
        <is>
          <t>8.7</t>
        </is>
      </c>
      <c r="H134"/>
      <c r="I134"/>
      <c r="J134">
        <v>2.77</v>
      </c>
      <c r="K134">
        <v>0.15</v>
      </c>
      <c r="L134">
        <v>0.16</v>
      </c>
      <c r="M134">
        <v>0.02</v>
      </c>
      <c r="N134"/>
      <c r="O134" t="inlineStr">
        <is>
          <t>0.0100</t>
        </is>
      </c>
      <c r="P134" t="inlineStr">
        <is>
          <t>0.0200</t>
        </is>
      </c>
      <c r="Q134">
        <v>2</v>
      </c>
      <c r="R134">
        <v>33.5</v>
      </c>
      <c r="S134">
        <v>26.5</v>
      </c>
      <c r="T134">
        <v>25</v>
      </c>
      <c r="U134">
        <v>2.3</v>
      </c>
      <c r="V134" t="inlineStr">
        <is>
          <t>3.7</t>
        </is>
      </c>
      <c r="W134" t="inlineStr">
        <is>
          <t>3.7</t>
        </is>
      </c>
      <c r="X134" t="inlineStr">
        <is>
          <t>海运</t>
        </is>
      </c>
      <c r="Y134">
        <v>6.084</v>
      </c>
      <c r="Z134">
        <v>9.5</v>
      </c>
      <c r="AA134" t="inlineStr">
        <is>
          <t>-3.826</t>
        </is>
      </c>
      <c r="AB134"/>
      <c r="AC134"/>
      <c r="AD134"/>
      <c r="AE134"/>
      <c r="AF134"/>
      <c r="AG134">
        <v>0.15</v>
      </c>
      <c r="AH134"/>
      <c r="AI134">
        <v>0.02</v>
      </c>
      <c r="AJ134">
        <v>0.02</v>
      </c>
    </row>
    <row r="135" ht="25.5" customHeight="1">
      <c r="A135"/>
      <c r="B135"/>
      <c r="C135"/>
      <c r="D135"/>
      <c r="E135"/>
      <c r="F135"/>
      <c r="G135"/>
      <c r="H135"/>
      <c r="I135"/>
      <c r="J135"/>
      <c r="K135"/>
      <c r="L135"/>
      <c r="M135"/>
      <c r="N135"/>
      <c r="O135" t="inlineStr">
        <is>
          <t>0.0100</t>
        </is>
      </c>
      <c r="P135" t="inlineStr">
        <is>
          <t>0.0200</t>
        </is>
      </c>
      <c r="Q135"/>
      <c r="R135"/>
      <c r="S135"/>
      <c r="T135"/>
      <c r="U135"/>
      <c r="V135" t="inlineStr">
        <is>
          <t>0.0</t>
        </is>
      </c>
      <c r="W135" t="inlineStr">
        <is>
          <t>0.0</t>
        </is>
      </c>
      <c r="X135"/>
      <c r="Y135"/>
      <c r="Z135"/>
      <c r="AA135"/>
      <c r="AB135"/>
      <c r="AC135"/>
      <c r="AD135"/>
      <c r="AE135"/>
      <c r="AF135"/>
      <c r="AG135"/>
      <c r="AH135"/>
      <c r="AI135"/>
      <c r="AJ135"/>
    </row>
    <row r="136" ht="25.5" customHeight="1">
      <c r="A136" t="inlineStr">
        <is>
          <t>杆式- 吸尘器德国日常价走海运</t>
        </is>
      </c>
      <c r="B136">
        <v>7.5</v>
      </c>
      <c r="C136" t="inlineStr">
        <is>
          <t>德国</t>
        </is>
      </c>
      <c r="D136" t="inlineStr">
        <is>
          <t>DE</t>
        </is>
      </c>
      <c r="E136" t="inlineStr">
        <is>
          <t>有</t>
        </is>
      </c>
      <c r="F136" t="inlineStr">
        <is>
          <t>9.5</t>
        </is>
      </c>
      <c r="G136" t="inlineStr">
        <is>
          <t>15.4</t>
        </is>
      </c>
      <c r="H136">
        <v>159.99</v>
      </c>
      <c r="I136"/>
      <c r="J136">
        <v>5.69</v>
      </c>
      <c r="K136">
        <v>0.15</v>
      </c>
      <c r="L136">
        <v>0.16</v>
      </c>
      <c r="M136">
        <v>0.09</v>
      </c>
      <c r="N136" t="inlineStr">
        <is>
          <t>0.000</t>
        </is>
      </c>
      <c r="O136" t="inlineStr">
        <is>
          <t>0.0100</t>
        </is>
      </c>
      <c r="P136" t="inlineStr">
        <is>
          <t>0.0200</t>
        </is>
      </c>
      <c r="Q136"/>
      <c r="R136">
        <v>38.5</v>
      </c>
      <c r="S136">
        <v>32.5</v>
      </c>
      <c r="T136">
        <v>18.3</v>
      </c>
      <c r="U136">
        <v>2.3</v>
      </c>
      <c r="V136" t="inlineStr">
        <is>
          <t>3.8</t>
        </is>
      </c>
      <c r="W136" t="inlineStr">
        <is>
          <t>3.8</t>
        </is>
      </c>
      <c r="X136" t="inlineStr">
        <is>
          <t>海运</t>
        </is>
      </c>
      <c r="Y136">
        <v>6.6317</v>
      </c>
      <c r="Z136"/>
      <c r="AA136" t="inlineStr">
        <is>
          <t>85.504</t>
        </is>
      </c>
      <c r="AB136" t="inlineStr">
        <is>
          <t>53.44%</t>
        </is>
      </c>
      <c r="AC136"/>
      <c r="AD136" t="inlineStr">
        <is>
          <t>3.56%</t>
        </is>
      </c>
      <c r="AE136" t="inlineStr">
        <is>
          <t>0.00%</t>
        </is>
      </c>
      <c r="AF136" t="inlineStr">
        <is>
          <t>0.00%</t>
        </is>
      </c>
      <c r="AG136">
        <v>0.15</v>
      </c>
      <c r="AH136" t="inlineStr">
        <is>
          <t>0.00%</t>
        </is>
      </c>
      <c r="AI136">
        <v>0.02</v>
      </c>
      <c r="AJ136">
        <v>0.09</v>
      </c>
    </row>
    <row r="137" ht="25.5" customHeight="1">
      <c r="A137" t="inlineStr">
        <is>
          <t>杆式-吸尘器英国日常价走海运</t>
        </is>
      </c>
      <c r="B137">
        <v>9</v>
      </c>
      <c r="C137" t="inlineStr">
        <is>
          <t>英国</t>
        </is>
      </c>
      <c r="D137" t="inlineStr">
        <is>
          <t>UK</t>
        </is>
      </c>
      <c r="E137" t="inlineStr">
        <is>
          <t>有</t>
        </is>
      </c>
      <c r="F137" t="inlineStr">
        <is>
          <t>8.7</t>
        </is>
      </c>
      <c r="G137" t="inlineStr">
        <is>
          <t>14.0</t>
        </is>
      </c>
      <c r="H137">
        <v>149.99</v>
      </c>
      <c r="I137"/>
      <c r="J137">
        <v>5.19</v>
      </c>
      <c r="K137">
        <v>0.15</v>
      </c>
      <c r="L137">
        <v>0.16</v>
      </c>
      <c r="M137">
        <v>0.09</v>
      </c>
      <c r="N137" t="inlineStr">
        <is>
          <t>0.000</t>
        </is>
      </c>
      <c r="O137" t="inlineStr">
        <is>
          <t>0.0100</t>
        </is>
      </c>
      <c r="P137" t="inlineStr">
        <is>
          <t>0.0200</t>
        </is>
      </c>
      <c r="Q137"/>
      <c r="R137">
        <v>38.5</v>
      </c>
      <c r="S137">
        <v>32.5</v>
      </c>
      <c r="T137">
        <v>18.3</v>
      </c>
      <c r="U137">
        <v>2.3</v>
      </c>
      <c r="V137" t="inlineStr">
        <is>
          <t>3.8</t>
        </is>
      </c>
      <c r="W137" t="inlineStr">
        <is>
          <t>3.8</t>
        </is>
      </c>
      <c r="X137" t="inlineStr">
        <is>
          <t>海运</t>
        </is>
      </c>
      <c r="Y137">
        <v>6.6317</v>
      </c>
      <c r="Z137"/>
      <c r="AA137" t="inlineStr">
        <is>
          <t>80.304</t>
        </is>
      </c>
      <c r="AB137" t="inlineStr">
        <is>
          <t>53.54%</t>
        </is>
      </c>
      <c r="AC137"/>
      <c r="AD137" t="inlineStr">
        <is>
          <t>3.46%</t>
        </is>
      </c>
      <c r="AE137" t="inlineStr">
        <is>
          <t>0.00%</t>
        </is>
      </c>
      <c r="AF137" t="inlineStr">
        <is>
          <t>0.00%</t>
        </is>
      </c>
      <c r="AG137">
        <v>0.15</v>
      </c>
      <c r="AH137" t="inlineStr">
        <is>
          <t>0.00%</t>
        </is>
      </c>
      <c r="AI137">
        <v>0.02</v>
      </c>
      <c r="AJ137">
        <v>0.09</v>
      </c>
    </row>
    <row r="138" ht="25.5" customHeight="1">
      <c r="A138"/>
      <c r="B138"/>
      <c r="C138"/>
      <c r="D138"/>
      <c r="E138"/>
      <c r="F138"/>
      <c r="G138"/>
      <c r="H138"/>
      <c r="I138"/>
      <c r="J138"/>
      <c r="K138"/>
      <c r="L138"/>
      <c r="M138"/>
      <c r="N138"/>
      <c r="O138" t="inlineStr">
        <is>
          <t>0.0100</t>
        </is>
      </c>
      <c r="P138" t="inlineStr">
        <is>
          <t>0.0200</t>
        </is>
      </c>
      <c r="Q138"/>
      <c r="R138"/>
      <c r="S138"/>
      <c r="T138"/>
      <c r="U138"/>
      <c r="V138" t="inlineStr">
        <is>
          <t>0.0</t>
        </is>
      </c>
      <c r="W138" t="inlineStr">
        <is>
          <t>0.0</t>
        </is>
      </c>
      <c r="X138"/>
      <c r="Y138"/>
      <c r="Z138"/>
      <c r="AA138"/>
      <c r="AB138"/>
      <c r="AC138"/>
      <c r="AD138"/>
      <c r="AE138"/>
      <c r="AF138"/>
      <c r="AG138"/>
      <c r="AH138"/>
      <c r="AI138"/>
      <c r="AJ138"/>
    </row>
    <row r="139" ht="25.5" customHeight="1">
      <c r="A139"/>
      <c r="B139"/>
      <c r="C139"/>
      <c r="D139"/>
      <c r="E139"/>
      <c r="F139"/>
      <c r="G139"/>
      <c r="H139"/>
      <c r="I139"/>
      <c r="J139"/>
      <c r="K139"/>
      <c r="L139"/>
      <c r="M139"/>
      <c r="N139"/>
      <c r="O139" t="inlineStr">
        <is>
          <t>0.0100</t>
        </is>
      </c>
      <c r="P139" t="inlineStr">
        <is>
          <t>0.0200</t>
        </is>
      </c>
      <c r="Q139"/>
      <c r="R139"/>
      <c r="S139"/>
      <c r="T139"/>
      <c r="U139"/>
      <c r="V139" t="inlineStr">
        <is>
          <t>0.0</t>
        </is>
      </c>
      <c r="W139" t="inlineStr">
        <is>
          <t>0.0</t>
        </is>
      </c>
      <c r="X139"/>
      <c r="Y139"/>
      <c r="Z139"/>
      <c r="AA139"/>
      <c r="AB139"/>
      <c r="AC139"/>
      <c r="AD139"/>
      <c r="AE139"/>
      <c r="AF139"/>
      <c r="AG139"/>
      <c r="AH139"/>
      <c r="AI139"/>
      <c r="AJ139"/>
    </row>
    <row r="140" ht="25.5" customHeight="1">
      <c r="A140" t="inlineStr">
        <is>
          <t>空净250德国日常价走海运129.99</t>
        </is>
      </c>
      <c r="B140">
        <v>7.4</v>
      </c>
      <c r="C140" t="inlineStr">
        <is>
          <t>德国</t>
        </is>
      </c>
      <c r="D140" t="inlineStr">
        <is>
          <t>DE</t>
        </is>
      </c>
      <c r="E140" t="inlineStr">
        <is>
          <t>有</t>
        </is>
      </c>
      <c r="F140" t="inlineStr">
        <is>
          <t>21.1</t>
        </is>
      </c>
      <c r="G140" t="inlineStr">
        <is>
          <t>38.8</t>
        </is>
      </c>
      <c r="H140">
        <v>129.99</v>
      </c>
      <c r="I140"/>
      <c r="J140">
        <v>6.89</v>
      </c>
      <c r="K140">
        <v>0.15</v>
      </c>
      <c r="L140">
        <v>0.16</v>
      </c>
      <c r="M140">
        <v>0.07</v>
      </c>
      <c r="N140" t="inlineStr">
        <is>
          <t>0.115</t>
        </is>
      </c>
      <c r="O140" t="inlineStr">
        <is>
          <t>0.0100</t>
        </is>
      </c>
      <c r="P140" t="inlineStr">
        <is>
          <t>0.0200</t>
        </is>
      </c>
      <c r="Q140">
        <v>15</v>
      </c>
      <c r="R140">
        <v>43.5</v>
      </c>
      <c r="S140">
        <v>34</v>
      </c>
      <c r="T140">
        <v>19</v>
      </c>
      <c r="U140">
        <v>4</v>
      </c>
      <c r="V140" t="inlineStr">
        <is>
          <t>4.7</t>
        </is>
      </c>
      <c r="W140" t="inlineStr">
        <is>
          <t>4.7</t>
        </is>
      </c>
      <c r="X140" t="inlineStr">
        <is>
          <t>海运</t>
        </is>
      </c>
      <c r="Y140">
        <v>6.6317</v>
      </c>
      <c r="Z140">
        <v>27.9</v>
      </c>
      <c r="AA140" t="inlineStr">
        <is>
          <t>51.034</t>
        </is>
      </c>
      <c r="AB140" t="inlineStr">
        <is>
          <t>39.26%</t>
        </is>
      </c>
      <c r="AC140"/>
      <c r="AD140" t="inlineStr">
        <is>
          <t>5.30%</t>
        </is>
      </c>
      <c r="AE140" t="inlineStr">
        <is>
          <t>0.00%</t>
        </is>
      </c>
      <c r="AF140" t="inlineStr">
        <is>
          <t>2.90%</t>
        </is>
      </c>
      <c r="AG140">
        <v>0.15</v>
      </c>
      <c r="AH140" t="inlineStr">
        <is>
          <t>11.54%</t>
        </is>
      </c>
      <c r="AI140">
        <v>0.02</v>
      </c>
      <c r="AJ140">
        <v>0.07</v>
      </c>
    </row>
    <row r="141" ht="25.5" customHeight="1">
      <c r="A141" t="inlineStr">
        <is>
          <t>空净250英国日常价走海运119.99</t>
        </is>
      </c>
      <c r="B141">
        <v>9</v>
      </c>
      <c r="C141" t="inlineStr">
        <is>
          <t>英国</t>
        </is>
      </c>
      <c r="D141" t="inlineStr">
        <is>
          <t>UK</t>
        </is>
      </c>
      <c r="E141" t="inlineStr">
        <is>
          <t>有</t>
        </is>
      </c>
      <c r="F141" t="inlineStr">
        <is>
          <t>19.4</t>
        </is>
      </c>
      <c r="G141" t="inlineStr">
        <is>
          <t>35.1</t>
        </is>
      </c>
      <c r="H141">
        <v>119.99</v>
      </c>
      <c r="I141"/>
      <c r="J141">
        <v>6.89</v>
      </c>
      <c r="K141">
        <v>0.15</v>
      </c>
      <c r="L141">
        <v>0.16</v>
      </c>
      <c r="M141">
        <v>0.05</v>
      </c>
      <c r="N141" t="inlineStr">
        <is>
          <t>0.125</t>
        </is>
      </c>
      <c r="O141" t="inlineStr">
        <is>
          <t>0.0100</t>
        </is>
      </c>
      <c r="P141" t="inlineStr">
        <is>
          <t>0.0200</t>
        </is>
      </c>
      <c r="Q141">
        <v>15</v>
      </c>
      <c r="R141">
        <v>43.5</v>
      </c>
      <c r="S141">
        <v>34</v>
      </c>
      <c r="T141">
        <v>19</v>
      </c>
      <c r="U141">
        <v>4</v>
      </c>
      <c r="V141" t="inlineStr">
        <is>
          <t>4.7</t>
        </is>
      </c>
      <c r="W141" t="inlineStr">
        <is>
          <t>4.7</t>
        </is>
      </c>
      <c r="X141" t="inlineStr">
        <is>
          <t>海运</t>
        </is>
      </c>
      <c r="Y141">
        <v>6.6317</v>
      </c>
      <c r="Z141">
        <v>27.9</v>
      </c>
      <c r="AA141" t="inlineStr">
        <is>
          <t>48.204</t>
        </is>
      </c>
      <c r="AB141" t="inlineStr">
        <is>
          <t>40.17%</t>
        </is>
      </c>
      <c r="AC141"/>
      <c r="AD141" t="inlineStr">
        <is>
          <t>5.74%</t>
        </is>
      </c>
      <c r="AE141" t="inlineStr">
        <is>
          <t>0.00%</t>
        </is>
      </c>
      <c r="AF141" t="inlineStr">
        <is>
          <t>2.58%</t>
        </is>
      </c>
      <c r="AG141">
        <v>0.15</v>
      </c>
      <c r="AH141" t="inlineStr">
        <is>
          <t>12.50%</t>
        </is>
      </c>
      <c r="AI141">
        <v>0.02</v>
      </c>
      <c r="AJ141">
        <v>0.05</v>
      </c>
    </row>
    <row r="142" ht="25.5" customHeight="1">
      <c r="A142"/>
      <c r="B142"/>
      <c r="C142"/>
      <c r="D142"/>
      <c r="E142"/>
      <c r="F142"/>
      <c r="G142"/>
      <c r="H142"/>
      <c r="I142"/>
      <c r="J142"/>
      <c r="K142"/>
      <c r="L142"/>
      <c r="M142"/>
      <c r="N142"/>
      <c r="O142" t="inlineStr">
        <is>
          <t>0.0100</t>
        </is>
      </c>
      <c r="P142" t="inlineStr">
        <is>
          <t>0.0200</t>
        </is>
      </c>
      <c r="Q142"/>
      <c r="R142"/>
      <c r="S142"/>
      <c r="T142"/>
      <c r="U142"/>
      <c r="V142" t="inlineStr">
        <is>
          <t>0.0</t>
        </is>
      </c>
      <c r="W142" t="inlineStr">
        <is>
          <t>0.0</t>
        </is>
      </c>
      <c r="X142"/>
      <c r="Y142"/>
      <c r="Z142"/>
      <c r="AA142"/>
      <c r="AB142"/>
      <c r="AC142"/>
      <c r="AD142"/>
      <c r="AE142"/>
      <c r="AF142"/>
      <c r="AG142"/>
      <c r="AH142"/>
      <c r="AI142"/>
      <c r="AJ142"/>
    </row>
    <row r="143" ht="25.5" customHeight="1">
      <c r="A143" t="inlineStr">
        <is>
          <t>空净330德国日常价走海运129.99</t>
        </is>
      </c>
      <c r="B143">
        <v>7.4</v>
      </c>
      <c r="C143" t="inlineStr">
        <is>
          <t>德国</t>
        </is>
      </c>
      <c r="D143" t="inlineStr">
        <is>
          <t>DE</t>
        </is>
      </c>
      <c r="E143" t="inlineStr">
        <is>
          <t>有</t>
        </is>
      </c>
      <c r="F143" t="inlineStr">
        <is>
          <t>15.3</t>
        </is>
      </c>
      <c r="G143" t="inlineStr">
        <is>
          <t>24.3</t>
        </is>
      </c>
      <c r="H143">
        <v>129.99</v>
      </c>
      <c r="I143"/>
      <c r="J143">
        <v>5.69</v>
      </c>
      <c r="K143">
        <v>0.15</v>
      </c>
      <c r="L143">
        <v>0.16</v>
      </c>
      <c r="M143">
        <v>0.07</v>
      </c>
      <c r="N143" t="inlineStr">
        <is>
          <t>0.000</t>
        </is>
      </c>
      <c r="O143" t="inlineStr">
        <is>
          <t>0.0100</t>
        </is>
      </c>
      <c r="P143" t="inlineStr">
        <is>
          <t>0.0200</t>
        </is>
      </c>
      <c r="Q143"/>
      <c r="R143">
        <v>43.5</v>
      </c>
      <c r="S143">
        <v>32.3</v>
      </c>
      <c r="T143">
        <v>19</v>
      </c>
      <c r="U143">
        <v>3.05</v>
      </c>
      <c r="V143" t="inlineStr">
        <is>
          <t>4.4</t>
        </is>
      </c>
      <c r="W143" t="inlineStr">
        <is>
          <t>4.4</t>
        </is>
      </c>
      <c r="X143" t="inlineStr">
        <is>
          <t>海运</t>
        </is>
      </c>
      <c r="Y143">
        <v>6.6317</v>
      </c>
      <c r="Z143">
        <v>27.9</v>
      </c>
      <c r="AA143" t="inlineStr">
        <is>
          <t>67.234</t>
        </is>
      </c>
      <c r="AB143" t="inlineStr">
        <is>
          <t>51.72%</t>
        </is>
      </c>
      <c r="AC143"/>
      <c r="AD143" t="inlineStr">
        <is>
          <t>4.38%</t>
        </is>
      </c>
      <c r="AE143" t="inlineStr">
        <is>
          <t>0.00%</t>
        </is>
      </c>
      <c r="AF143" t="inlineStr">
        <is>
          <t>2.90%</t>
        </is>
      </c>
      <c r="AG143">
        <v>0.15</v>
      </c>
      <c r="AH143" t="inlineStr">
        <is>
          <t>0.00%</t>
        </is>
      </c>
      <c r="AI143">
        <v>0.02</v>
      </c>
      <c r="AJ143">
        <v>0.07</v>
      </c>
    </row>
    <row r="144" ht="25.5" customHeight="1">
      <c r="A144" t="inlineStr">
        <is>
          <t>空净330英国日常价走海运119.99</t>
        </is>
      </c>
      <c r="B144">
        <v>9</v>
      </c>
      <c r="C144" t="inlineStr">
        <is>
          <t>英国</t>
        </is>
      </c>
      <c r="D144" t="inlineStr">
        <is>
          <t>UK</t>
        </is>
      </c>
      <c r="E144" t="inlineStr">
        <is>
          <t>有</t>
        </is>
      </c>
      <c r="F144" t="inlineStr">
        <is>
          <t>13.0</t>
        </is>
      </c>
      <c r="G144" t="inlineStr">
        <is>
          <t>20.2</t>
        </is>
      </c>
      <c r="H144">
        <v>119.99</v>
      </c>
      <c r="I144"/>
      <c r="J144">
        <v>5.19</v>
      </c>
      <c r="K144">
        <v>0.15</v>
      </c>
      <c r="L144">
        <v>0.16</v>
      </c>
      <c r="M144">
        <v>0.05</v>
      </c>
      <c r="N144" t="inlineStr">
        <is>
          <t>0.000</t>
        </is>
      </c>
      <c r="O144" t="inlineStr">
        <is>
          <t>0.0100</t>
        </is>
      </c>
      <c r="P144" t="inlineStr">
        <is>
          <t>0.0200</t>
        </is>
      </c>
      <c r="Q144"/>
      <c r="R144">
        <v>43.5</v>
      </c>
      <c r="S144">
        <v>32.3</v>
      </c>
      <c r="T144">
        <v>19</v>
      </c>
      <c r="U144">
        <v>3.05</v>
      </c>
      <c r="V144" t="inlineStr">
        <is>
          <t>4.4</t>
        </is>
      </c>
      <c r="W144" t="inlineStr">
        <is>
          <t>4.4</t>
        </is>
      </c>
      <c r="X144" t="inlineStr">
        <is>
          <t>海运</t>
        </is>
      </c>
      <c r="Y144">
        <v>6.6317</v>
      </c>
      <c r="Z144">
        <v>27.9</v>
      </c>
      <c r="AA144" t="inlineStr">
        <is>
          <t>64.904</t>
        </is>
      </c>
      <c r="AB144" t="inlineStr">
        <is>
          <t>54.09%</t>
        </is>
      </c>
      <c r="AC144"/>
      <c r="AD144" t="inlineStr">
        <is>
          <t>4.33%</t>
        </is>
      </c>
      <c r="AE144" t="inlineStr">
        <is>
          <t>0.00%</t>
        </is>
      </c>
      <c r="AF144" t="inlineStr">
        <is>
          <t>2.58%</t>
        </is>
      </c>
      <c r="AG144">
        <v>0.15</v>
      </c>
      <c r="AH144" t="inlineStr">
        <is>
          <t>0.00%</t>
        </is>
      </c>
      <c r="AI144">
        <v>0.02</v>
      </c>
      <c r="AJ144">
        <v>0.05</v>
      </c>
    </row>
    <row r="145" ht="25.5" customHeight="1">
      <c r="A145"/>
      <c r="B145"/>
      <c r="C145"/>
      <c r="D145"/>
      <c r="E145"/>
      <c r="F145"/>
      <c r="G145"/>
      <c r="H145"/>
      <c r="I145"/>
      <c r="J145"/>
      <c r="K145"/>
      <c r="L145"/>
      <c r="M145"/>
      <c r="N145"/>
      <c r="O145" t="inlineStr">
        <is>
          <t>0.0100</t>
        </is>
      </c>
      <c r="P145" t="inlineStr">
        <is>
          <t>0.0200</t>
        </is>
      </c>
      <c r="Q145"/>
      <c r="R145"/>
      <c r="S145"/>
      <c r="T145"/>
      <c r="U145"/>
      <c r="V145" t="inlineStr">
        <is>
          <t>0.0</t>
        </is>
      </c>
      <c r="W145" t="inlineStr">
        <is>
          <t>0.0</t>
        </is>
      </c>
      <c r="X145"/>
      <c r="Y145"/>
      <c r="Z145"/>
      <c r="AA145"/>
      <c r="AB145"/>
      <c r="AC145"/>
      <c r="AD145"/>
      <c r="AE145"/>
      <c r="AF145"/>
      <c r="AG145"/>
      <c r="AH145"/>
      <c r="AI145"/>
      <c r="AJ145"/>
    </row>
    <row r="146" ht="25.5" customHeight="1">
      <c r="A146" t="inlineStr">
        <is>
          <t>空净AP100A(划线价59.99）</t>
        </is>
      </c>
      <c r="B146">
        <v>7</v>
      </c>
      <c r="C146" t="inlineStr">
        <is>
          <t>德国</t>
        </is>
      </c>
      <c r="D146" t="inlineStr">
        <is>
          <t>US</t>
        </is>
      </c>
      <c r="E146" t="inlineStr">
        <is>
          <t>无</t>
        </is>
      </c>
      <c r="F146" t="inlineStr">
        <is>
          <t>16.2</t>
        </is>
      </c>
      <c r="G146" t="inlineStr">
        <is>
          <t>25.3</t>
        </is>
      </c>
      <c r="H146">
        <v>49.99</v>
      </c>
      <c r="I146"/>
      <c r="J146">
        <v>8.1</v>
      </c>
      <c r="K146">
        <v>0.15</v>
      </c>
      <c r="L146">
        <v>0</v>
      </c>
      <c r="M146">
        <v>0.05</v>
      </c>
      <c r="N146" t="inlineStr">
        <is>
          <t>0.160</t>
        </is>
      </c>
      <c r="O146" t="inlineStr">
        <is>
          <t>0.0100</t>
        </is>
      </c>
      <c r="P146" t="inlineStr">
        <is>
          <t>0.0200</t>
        </is>
      </c>
      <c r="Q146">
        <v>8</v>
      </c>
      <c r="R146">
        <v>32</v>
      </c>
      <c r="S146">
        <v>17.3</v>
      </c>
      <c r="T146">
        <v>17.3</v>
      </c>
      <c r="U146">
        <v>1.6</v>
      </c>
      <c r="V146" t="inlineStr">
        <is>
          <t>1.6</t>
        </is>
      </c>
      <c r="W146" t="inlineStr">
        <is>
          <t>1.6</t>
        </is>
      </c>
      <c r="X146" t="inlineStr">
        <is>
          <t>海运</t>
        </is>
      </c>
      <c r="Y146">
        <v>6.6317</v>
      </c>
      <c r="Z146">
        <v>16</v>
      </c>
      <c r="AA146" t="inlineStr">
        <is>
          <t>20.107</t>
        </is>
      </c>
      <c r="AB146" t="inlineStr">
        <is>
          <t>40.22%</t>
        </is>
      </c>
      <c r="AC146"/>
      <c r="AD146" t="inlineStr">
        <is>
          <t>16.20%</t>
        </is>
      </c>
      <c r="AE146" t="inlineStr">
        <is>
          <t>0.00%</t>
        </is>
      </c>
      <c r="AF146" t="inlineStr">
        <is>
          <t>4.57%</t>
        </is>
      </c>
      <c r="AG146">
        <v>0.15</v>
      </c>
      <c r="AH146" t="inlineStr">
        <is>
          <t>16.00%</t>
        </is>
      </c>
      <c r="AI146">
        <v>0.02</v>
      </c>
      <c r="AJ146">
        <v>0.05</v>
      </c>
    </row>
    <row r="147" ht="25.5" customHeight="1">
      <c r="A147" t="inlineStr">
        <is>
          <t>空净AP100A(coupon-10%）</t>
        </is>
      </c>
      <c r="B147">
        <v>7</v>
      </c>
      <c r="C147" t="inlineStr">
        <is>
          <t>德国</t>
        </is>
      </c>
      <c r="D147" t="inlineStr">
        <is>
          <t>US</t>
        </is>
      </c>
      <c r="E147" t="inlineStr">
        <is>
          <t>无</t>
        </is>
      </c>
      <c r="F147" t="inlineStr">
        <is>
          <t>13.0</t>
        </is>
      </c>
      <c r="G147" t="inlineStr">
        <is>
          <t>18.2</t>
        </is>
      </c>
      <c r="H147"/>
      <c r="I147"/>
      <c r="J147">
        <v>8.1</v>
      </c>
      <c r="K147">
        <v>0.15</v>
      </c>
      <c r="L147">
        <v>0</v>
      </c>
      <c r="M147">
        <v>0.05</v>
      </c>
      <c r="N147"/>
      <c r="O147" t="inlineStr">
        <is>
          <t>0.0100</t>
        </is>
      </c>
      <c r="P147" t="inlineStr">
        <is>
          <t>0.0200</t>
        </is>
      </c>
      <c r="Q147">
        <v>8</v>
      </c>
      <c r="R147">
        <v>32</v>
      </c>
      <c r="S147">
        <v>17.3</v>
      </c>
      <c r="T147">
        <v>17.3</v>
      </c>
      <c r="U147">
        <v>1.6</v>
      </c>
      <c r="V147" t="inlineStr">
        <is>
          <t>1.6</t>
        </is>
      </c>
      <c r="W147" t="inlineStr">
        <is>
          <t>1.6</t>
        </is>
      </c>
      <c r="X147" t="inlineStr">
        <is>
          <t>海运</t>
        </is>
      </c>
      <c r="Y147">
        <v>6.6317</v>
      </c>
      <c r="Z147">
        <v>16</v>
      </c>
      <c r="AA147" t="inlineStr">
        <is>
          <t>-10.386</t>
        </is>
      </c>
      <c r="AB147"/>
      <c r="AC147"/>
      <c r="AD147"/>
      <c r="AE147"/>
      <c r="AF147"/>
      <c r="AG147">
        <v>0.15</v>
      </c>
      <c r="AH147"/>
      <c r="AI147">
        <v>0.02</v>
      </c>
      <c r="AJ147">
        <v>0.05</v>
      </c>
    </row>
    <row r="148" ht="25.5" customHeight="1">
      <c r="A148" t="inlineStr">
        <is>
          <t>空净AP100A(coupon-20%）</t>
        </is>
      </c>
      <c r="B148">
        <v>7</v>
      </c>
      <c r="C148" t="inlineStr">
        <is>
          <t>德国</t>
        </is>
      </c>
      <c r="D148" t="inlineStr">
        <is>
          <t>US</t>
        </is>
      </c>
      <c r="E148" t="inlineStr">
        <is>
          <t>无</t>
        </is>
      </c>
      <c r="F148" t="inlineStr">
        <is>
          <t>13.0</t>
        </is>
      </c>
      <c r="G148" t="inlineStr">
        <is>
          <t>18.2</t>
        </is>
      </c>
      <c r="H148"/>
      <c r="I148"/>
      <c r="J148">
        <v>8.1</v>
      </c>
      <c r="K148">
        <v>0.15</v>
      </c>
      <c r="L148">
        <v>0</v>
      </c>
      <c r="M148">
        <v>0.05</v>
      </c>
      <c r="N148"/>
      <c r="O148" t="inlineStr">
        <is>
          <t>0.0100</t>
        </is>
      </c>
      <c r="P148" t="inlineStr">
        <is>
          <t>0.0200</t>
        </is>
      </c>
      <c r="Q148">
        <v>8</v>
      </c>
      <c r="R148">
        <v>32</v>
      </c>
      <c r="S148">
        <v>17.3</v>
      </c>
      <c r="T148">
        <v>17.3</v>
      </c>
      <c r="U148">
        <v>1.6</v>
      </c>
      <c r="V148" t="inlineStr">
        <is>
          <t>1.6</t>
        </is>
      </c>
      <c r="W148" t="inlineStr">
        <is>
          <t>1.6</t>
        </is>
      </c>
      <c r="X148" t="inlineStr">
        <is>
          <t>海运</t>
        </is>
      </c>
      <c r="Y148">
        <v>6.6317</v>
      </c>
      <c r="Z148">
        <v>16</v>
      </c>
      <c r="AA148" t="inlineStr">
        <is>
          <t>-10.386</t>
        </is>
      </c>
      <c r="AB148"/>
      <c r="AC148"/>
      <c r="AD148"/>
      <c r="AE148"/>
      <c r="AF148"/>
      <c r="AG148">
        <v>0.15</v>
      </c>
      <c r="AH148"/>
      <c r="AI148">
        <v>0.02</v>
      </c>
      <c r="AJ148">
        <v>0.05</v>
      </c>
    </row>
    <row r="149" ht="25.5" customHeight="1">
      <c r="A149"/>
      <c r="B149"/>
      <c r="C149"/>
      <c r="D149"/>
      <c r="E149"/>
      <c r="F149"/>
      <c r="G149"/>
      <c r="H149"/>
      <c r="I149"/>
      <c r="J149"/>
      <c r="K149"/>
      <c r="L149"/>
      <c r="M149"/>
      <c r="N149"/>
      <c r="O149" t="inlineStr">
        <is>
          <t>0.0100</t>
        </is>
      </c>
      <c r="P149" t="inlineStr">
        <is>
          <t>0.0200</t>
        </is>
      </c>
      <c r="Q149"/>
      <c r="R149"/>
      <c r="S149"/>
      <c r="T149"/>
      <c r="U149"/>
      <c r="V149" t="inlineStr">
        <is>
          <t>0.0</t>
        </is>
      </c>
      <c r="W149" t="inlineStr">
        <is>
          <t>0.0</t>
        </is>
      </c>
      <c r="X149"/>
      <c r="Y149"/>
      <c r="Z149"/>
      <c r="AA149"/>
      <c r="AB149"/>
      <c r="AC149"/>
      <c r="AD149"/>
      <c r="AE149"/>
      <c r="AF149"/>
      <c r="AG149"/>
      <c r="AH149"/>
      <c r="AI149"/>
      <c r="AJ149"/>
    </row>
    <row r="150" ht="25.5" customHeight="1">
      <c r="A150" t="inlineStr">
        <is>
          <t>空净AP100A (划线价64.99）</t>
        </is>
      </c>
      <c r="B150">
        <v>8</v>
      </c>
      <c r="C150" t="inlineStr">
        <is>
          <t>德国</t>
        </is>
      </c>
      <c r="D150" t="inlineStr">
        <is>
          <t>DE</t>
        </is>
      </c>
      <c r="E150" t="inlineStr">
        <is>
          <t>有</t>
        </is>
      </c>
      <c r="F150" t="inlineStr">
        <is>
          <t>13.8</t>
        </is>
      </c>
      <c r="G150" t="inlineStr">
        <is>
          <t>24.3</t>
        </is>
      </c>
      <c r="H150">
        <v>54.99</v>
      </c>
      <c r="I150"/>
      <c r="J150">
        <v>5.18</v>
      </c>
      <c r="K150">
        <v>0.15</v>
      </c>
      <c r="L150">
        <v>0.16</v>
      </c>
      <c r="M150">
        <v>0.05</v>
      </c>
      <c r="N150" t="inlineStr">
        <is>
          <t>0.109</t>
        </is>
      </c>
      <c r="O150" t="inlineStr">
        <is>
          <t>0.0100</t>
        </is>
      </c>
      <c r="P150" t="inlineStr">
        <is>
          <t>0.0200</t>
        </is>
      </c>
      <c r="Q150">
        <v>6</v>
      </c>
      <c r="R150">
        <v>32</v>
      </c>
      <c r="S150">
        <v>17.3</v>
      </c>
      <c r="T150">
        <v>17.3</v>
      </c>
      <c r="U150">
        <v>1.6</v>
      </c>
      <c r="V150" t="inlineStr">
        <is>
          <t>1.6</t>
        </is>
      </c>
      <c r="W150" t="inlineStr">
        <is>
          <t>1.6</t>
        </is>
      </c>
      <c r="X150" t="inlineStr">
        <is>
          <t>海运</t>
        </is>
      </c>
      <c r="Y150">
        <v>6.6317</v>
      </c>
      <c r="Z150">
        <v>17</v>
      </c>
      <c r="AA150" t="inlineStr">
        <is>
          <t>20.239</t>
        </is>
      </c>
      <c r="AB150" t="inlineStr">
        <is>
          <t>36.80%</t>
        </is>
      </c>
      <c r="AC150"/>
      <c r="AD150" t="inlineStr">
        <is>
          <t>9.42%</t>
        </is>
      </c>
      <c r="AE150" t="inlineStr">
        <is>
          <t>0.00%</t>
        </is>
      </c>
      <c r="AF150" t="inlineStr">
        <is>
          <t>3.86%</t>
        </is>
      </c>
      <c r="AG150">
        <v>0.15</v>
      </c>
      <c r="AH150" t="inlineStr">
        <is>
          <t>10.91%</t>
        </is>
      </c>
      <c r="AI150">
        <v>0.02</v>
      </c>
      <c r="AJ150">
        <v>0.05</v>
      </c>
    </row>
    <row r="151" ht="25.5" customHeight="1">
      <c r="A151" t="inlineStr">
        <is>
          <t>空净AP100A(coupon-10%）</t>
        </is>
      </c>
      <c r="B151">
        <v>8</v>
      </c>
      <c r="C151" t="inlineStr">
        <is>
          <t>德国</t>
        </is>
      </c>
      <c r="D151" t="inlineStr">
        <is>
          <t>DE</t>
        </is>
      </c>
      <c r="E151" t="inlineStr">
        <is>
          <t>有</t>
        </is>
      </c>
      <c r="F151" t="inlineStr">
        <is>
          <t>11.4</t>
        </is>
      </c>
      <c r="G151" t="inlineStr">
        <is>
          <t>17.8</t>
        </is>
      </c>
      <c r="H151"/>
      <c r="I151"/>
      <c r="J151">
        <v>5.18</v>
      </c>
      <c r="K151">
        <v>0.15</v>
      </c>
      <c r="L151">
        <v>0.16</v>
      </c>
      <c r="M151">
        <v>0.05</v>
      </c>
      <c r="N151"/>
      <c r="O151" t="inlineStr">
        <is>
          <t>0.0100</t>
        </is>
      </c>
      <c r="P151" t="inlineStr">
        <is>
          <t>0.0200</t>
        </is>
      </c>
      <c r="Q151">
        <v>6</v>
      </c>
      <c r="R151">
        <v>32</v>
      </c>
      <c r="S151">
        <v>17.3</v>
      </c>
      <c r="T151">
        <v>17.3</v>
      </c>
      <c r="U151">
        <v>1.6</v>
      </c>
      <c r="V151" t="inlineStr">
        <is>
          <t>1.6</t>
        </is>
      </c>
      <c r="W151" t="inlineStr">
        <is>
          <t>1.6</t>
        </is>
      </c>
      <c r="X151" t="inlineStr">
        <is>
          <t>海运</t>
        </is>
      </c>
      <c r="Y151">
        <v>6.6317</v>
      </c>
      <c r="Z151">
        <v>17</v>
      </c>
      <c r="AA151" t="inlineStr">
        <is>
          <t>-7.305</t>
        </is>
      </c>
      <c r="AB151"/>
      <c r="AC151"/>
      <c r="AD151"/>
      <c r="AE151"/>
      <c r="AF151"/>
      <c r="AG151">
        <v>0.15</v>
      </c>
      <c r="AH151"/>
      <c r="AI151">
        <v>0.02</v>
      </c>
      <c r="AJ151">
        <v>0.05</v>
      </c>
    </row>
    <row r="152" ht="25.5" customHeight="1">
      <c r="A152" t="inlineStr">
        <is>
          <t>空净AP100A(coupon-20%）</t>
        </is>
      </c>
      <c r="B152">
        <v>8</v>
      </c>
      <c r="C152" t="inlineStr">
        <is>
          <t>德国</t>
        </is>
      </c>
      <c r="D152" t="inlineStr">
        <is>
          <t>DE</t>
        </is>
      </c>
      <c r="E152" t="inlineStr">
        <is>
          <t>有</t>
        </is>
      </c>
      <c r="F152" t="inlineStr">
        <is>
          <t>11.4</t>
        </is>
      </c>
      <c r="G152" t="inlineStr">
        <is>
          <t>17.8</t>
        </is>
      </c>
      <c r="H152"/>
      <c r="I152"/>
      <c r="J152">
        <v>5.18</v>
      </c>
      <c r="K152">
        <v>0.15</v>
      </c>
      <c r="L152">
        <v>0.16</v>
      </c>
      <c r="M152">
        <v>0.05</v>
      </c>
      <c r="N152"/>
      <c r="O152" t="inlineStr">
        <is>
          <t>0.0100</t>
        </is>
      </c>
      <c r="P152" t="inlineStr">
        <is>
          <t>0.0200</t>
        </is>
      </c>
      <c r="Q152">
        <v>6</v>
      </c>
      <c r="R152">
        <v>32</v>
      </c>
      <c r="S152">
        <v>17.3</v>
      </c>
      <c r="T152">
        <v>17.3</v>
      </c>
      <c r="U152">
        <v>1.6</v>
      </c>
      <c r="V152" t="inlineStr">
        <is>
          <t>1.6</t>
        </is>
      </c>
      <c r="W152" t="inlineStr">
        <is>
          <t>1.6</t>
        </is>
      </c>
      <c r="X152" t="inlineStr">
        <is>
          <t>海运</t>
        </is>
      </c>
      <c r="Y152">
        <v>6.6317</v>
      </c>
      <c r="Z152">
        <v>17</v>
      </c>
      <c r="AA152" t="inlineStr">
        <is>
          <t>-7.305</t>
        </is>
      </c>
      <c r="AB152"/>
      <c r="AC152"/>
      <c r="AD152"/>
      <c r="AE152"/>
      <c r="AF152"/>
      <c r="AG152">
        <v>0.15</v>
      </c>
      <c r="AH152"/>
      <c r="AI152">
        <v>0.02</v>
      </c>
      <c r="AJ152">
        <v>0.05</v>
      </c>
    </row>
    <row r="153" ht="25.5" customHeight="1">
      <c r="A153"/>
      <c r="B153"/>
      <c r="C153"/>
      <c r="D153"/>
      <c r="E153"/>
      <c r="F153"/>
      <c r="G153"/>
      <c r="H153"/>
      <c r="I153"/>
      <c r="J153"/>
      <c r="K153"/>
      <c r="L153"/>
      <c r="M153"/>
      <c r="N153"/>
      <c r="O153" t="inlineStr">
        <is>
          <t>0.0100</t>
        </is>
      </c>
      <c r="P153" t="inlineStr">
        <is>
          <t>0.0200</t>
        </is>
      </c>
      <c r="Q153"/>
      <c r="R153"/>
      <c r="S153"/>
      <c r="T153"/>
      <c r="U153"/>
      <c r="V153" t="inlineStr">
        <is>
          <t>0.0</t>
        </is>
      </c>
      <c r="W153" t="inlineStr">
        <is>
          <t>0.0</t>
        </is>
      </c>
      <c r="X153"/>
      <c r="Y153"/>
      <c r="Z153"/>
      <c r="AA153"/>
      <c r="AB153"/>
      <c r="AC153"/>
      <c r="AD153"/>
      <c r="AE153"/>
      <c r="AF153"/>
      <c r="AG153"/>
      <c r="AH153"/>
      <c r="AI153"/>
      <c r="AJ153"/>
    </row>
    <row r="154" ht="25.5" customHeight="1">
      <c r="A154" t="inlineStr">
        <is>
          <t>空净AP100A (划线价64.99）</t>
        </is>
      </c>
      <c r="B154">
        <v>8</v>
      </c>
      <c r="C154" t="inlineStr">
        <is>
          <t>德国</t>
        </is>
      </c>
      <c r="D154" t="inlineStr">
        <is>
          <t>FR</t>
        </is>
      </c>
      <c r="E154" t="inlineStr">
        <is>
          <t>有</t>
        </is>
      </c>
      <c r="F154" t="inlineStr">
        <is>
          <t>17.0</t>
        </is>
      </c>
      <c r="G154" t="inlineStr">
        <is>
          <t>29.7</t>
        </is>
      </c>
      <c r="H154">
        <v>59.99</v>
      </c>
      <c r="I154"/>
      <c r="J154">
        <v>7.08</v>
      </c>
      <c r="K154">
        <v>0.15</v>
      </c>
      <c r="L154">
        <v>0.16</v>
      </c>
      <c r="M154">
        <v>0.05</v>
      </c>
      <c r="N154" t="inlineStr">
        <is>
          <t>0.100</t>
        </is>
      </c>
      <c r="O154" t="inlineStr">
        <is>
          <t>0.0100</t>
        </is>
      </c>
      <c r="P154" t="inlineStr">
        <is>
          <t>0.0200</t>
        </is>
      </c>
      <c r="Q154">
        <v>6</v>
      </c>
      <c r="R154">
        <v>32</v>
      </c>
      <c r="S154">
        <v>17.3</v>
      </c>
      <c r="T154">
        <v>17.3</v>
      </c>
      <c r="U154">
        <v>1.6</v>
      </c>
      <c r="V154" t="inlineStr">
        <is>
          <t>1.6</t>
        </is>
      </c>
      <c r="W154" t="inlineStr">
        <is>
          <t>1.6</t>
        </is>
      </c>
      <c r="X154" t="inlineStr">
        <is>
          <t>海运</t>
        </is>
      </c>
      <c r="Y154">
        <v>6.6317</v>
      </c>
      <c r="Z154">
        <v>17</v>
      </c>
      <c r="AA154" t="inlineStr">
        <is>
          <t>21.389</t>
        </is>
      </c>
      <c r="AB154" t="inlineStr">
        <is>
          <t>35.65%</t>
        </is>
      </c>
      <c r="AC154"/>
      <c r="AD154" t="inlineStr">
        <is>
          <t>11.80%</t>
        </is>
      </c>
      <c r="AE154" t="inlineStr">
        <is>
          <t>0.00%</t>
        </is>
      </c>
      <c r="AF154" t="inlineStr">
        <is>
          <t>3.54%</t>
        </is>
      </c>
      <c r="AG154">
        <v>0.15</v>
      </c>
      <c r="AH154" t="inlineStr">
        <is>
          <t>10.00%</t>
        </is>
      </c>
      <c r="AI154">
        <v>0.02</v>
      </c>
      <c r="AJ154">
        <v>0.05</v>
      </c>
    </row>
    <row r="155" ht="25.5" customHeight="1">
      <c r="A155" t="inlineStr">
        <is>
          <t>空净AP100A(coupon-10%）</t>
        </is>
      </c>
      <c r="B155">
        <v>8</v>
      </c>
      <c r="C155" t="inlineStr">
        <is>
          <t>德国</t>
        </is>
      </c>
      <c r="D155" t="inlineStr">
        <is>
          <t>FR</t>
        </is>
      </c>
      <c r="E155" t="inlineStr">
        <is>
          <t>有</t>
        </is>
      </c>
      <c r="F155" t="inlineStr">
        <is>
          <t>14.4</t>
        </is>
      </c>
      <c r="G155" t="inlineStr">
        <is>
          <t>22.5</t>
        </is>
      </c>
      <c r="H155"/>
      <c r="I155"/>
      <c r="J155">
        <v>7.08</v>
      </c>
      <c r="K155">
        <v>0.15</v>
      </c>
      <c r="L155">
        <v>0.16</v>
      </c>
      <c r="M155">
        <v>0.05</v>
      </c>
      <c r="N155"/>
      <c r="O155" t="inlineStr">
        <is>
          <t>0.0100</t>
        </is>
      </c>
      <c r="P155" t="inlineStr">
        <is>
          <t>0.0200</t>
        </is>
      </c>
      <c r="Q155">
        <v>6</v>
      </c>
      <c r="R155">
        <v>32</v>
      </c>
      <c r="S155">
        <v>17.3</v>
      </c>
      <c r="T155">
        <v>17.3</v>
      </c>
      <c r="U155">
        <v>1.6</v>
      </c>
      <c r="V155" t="inlineStr">
        <is>
          <t>1.6</t>
        </is>
      </c>
      <c r="W155" t="inlineStr">
        <is>
          <t>1.6</t>
        </is>
      </c>
      <c r="X155" t="inlineStr">
        <is>
          <t>海运</t>
        </is>
      </c>
      <c r="Y155">
        <v>6.6317</v>
      </c>
      <c r="Z155">
        <v>17</v>
      </c>
      <c r="AA155" t="inlineStr">
        <is>
          <t>-9.205</t>
        </is>
      </c>
      <c r="AB155"/>
      <c r="AC155"/>
      <c r="AD155"/>
      <c r="AE155"/>
      <c r="AF155"/>
      <c r="AG155">
        <v>0.15</v>
      </c>
      <c r="AH155"/>
      <c r="AI155">
        <v>0.02</v>
      </c>
      <c r="AJ155">
        <v>0.05</v>
      </c>
    </row>
    <row r="156" ht="25.5" customHeight="1">
      <c r="A156" t="inlineStr">
        <is>
          <t>空净AP100A(coupon-20%）</t>
        </is>
      </c>
      <c r="B156">
        <v>8</v>
      </c>
      <c r="C156" t="inlineStr">
        <is>
          <t>德国</t>
        </is>
      </c>
      <c r="D156" t="inlineStr">
        <is>
          <t>FR</t>
        </is>
      </c>
      <c r="E156" t="inlineStr">
        <is>
          <t>有</t>
        </is>
      </c>
      <c r="F156" t="inlineStr">
        <is>
          <t>14.4</t>
        </is>
      </c>
      <c r="G156" t="inlineStr">
        <is>
          <t>22.5</t>
        </is>
      </c>
      <c r="H156"/>
      <c r="I156"/>
      <c r="J156">
        <v>7.08</v>
      </c>
      <c r="K156">
        <v>0.15</v>
      </c>
      <c r="L156">
        <v>0.16</v>
      </c>
      <c r="M156">
        <v>0.05</v>
      </c>
      <c r="N156"/>
      <c r="O156" t="inlineStr">
        <is>
          <t>0.0100</t>
        </is>
      </c>
      <c r="P156" t="inlineStr">
        <is>
          <t>0.0200</t>
        </is>
      </c>
      <c r="Q156">
        <v>6</v>
      </c>
      <c r="R156">
        <v>32</v>
      </c>
      <c r="S156">
        <v>17.3</v>
      </c>
      <c r="T156">
        <v>17.3</v>
      </c>
      <c r="U156">
        <v>1.6</v>
      </c>
      <c r="V156" t="inlineStr">
        <is>
          <t>1.6</t>
        </is>
      </c>
      <c r="W156" t="inlineStr">
        <is>
          <t>1.6</t>
        </is>
      </c>
      <c r="X156" t="inlineStr">
        <is>
          <t>海运</t>
        </is>
      </c>
      <c r="Y156">
        <v>6.6317</v>
      </c>
      <c r="Z156">
        <v>17</v>
      </c>
      <c r="AA156" t="inlineStr">
        <is>
          <t>-9.205</t>
        </is>
      </c>
      <c r="AB156"/>
      <c r="AC156"/>
      <c r="AD156"/>
      <c r="AE156"/>
      <c r="AF156"/>
      <c r="AG156">
        <v>0.15</v>
      </c>
      <c r="AH156"/>
      <c r="AI156">
        <v>0.02</v>
      </c>
      <c r="AJ156">
        <v>0.05</v>
      </c>
    </row>
    <row r="157" ht="25.5" customHeight="1">
      <c r="A157"/>
      <c r="B157"/>
      <c r="C157"/>
      <c r="D157"/>
      <c r="E157"/>
      <c r="F157"/>
      <c r="G157"/>
      <c r="H157"/>
      <c r="I157"/>
      <c r="J157"/>
      <c r="K157"/>
      <c r="L157"/>
      <c r="M157"/>
      <c r="N157"/>
      <c r="O157" t="inlineStr">
        <is>
          <t>0.0100</t>
        </is>
      </c>
      <c r="P157" t="inlineStr">
        <is>
          <t>0.0200</t>
        </is>
      </c>
      <c r="Q157"/>
      <c r="R157"/>
      <c r="S157"/>
      <c r="T157"/>
      <c r="U157"/>
      <c r="V157" t="inlineStr">
        <is>
          <t>0.0</t>
        </is>
      </c>
      <c r="W157" t="inlineStr">
        <is>
          <t>0.0</t>
        </is>
      </c>
      <c r="X157"/>
      <c r="Y157"/>
      <c r="Z157"/>
      <c r="AA157"/>
      <c r="AB157"/>
      <c r="AC157"/>
      <c r="AD157"/>
      <c r="AE157"/>
      <c r="AF157"/>
      <c r="AG157"/>
      <c r="AH157"/>
      <c r="AI157"/>
      <c r="AJ157"/>
    </row>
    <row r="158" ht="25.5" customHeight="1">
      <c r="A158" t="inlineStr">
        <is>
          <t>空净AP100A (划线价64.99）</t>
        </is>
      </c>
      <c r="B158">
        <v>8</v>
      </c>
      <c r="C158" t="inlineStr">
        <is>
          <t>德国</t>
        </is>
      </c>
      <c r="D158" t="inlineStr">
        <is>
          <t>IT</t>
        </is>
      </c>
      <c r="E158" t="inlineStr">
        <is>
          <t>有</t>
        </is>
      </c>
      <c r="F158" t="inlineStr">
        <is>
          <t>14.0</t>
        </is>
      </c>
      <c r="G158" t="inlineStr">
        <is>
          <t>24.7</t>
        </is>
      </c>
      <c r="H158">
        <v>54.99</v>
      </c>
      <c r="I158"/>
      <c r="J158">
        <v>5.3</v>
      </c>
      <c r="K158">
        <v>0.15</v>
      </c>
      <c r="L158">
        <v>0.16</v>
      </c>
      <c r="M158">
        <v>0.05</v>
      </c>
      <c r="N158" t="inlineStr">
        <is>
          <t>0.109</t>
        </is>
      </c>
      <c r="O158" t="inlineStr">
        <is>
          <t>0.0100</t>
        </is>
      </c>
      <c r="P158" t="inlineStr">
        <is>
          <t>0.0200</t>
        </is>
      </c>
      <c r="Q158">
        <v>6</v>
      </c>
      <c r="R158">
        <v>32</v>
      </c>
      <c r="S158">
        <v>17.3</v>
      </c>
      <c r="T158">
        <v>17.3</v>
      </c>
      <c r="U158">
        <v>1.6</v>
      </c>
      <c r="V158" t="inlineStr">
        <is>
          <t>1.6</t>
        </is>
      </c>
      <c r="W158" t="inlineStr">
        <is>
          <t>1.6</t>
        </is>
      </c>
      <c r="X158" t="inlineStr">
        <is>
          <t>海运</t>
        </is>
      </c>
      <c r="Y158">
        <v>6.6317</v>
      </c>
      <c r="Z158">
        <v>17</v>
      </c>
      <c r="AA158" t="inlineStr">
        <is>
          <t>20.119</t>
        </is>
      </c>
      <c r="AB158" t="inlineStr">
        <is>
          <t>36.59%</t>
        </is>
      </c>
      <c r="AC158"/>
      <c r="AD158" t="inlineStr">
        <is>
          <t>9.64%</t>
        </is>
      </c>
      <c r="AE158" t="inlineStr">
        <is>
          <t>0.00%</t>
        </is>
      </c>
      <c r="AF158" t="inlineStr">
        <is>
          <t>3.86%</t>
        </is>
      </c>
      <c r="AG158">
        <v>0.15</v>
      </c>
      <c r="AH158" t="inlineStr">
        <is>
          <t>10.91%</t>
        </is>
      </c>
      <c r="AI158">
        <v>0.02</v>
      </c>
      <c r="AJ158">
        <v>0.05</v>
      </c>
    </row>
    <row r="159" ht="25.5" customHeight="1">
      <c r="A159" t="inlineStr">
        <is>
          <t>空净AP100A(coupon-10%）</t>
        </is>
      </c>
      <c r="B159">
        <v>8</v>
      </c>
      <c r="C159" t="inlineStr">
        <is>
          <t>德国</t>
        </is>
      </c>
      <c r="D159" t="inlineStr">
        <is>
          <t>IT</t>
        </is>
      </c>
      <c r="E159" t="inlineStr">
        <is>
          <t>有</t>
        </is>
      </c>
      <c r="F159" t="inlineStr">
        <is>
          <t>11.6</t>
        </is>
      </c>
      <c r="G159" t="inlineStr">
        <is>
          <t>18.1</t>
        </is>
      </c>
      <c r="H159"/>
      <c r="I159"/>
      <c r="J159">
        <v>5.3</v>
      </c>
      <c r="K159">
        <v>0.15</v>
      </c>
      <c r="L159">
        <v>0.16</v>
      </c>
      <c r="M159">
        <v>0.05</v>
      </c>
      <c r="N159"/>
      <c r="O159" t="inlineStr">
        <is>
          <t>0.0100</t>
        </is>
      </c>
      <c r="P159" t="inlineStr">
        <is>
          <t>0.0200</t>
        </is>
      </c>
      <c r="Q159">
        <v>6</v>
      </c>
      <c r="R159">
        <v>32</v>
      </c>
      <c r="S159">
        <v>17.3</v>
      </c>
      <c r="T159">
        <v>17.3</v>
      </c>
      <c r="U159">
        <v>1.6</v>
      </c>
      <c r="V159" t="inlineStr">
        <is>
          <t>1.6</t>
        </is>
      </c>
      <c r="W159" t="inlineStr">
        <is>
          <t>1.6</t>
        </is>
      </c>
      <c r="X159" t="inlineStr">
        <is>
          <t>海运</t>
        </is>
      </c>
      <c r="Y159">
        <v>6.6317</v>
      </c>
      <c r="Z159">
        <v>17</v>
      </c>
      <c r="AA159" t="inlineStr">
        <is>
          <t>-7.425</t>
        </is>
      </c>
      <c r="AB159"/>
      <c r="AC159"/>
      <c r="AD159"/>
      <c r="AE159"/>
      <c r="AF159"/>
      <c r="AG159">
        <v>0.15</v>
      </c>
      <c r="AH159"/>
      <c r="AI159">
        <v>0.02</v>
      </c>
      <c r="AJ159">
        <v>0.05</v>
      </c>
    </row>
    <row r="160" ht="25.5" customHeight="1">
      <c r="A160" t="inlineStr">
        <is>
          <t>空净AP100A(coupon-20%）</t>
        </is>
      </c>
      <c r="B160">
        <v>8</v>
      </c>
      <c r="C160" t="inlineStr">
        <is>
          <t>德国</t>
        </is>
      </c>
      <c r="D160" t="inlineStr">
        <is>
          <t>IT</t>
        </is>
      </c>
      <c r="E160" t="inlineStr">
        <is>
          <t>有</t>
        </is>
      </c>
      <c r="F160" t="inlineStr">
        <is>
          <t>11.6</t>
        </is>
      </c>
      <c r="G160" t="inlineStr">
        <is>
          <t>18.1</t>
        </is>
      </c>
      <c r="H160"/>
      <c r="I160"/>
      <c r="J160">
        <v>5.3</v>
      </c>
      <c r="K160">
        <v>0.15</v>
      </c>
      <c r="L160">
        <v>0.16</v>
      </c>
      <c r="M160">
        <v>0.05</v>
      </c>
      <c r="N160"/>
      <c r="O160" t="inlineStr">
        <is>
          <t>0.0100</t>
        </is>
      </c>
      <c r="P160" t="inlineStr">
        <is>
          <t>0.0200</t>
        </is>
      </c>
      <c r="Q160">
        <v>6</v>
      </c>
      <c r="R160">
        <v>32</v>
      </c>
      <c r="S160">
        <v>17.3</v>
      </c>
      <c r="T160">
        <v>17.3</v>
      </c>
      <c r="U160">
        <v>1.6</v>
      </c>
      <c r="V160" t="inlineStr">
        <is>
          <t>1.6</t>
        </is>
      </c>
      <c r="W160" t="inlineStr">
        <is>
          <t>1.6</t>
        </is>
      </c>
      <c r="X160" t="inlineStr">
        <is>
          <t>海运</t>
        </is>
      </c>
      <c r="Y160">
        <v>6.6317</v>
      </c>
      <c r="Z160">
        <v>17</v>
      </c>
      <c r="AA160" t="inlineStr">
        <is>
          <t>-7.425</t>
        </is>
      </c>
      <c r="AB160"/>
      <c r="AC160"/>
      <c r="AD160"/>
      <c r="AE160"/>
      <c r="AF160"/>
      <c r="AG160">
        <v>0.15</v>
      </c>
      <c r="AH160"/>
      <c r="AI160">
        <v>0.02</v>
      </c>
      <c r="AJ160">
        <v>0.05</v>
      </c>
    </row>
    <row r="161" ht="25.5" customHeight="1">
      <c r="A161"/>
      <c r="B161"/>
      <c r="C161"/>
      <c r="D161"/>
      <c r="E161"/>
      <c r="F161"/>
      <c r="G161"/>
      <c r="H161"/>
      <c r="I161"/>
      <c r="J161"/>
      <c r="K161"/>
      <c r="L161"/>
      <c r="M161"/>
      <c r="N161"/>
      <c r="O161" t="inlineStr">
        <is>
          <t>0.0100</t>
        </is>
      </c>
      <c r="P161" t="inlineStr">
        <is>
          <t>0.0200</t>
        </is>
      </c>
      <c r="Q161"/>
      <c r="R161"/>
      <c r="S161"/>
      <c r="T161"/>
      <c r="U161"/>
      <c r="V161" t="inlineStr">
        <is>
          <t>0.0</t>
        </is>
      </c>
      <c r="W161" t="inlineStr">
        <is>
          <t>0.0</t>
        </is>
      </c>
      <c r="X161"/>
      <c r="Y161"/>
      <c r="Z161"/>
      <c r="AA161"/>
      <c r="AB161"/>
      <c r="AC161"/>
      <c r="AD161"/>
      <c r="AE161"/>
      <c r="AF161"/>
      <c r="AG161"/>
      <c r="AH161"/>
      <c r="AI161"/>
      <c r="AJ161"/>
    </row>
    <row r="162" ht="25.5" customHeight="1">
      <c r="A162" t="inlineStr">
        <is>
          <t>空净AP100A (划线价64.99）</t>
        </is>
      </c>
      <c r="B162">
        <v>8</v>
      </c>
      <c r="C162" t="inlineStr">
        <is>
          <t>德国</t>
        </is>
      </c>
      <c r="D162" t="inlineStr">
        <is>
          <t>ES</t>
        </is>
      </c>
      <c r="E162" t="inlineStr">
        <is>
          <t>有</t>
        </is>
      </c>
      <c r="F162" t="inlineStr">
        <is>
          <t>13.4</t>
        </is>
      </c>
      <c r="G162" t="inlineStr">
        <is>
          <t>23.6</t>
        </is>
      </c>
      <c r="H162">
        <v>54.99</v>
      </c>
      <c r="I162"/>
      <c r="J162">
        <v>4.98</v>
      </c>
      <c r="K162">
        <v>0.15</v>
      </c>
      <c r="L162">
        <v>0.16</v>
      </c>
      <c r="M162">
        <v>0.05</v>
      </c>
      <c r="N162" t="inlineStr">
        <is>
          <t>0.109</t>
        </is>
      </c>
      <c r="O162" t="inlineStr">
        <is>
          <t>0.0100</t>
        </is>
      </c>
      <c r="P162" t="inlineStr">
        <is>
          <t>0.0200</t>
        </is>
      </c>
      <c r="Q162">
        <v>6</v>
      </c>
      <c r="R162">
        <v>32</v>
      </c>
      <c r="S162">
        <v>17.3</v>
      </c>
      <c r="T162">
        <v>17.3</v>
      </c>
      <c r="U162">
        <v>1.6</v>
      </c>
      <c r="V162" t="inlineStr">
        <is>
          <t>1.6</t>
        </is>
      </c>
      <c r="W162" t="inlineStr">
        <is>
          <t>1.6</t>
        </is>
      </c>
      <c r="X162" t="inlineStr">
        <is>
          <t>海运</t>
        </is>
      </c>
      <c r="Y162">
        <v>6.6317</v>
      </c>
      <c r="Z162">
        <v>17</v>
      </c>
      <c r="AA162" t="inlineStr">
        <is>
          <t>20.439</t>
        </is>
      </c>
      <c r="AB162" t="inlineStr">
        <is>
          <t>37.17%</t>
        </is>
      </c>
      <c r="AC162"/>
      <c r="AD162" t="inlineStr">
        <is>
          <t>9.06%</t>
        </is>
      </c>
      <c r="AE162" t="inlineStr">
        <is>
          <t>0.00%</t>
        </is>
      </c>
      <c r="AF162" t="inlineStr">
        <is>
          <t>3.86%</t>
        </is>
      </c>
      <c r="AG162">
        <v>0.15</v>
      </c>
      <c r="AH162" t="inlineStr">
        <is>
          <t>10.91%</t>
        </is>
      </c>
      <c r="AI162">
        <v>0.02</v>
      </c>
      <c r="AJ162">
        <v>0.05</v>
      </c>
    </row>
    <row r="163" ht="25.5" customHeight="1">
      <c r="A163" t="inlineStr">
        <is>
          <t>空净AP100A(coupon-10%）</t>
        </is>
      </c>
      <c r="B163">
        <v>8</v>
      </c>
      <c r="C163" t="inlineStr">
        <is>
          <t>德国</t>
        </is>
      </c>
      <c r="D163" t="inlineStr">
        <is>
          <t>ES</t>
        </is>
      </c>
      <c r="E163" t="inlineStr">
        <is>
          <t>有</t>
        </is>
      </c>
      <c r="F163" t="inlineStr">
        <is>
          <t>11.1</t>
        </is>
      </c>
      <c r="G163" t="inlineStr">
        <is>
          <t>17.3</t>
        </is>
      </c>
      <c r="H163"/>
      <c r="I163"/>
      <c r="J163">
        <v>4.98</v>
      </c>
      <c r="K163">
        <v>0.15</v>
      </c>
      <c r="L163">
        <v>0.16</v>
      </c>
      <c r="M163">
        <v>0.05</v>
      </c>
      <c r="N163"/>
      <c r="O163" t="inlineStr">
        <is>
          <t>0.0100</t>
        </is>
      </c>
      <c r="P163" t="inlineStr">
        <is>
          <t>0.0200</t>
        </is>
      </c>
      <c r="Q163">
        <v>6</v>
      </c>
      <c r="R163">
        <v>32</v>
      </c>
      <c r="S163">
        <v>17.3</v>
      </c>
      <c r="T163">
        <v>17.3</v>
      </c>
      <c r="U163">
        <v>1.6</v>
      </c>
      <c r="V163" t="inlineStr">
        <is>
          <t>1.6</t>
        </is>
      </c>
      <c r="W163" t="inlineStr">
        <is>
          <t>1.6</t>
        </is>
      </c>
      <c r="X163" t="inlineStr">
        <is>
          <t>海运</t>
        </is>
      </c>
      <c r="Y163">
        <v>6.6317</v>
      </c>
      <c r="Z163">
        <v>17</v>
      </c>
      <c r="AA163" t="inlineStr">
        <is>
          <t>-7.105</t>
        </is>
      </c>
      <c r="AB163"/>
      <c r="AC163"/>
      <c r="AD163"/>
      <c r="AE163"/>
      <c r="AF163"/>
      <c r="AG163">
        <v>0.15</v>
      </c>
      <c r="AH163"/>
      <c r="AI163">
        <v>0.02</v>
      </c>
      <c r="AJ163">
        <v>0.05</v>
      </c>
    </row>
    <row r="164" ht="25.5" customHeight="1">
      <c r="A164" t="inlineStr">
        <is>
          <t>空净AP100A(coupon-20%）</t>
        </is>
      </c>
      <c r="B164">
        <v>8</v>
      </c>
      <c r="C164" t="inlineStr">
        <is>
          <t>德国</t>
        </is>
      </c>
      <c r="D164" t="inlineStr">
        <is>
          <t>ES</t>
        </is>
      </c>
      <c r="E164" t="inlineStr">
        <is>
          <t>有</t>
        </is>
      </c>
      <c r="F164" t="inlineStr">
        <is>
          <t>11.1</t>
        </is>
      </c>
      <c r="G164" t="inlineStr">
        <is>
          <t>17.3</t>
        </is>
      </c>
      <c r="H164"/>
      <c r="I164"/>
      <c r="J164">
        <v>4.98</v>
      </c>
      <c r="K164">
        <v>0.15</v>
      </c>
      <c r="L164">
        <v>0.16</v>
      </c>
      <c r="M164">
        <v>0.05</v>
      </c>
      <c r="N164"/>
      <c r="O164" t="inlineStr">
        <is>
          <t>0.0100</t>
        </is>
      </c>
      <c r="P164" t="inlineStr">
        <is>
          <t>0.0200</t>
        </is>
      </c>
      <c r="Q164">
        <v>6</v>
      </c>
      <c r="R164">
        <v>32</v>
      </c>
      <c r="S164">
        <v>17.3</v>
      </c>
      <c r="T164">
        <v>17.3</v>
      </c>
      <c r="U164">
        <v>1.6</v>
      </c>
      <c r="V164" t="inlineStr">
        <is>
          <t>1.6</t>
        </is>
      </c>
      <c r="W164" t="inlineStr">
        <is>
          <t>1.6</t>
        </is>
      </c>
      <c r="X164" t="inlineStr">
        <is>
          <t>海运</t>
        </is>
      </c>
      <c r="Y164">
        <v>6.6317</v>
      </c>
      <c r="Z164">
        <v>17</v>
      </c>
      <c r="AA164" t="inlineStr">
        <is>
          <t>-7.105</t>
        </is>
      </c>
      <c r="AB164"/>
      <c r="AC164"/>
      <c r="AD164"/>
      <c r="AE164"/>
      <c r="AF164"/>
      <c r="AG164">
        <v>0.15</v>
      </c>
      <c r="AH164"/>
      <c r="AI164">
        <v>0.02</v>
      </c>
      <c r="AJ164">
        <v>0.05</v>
      </c>
    </row>
    <row r="165" ht="25.5" customHeight="1">
      <c r="A165"/>
      <c r="B165"/>
      <c r="C165"/>
      <c r="D165"/>
      <c r="E165"/>
      <c r="F165"/>
      <c r="G165"/>
      <c r="H165"/>
      <c r="I165"/>
      <c r="J165"/>
      <c r="K165"/>
      <c r="L165"/>
      <c r="M165"/>
      <c r="N165"/>
      <c r="O165" t="inlineStr">
        <is>
          <t>0.0100</t>
        </is>
      </c>
      <c r="P165" t="inlineStr">
        <is>
          <t>0.0200</t>
        </is>
      </c>
      <c r="Q165"/>
      <c r="R165"/>
      <c r="S165"/>
      <c r="T165"/>
      <c r="U165"/>
      <c r="V165" t="inlineStr">
        <is>
          <t>0.0</t>
        </is>
      </c>
      <c r="W165" t="inlineStr">
        <is>
          <t>0.0</t>
        </is>
      </c>
      <c r="X165"/>
      <c r="Y165"/>
      <c r="Z165"/>
      <c r="AA165"/>
      <c r="AB165"/>
      <c r="AC165"/>
      <c r="AD165"/>
      <c r="AE165"/>
      <c r="AF165"/>
      <c r="AG165"/>
      <c r="AH165"/>
      <c r="AI165"/>
      <c r="AJ165"/>
    </row>
    <row r="166" ht="25.5" customHeight="1">
      <c r="A166" t="inlineStr">
        <is>
          <t>空净AP100A (划线价59.99）</t>
        </is>
      </c>
      <c r="B166">
        <v>9</v>
      </c>
      <c r="C166" t="inlineStr">
        <is>
          <t>英国</t>
        </is>
      </c>
      <c r="D166" t="inlineStr">
        <is>
          <t>UK</t>
        </is>
      </c>
      <c r="E166" t="inlineStr">
        <is>
          <t>有</t>
        </is>
      </c>
      <c r="F166" t="inlineStr">
        <is>
          <t>12.8</t>
        </is>
      </c>
      <c r="G166" t="inlineStr">
        <is>
          <t>22.9</t>
        </is>
      </c>
      <c r="H166">
        <v>49.99</v>
      </c>
      <c r="I166"/>
      <c r="J166">
        <v>4.87</v>
      </c>
      <c r="K166">
        <v>0.15</v>
      </c>
      <c r="L166">
        <v>0.16</v>
      </c>
      <c r="M166">
        <v>0.05</v>
      </c>
      <c r="N166" t="inlineStr">
        <is>
          <t>0.120</t>
        </is>
      </c>
      <c r="O166" t="inlineStr">
        <is>
          <t>0.0100</t>
        </is>
      </c>
      <c r="P166" t="inlineStr">
        <is>
          <t>0.0200</t>
        </is>
      </c>
      <c r="Q166">
        <v>6</v>
      </c>
      <c r="R166">
        <v>32</v>
      </c>
      <c r="S166">
        <v>17.3</v>
      </c>
      <c r="T166">
        <v>17.3</v>
      </c>
      <c r="U166">
        <v>1.6</v>
      </c>
      <c r="V166" t="inlineStr">
        <is>
          <t>1.6</t>
        </is>
      </c>
      <c r="W166" t="inlineStr">
        <is>
          <t>1.6</t>
        </is>
      </c>
      <c r="X166" t="inlineStr">
        <is>
          <t>海运</t>
        </is>
      </c>
      <c r="Y166">
        <v>6.6317</v>
      </c>
      <c r="Z166">
        <v>16</v>
      </c>
      <c r="AA166" t="inlineStr">
        <is>
          <t>17.846</t>
        </is>
      </c>
      <c r="AB166" t="inlineStr">
        <is>
          <t>35.70%</t>
        </is>
      </c>
      <c r="AC166"/>
      <c r="AD166" t="inlineStr">
        <is>
          <t>9.74%</t>
        </is>
      </c>
      <c r="AE166" t="inlineStr">
        <is>
          <t>0.00%</t>
        </is>
      </c>
      <c r="AF166" t="inlineStr">
        <is>
          <t>3.56%</t>
        </is>
      </c>
      <c r="AG166">
        <v>0.15</v>
      </c>
      <c r="AH166" t="inlineStr">
        <is>
          <t>12.00%</t>
        </is>
      </c>
      <c r="AI166">
        <v>0.02</v>
      </c>
      <c r="AJ166">
        <v>0.05</v>
      </c>
    </row>
    <row r="167" ht="25.5" customHeight="1">
      <c r="A167" t="inlineStr">
        <is>
          <t>空净AP100A(coupon-10%）</t>
        </is>
      </c>
      <c r="B167">
        <v>9</v>
      </c>
      <c r="C167" t="inlineStr">
        <is>
          <t>英国</t>
        </is>
      </c>
      <c r="D167" t="inlineStr">
        <is>
          <t>UK</t>
        </is>
      </c>
      <c r="E167" t="inlineStr">
        <is>
          <t>有</t>
        </is>
      </c>
      <c r="F167" t="inlineStr">
        <is>
          <t>10.4</t>
        </is>
      </c>
      <c r="G167" t="inlineStr">
        <is>
          <t>16.2</t>
        </is>
      </c>
      <c r="H167"/>
      <c r="I167"/>
      <c r="J167">
        <v>4.87</v>
      </c>
      <c r="K167">
        <v>0.15</v>
      </c>
      <c r="L167">
        <v>0.16</v>
      </c>
      <c r="M167">
        <v>0.05</v>
      </c>
      <c r="N167"/>
      <c r="O167" t="inlineStr">
        <is>
          <t>0.0100</t>
        </is>
      </c>
      <c r="P167" t="inlineStr">
        <is>
          <t>0.0200</t>
        </is>
      </c>
      <c r="Q167">
        <v>6</v>
      </c>
      <c r="R167">
        <v>32</v>
      </c>
      <c r="S167">
        <v>17.3</v>
      </c>
      <c r="T167">
        <v>17.3</v>
      </c>
      <c r="U167">
        <v>1.6</v>
      </c>
      <c r="V167" t="inlineStr">
        <is>
          <t>1.6</t>
        </is>
      </c>
      <c r="W167" t="inlineStr">
        <is>
          <t>1.6</t>
        </is>
      </c>
      <c r="X167" t="inlineStr">
        <is>
          <t>海运</t>
        </is>
      </c>
      <c r="Y167">
        <v>6.6317</v>
      </c>
      <c r="Z167">
        <v>16</v>
      </c>
      <c r="AA167" t="inlineStr">
        <is>
          <t>-6.648</t>
        </is>
      </c>
      <c r="AB167"/>
      <c r="AC167"/>
      <c r="AD167"/>
      <c r="AE167"/>
      <c r="AF167"/>
      <c r="AG167">
        <v>0.15</v>
      </c>
      <c r="AH167"/>
      <c r="AI167">
        <v>0.02</v>
      </c>
      <c r="AJ167">
        <v>0.05</v>
      </c>
    </row>
    <row r="168" ht="25.5" customHeight="1">
      <c r="A168" t="inlineStr">
        <is>
          <t>空净AP100A(coupon-20%）</t>
        </is>
      </c>
      <c r="B168">
        <v>9</v>
      </c>
      <c r="C168" t="inlineStr">
        <is>
          <t>英国</t>
        </is>
      </c>
      <c r="D168" t="inlineStr">
        <is>
          <t>UK</t>
        </is>
      </c>
      <c r="E168" t="inlineStr">
        <is>
          <t>有</t>
        </is>
      </c>
      <c r="F168" t="inlineStr">
        <is>
          <t>10.4</t>
        </is>
      </c>
      <c r="G168" t="inlineStr">
        <is>
          <t>16.2</t>
        </is>
      </c>
      <c r="H168"/>
      <c r="I168"/>
      <c r="J168">
        <v>4.87</v>
      </c>
      <c r="K168">
        <v>0.15</v>
      </c>
      <c r="L168">
        <v>0.16</v>
      </c>
      <c r="M168">
        <v>0.05</v>
      </c>
      <c r="N168"/>
      <c r="O168" t="inlineStr">
        <is>
          <t>0.0100</t>
        </is>
      </c>
      <c r="P168" t="inlineStr">
        <is>
          <t>0.0200</t>
        </is>
      </c>
      <c r="Q168">
        <v>6</v>
      </c>
      <c r="R168">
        <v>32</v>
      </c>
      <c r="S168">
        <v>17.3</v>
      </c>
      <c r="T168">
        <v>17.3</v>
      </c>
      <c r="U168">
        <v>1.6</v>
      </c>
      <c r="V168" t="inlineStr">
        <is>
          <t>1.6</t>
        </is>
      </c>
      <c r="W168" t="inlineStr">
        <is>
          <t>1.6</t>
        </is>
      </c>
      <c r="X168" t="inlineStr">
        <is>
          <t>海运</t>
        </is>
      </c>
      <c r="Y168">
        <v>6.6317</v>
      </c>
      <c r="Z168">
        <v>16</v>
      </c>
      <c r="AA168" t="inlineStr">
        <is>
          <t>-6.648</t>
        </is>
      </c>
      <c r="AB168"/>
      <c r="AC168"/>
      <c r="AD168"/>
      <c r="AE168"/>
      <c r="AF168"/>
      <c r="AG168">
        <v>0.15</v>
      </c>
      <c r="AH168"/>
      <c r="AI168">
        <v>0.02</v>
      </c>
      <c r="AJ168">
        <v>0.05</v>
      </c>
    </row>
    <row r="169" ht="25.5" customHeight="1">
      <c r="A169"/>
      <c r="B169"/>
      <c r="C169"/>
      <c r="D169"/>
      <c r="E169"/>
      <c r="F169"/>
      <c r="G169"/>
      <c r="H169"/>
      <c r="I169"/>
      <c r="J169"/>
      <c r="K169"/>
      <c r="L169"/>
      <c r="M169"/>
      <c r="N169"/>
      <c r="O169" t="inlineStr">
        <is>
          <t>0.0100</t>
        </is>
      </c>
      <c r="P169" t="inlineStr">
        <is>
          <t>0.0200</t>
        </is>
      </c>
      <c r="Q169"/>
      <c r="R169"/>
      <c r="S169"/>
      <c r="T169"/>
      <c r="U169"/>
      <c r="V169" t="inlineStr">
        <is>
          <t>0.0</t>
        </is>
      </c>
      <c r="W169" t="inlineStr">
        <is>
          <t>0.0</t>
        </is>
      </c>
      <c r="X169"/>
      <c r="Y169"/>
      <c r="Z169"/>
      <c r="AA169"/>
      <c r="AB169"/>
      <c r="AC169"/>
      <c r="AD169"/>
      <c r="AE169"/>
      <c r="AF169"/>
      <c r="AG169"/>
      <c r="AH169"/>
      <c r="AI169"/>
      <c r="AJ169"/>
    </row>
    <row r="170" ht="25.5" customHeight="1">
      <c r="A170" t="inlineStr">
        <is>
          <t>滤芯(划线价）</t>
        </is>
      </c>
      <c r="B170">
        <v>7</v>
      </c>
      <c r="C170" t="inlineStr">
        <is>
          <t>德国</t>
        </is>
      </c>
      <c r="D170" t="inlineStr">
        <is>
          <t>US</t>
        </is>
      </c>
      <c r="E170" t="inlineStr">
        <is>
          <t>无</t>
        </is>
      </c>
      <c r="F170" t="inlineStr">
        <is>
          <t>9.4</t>
        </is>
      </c>
      <c r="G170" t="inlineStr">
        <is>
          <t>13.2</t>
        </is>
      </c>
      <c r="H170">
        <v>19.99</v>
      </c>
      <c r="I170"/>
      <c r="J170">
        <v>6.1</v>
      </c>
      <c r="K170">
        <v>0.15</v>
      </c>
      <c r="L170">
        <v>0</v>
      </c>
      <c r="M170">
        <v>0.05</v>
      </c>
      <c r="N170" t="inlineStr">
        <is>
          <t>0.000</t>
        </is>
      </c>
      <c r="O170" t="inlineStr">
        <is>
          <t>0.0100</t>
        </is>
      </c>
      <c r="P170" t="inlineStr">
        <is>
          <t>0.0200</t>
        </is>
      </c>
      <c r="Q170">
        <v>0</v>
      </c>
      <c r="R170">
        <v>32</v>
      </c>
      <c r="S170">
        <v>17.3</v>
      </c>
      <c r="T170">
        <v>17.3</v>
      </c>
      <c r="U170">
        <v>1.6</v>
      </c>
      <c r="V170" t="inlineStr">
        <is>
          <t>1.6</t>
        </is>
      </c>
      <c r="W170" t="inlineStr">
        <is>
          <t>1.6</t>
        </is>
      </c>
      <c r="X170" t="inlineStr">
        <is>
          <t>海运</t>
        </is>
      </c>
      <c r="Y170">
        <v>6.6317</v>
      </c>
      <c r="Z170">
        <v>10</v>
      </c>
      <c r="AA170" t="inlineStr">
        <is>
          <t>7.864</t>
        </is>
      </c>
      <c r="AB170" t="inlineStr">
        <is>
          <t>39.34%</t>
        </is>
      </c>
      <c r="AC170"/>
      <c r="AD170" t="inlineStr">
        <is>
          <t>30.52%</t>
        </is>
      </c>
      <c r="AE170" t="inlineStr">
        <is>
          <t>0.00%</t>
        </is>
      </c>
      <c r="AF170" t="inlineStr">
        <is>
          <t>7.15%</t>
        </is>
      </c>
      <c r="AG170">
        <v>0.15</v>
      </c>
      <c r="AH170" t="inlineStr">
        <is>
          <t>0.00%</t>
        </is>
      </c>
      <c r="AI170">
        <v>0.02</v>
      </c>
      <c r="AJ170">
        <v>0.05</v>
      </c>
    </row>
    <row r="171" ht="25.5" customHeight="1">
      <c r="A171" t="inlineStr">
        <is>
          <t>滤芯(coupon-10%）</t>
        </is>
      </c>
      <c r="B171">
        <v>7</v>
      </c>
      <c r="C171" t="inlineStr">
        <is>
          <t>德国</t>
        </is>
      </c>
      <c r="D171" t="inlineStr">
        <is>
          <t>US</t>
        </is>
      </c>
      <c r="E171" t="inlineStr">
        <is>
          <t>无</t>
        </is>
      </c>
      <c r="F171" t="inlineStr">
        <is>
          <t>9.4</t>
        </is>
      </c>
      <c r="G171" t="inlineStr">
        <is>
          <t>13.2</t>
        </is>
      </c>
      <c r="H171"/>
      <c r="I171"/>
      <c r="J171">
        <v>6.1</v>
      </c>
      <c r="K171">
        <v>0.15</v>
      </c>
      <c r="L171">
        <v>0</v>
      </c>
      <c r="M171">
        <v>0.05</v>
      </c>
      <c r="N171"/>
      <c r="O171" t="inlineStr">
        <is>
          <t>0.0100</t>
        </is>
      </c>
      <c r="P171" t="inlineStr">
        <is>
          <t>0.0200</t>
        </is>
      </c>
      <c r="Q171">
        <v>0</v>
      </c>
      <c r="R171">
        <v>32</v>
      </c>
      <c r="S171">
        <v>17.3</v>
      </c>
      <c r="T171">
        <v>17.3</v>
      </c>
      <c r="U171">
        <v>1.6</v>
      </c>
      <c r="V171" t="inlineStr">
        <is>
          <t>1.6</t>
        </is>
      </c>
      <c r="W171" t="inlineStr">
        <is>
          <t>1.6</t>
        </is>
      </c>
      <c r="X171" t="inlineStr">
        <is>
          <t>海运</t>
        </is>
      </c>
      <c r="Y171">
        <v>6.6317</v>
      </c>
      <c r="Z171">
        <v>10</v>
      </c>
      <c r="AA171" t="inlineStr">
        <is>
          <t>-7.529</t>
        </is>
      </c>
      <c r="AB171"/>
      <c r="AC171"/>
      <c r="AD171"/>
      <c r="AE171"/>
      <c r="AF171"/>
      <c r="AG171">
        <v>0.15</v>
      </c>
      <c r="AH171"/>
      <c r="AI171">
        <v>0.02</v>
      </c>
      <c r="AJ171">
        <v>0.05</v>
      </c>
    </row>
    <row r="172" ht="25.5" customHeight="1">
      <c r="A172" t="inlineStr">
        <is>
          <t>滤芯(coupon-20%）</t>
        </is>
      </c>
      <c r="B172">
        <v>7</v>
      </c>
      <c r="C172" t="inlineStr">
        <is>
          <t>德国</t>
        </is>
      </c>
      <c r="D172" t="inlineStr">
        <is>
          <t>US</t>
        </is>
      </c>
      <c r="E172" t="inlineStr">
        <is>
          <t>无</t>
        </is>
      </c>
      <c r="F172" t="inlineStr">
        <is>
          <t>9.4</t>
        </is>
      </c>
      <c r="G172" t="inlineStr">
        <is>
          <t>13.2</t>
        </is>
      </c>
      <c r="H172"/>
      <c r="I172"/>
      <c r="J172">
        <v>6.1</v>
      </c>
      <c r="K172">
        <v>0.15</v>
      </c>
      <c r="L172">
        <v>0</v>
      </c>
      <c r="M172">
        <v>0.05</v>
      </c>
      <c r="N172"/>
      <c r="O172" t="inlineStr">
        <is>
          <t>0.0100</t>
        </is>
      </c>
      <c r="P172" t="inlineStr">
        <is>
          <t>0.0200</t>
        </is>
      </c>
      <c r="Q172">
        <v>0</v>
      </c>
      <c r="R172">
        <v>32</v>
      </c>
      <c r="S172">
        <v>17.3</v>
      </c>
      <c r="T172">
        <v>17.3</v>
      </c>
      <c r="U172">
        <v>1.6</v>
      </c>
      <c r="V172" t="inlineStr">
        <is>
          <t>1.6</t>
        </is>
      </c>
      <c r="W172" t="inlineStr">
        <is>
          <t>1.6</t>
        </is>
      </c>
      <c r="X172" t="inlineStr">
        <is>
          <t>海运</t>
        </is>
      </c>
      <c r="Y172">
        <v>6.6317</v>
      </c>
      <c r="Z172">
        <v>10</v>
      </c>
      <c r="AA172" t="inlineStr">
        <is>
          <t>-7.529</t>
        </is>
      </c>
      <c r="AB172"/>
      <c r="AC172"/>
      <c r="AD172"/>
      <c r="AE172"/>
      <c r="AF172"/>
      <c r="AG172">
        <v>0.15</v>
      </c>
      <c r="AH172"/>
      <c r="AI172">
        <v>0.02</v>
      </c>
      <c r="AJ172">
        <v>0.05</v>
      </c>
    </row>
    <row r="173" ht="25.5" customHeight="1">
      <c r="A173"/>
      <c r="B173"/>
      <c r="C173"/>
      <c r="D173"/>
      <c r="E173"/>
      <c r="F173"/>
      <c r="G173"/>
      <c r="H173"/>
      <c r="I173"/>
      <c r="J173"/>
      <c r="K173"/>
      <c r="L173"/>
      <c r="M173"/>
      <c r="N173"/>
      <c r="O173" t="inlineStr">
        <is>
          <t>0.0100</t>
        </is>
      </c>
      <c r="P173" t="inlineStr">
        <is>
          <t>0.0200</t>
        </is>
      </c>
      <c r="Q173"/>
      <c r="R173"/>
      <c r="S173"/>
      <c r="T173"/>
      <c r="U173"/>
      <c r="V173" t="inlineStr">
        <is>
          <t>0.0</t>
        </is>
      </c>
      <c r="W173" t="inlineStr">
        <is>
          <t>0.0</t>
        </is>
      </c>
      <c r="X173"/>
      <c r="Y173"/>
      <c r="Z173"/>
      <c r="AA173"/>
      <c r="AB173"/>
      <c r="AC173"/>
      <c r="AD173"/>
      <c r="AE173"/>
      <c r="AF173"/>
      <c r="AG173"/>
      <c r="AH173"/>
      <c r="AI173"/>
      <c r="AJ173"/>
    </row>
    <row r="174" ht="25.5" customHeight="1">
      <c r="A174" t="inlineStr">
        <is>
          <t>滤芯(划线价）</t>
        </is>
      </c>
      <c r="B174">
        <v>8</v>
      </c>
      <c r="C174" t="inlineStr">
        <is>
          <t>德国</t>
        </is>
      </c>
      <c r="D174" t="inlineStr">
        <is>
          <t>DE</t>
        </is>
      </c>
      <c r="E174" t="inlineStr">
        <is>
          <t>有</t>
        </is>
      </c>
      <c r="F174" t="inlineStr">
        <is>
          <t>9.8</t>
        </is>
      </c>
      <c r="G174" t="inlineStr">
        <is>
          <t>15.2</t>
        </is>
      </c>
      <c r="H174">
        <v>19.99</v>
      </c>
      <c r="I174"/>
      <c r="J174">
        <v>5</v>
      </c>
      <c r="K174">
        <v>0.15</v>
      </c>
      <c r="L174">
        <v>0.16</v>
      </c>
      <c r="M174">
        <v>0.05</v>
      </c>
      <c r="N174" t="inlineStr">
        <is>
          <t>0.000</t>
        </is>
      </c>
      <c r="O174" t="inlineStr">
        <is>
          <t>0.0100</t>
        </is>
      </c>
      <c r="P174" t="inlineStr">
        <is>
          <t>0.0200</t>
        </is>
      </c>
      <c r="Q174">
        <v>0</v>
      </c>
      <c r="R174">
        <v>32</v>
      </c>
      <c r="S174">
        <v>17.3</v>
      </c>
      <c r="T174">
        <v>17.3</v>
      </c>
      <c r="U174">
        <v>1.6</v>
      </c>
      <c r="V174" t="inlineStr">
        <is>
          <t>1.6</t>
        </is>
      </c>
      <c r="W174" t="inlineStr">
        <is>
          <t>1.6</t>
        </is>
      </c>
      <c r="X174" t="inlineStr">
        <is>
          <t>海运</t>
        </is>
      </c>
      <c r="Y174">
        <v>6.6317</v>
      </c>
      <c r="Z174">
        <v>10</v>
      </c>
      <c r="AA174" t="inlineStr">
        <is>
          <t>5.944</t>
        </is>
      </c>
      <c r="AB174" t="inlineStr">
        <is>
          <t>29.73%</t>
        </is>
      </c>
      <c r="AC174"/>
      <c r="AD174" t="inlineStr">
        <is>
          <t>25.01%</t>
        </is>
      </c>
      <c r="AE174" t="inlineStr">
        <is>
          <t>0.00%</t>
        </is>
      </c>
      <c r="AF174" t="inlineStr">
        <is>
          <t>6.25%</t>
        </is>
      </c>
      <c r="AG174">
        <v>0.15</v>
      </c>
      <c r="AH174" t="inlineStr">
        <is>
          <t>0.00%</t>
        </is>
      </c>
      <c r="AI174">
        <v>0.02</v>
      </c>
      <c r="AJ174">
        <v>0.05</v>
      </c>
    </row>
    <row r="175" ht="25.5" customHeight="1">
      <c r="A175" t="inlineStr">
        <is>
          <t>滤芯(coupon-10%）</t>
        </is>
      </c>
      <c r="B175">
        <v>8</v>
      </c>
      <c r="C175" t="inlineStr">
        <is>
          <t>德国</t>
        </is>
      </c>
      <c r="D175" t="inlineStr">
        <is>
          <t>DE</t>
        </is>
      </c>
      <c r="E175" t="inlineStr">
        <is>
          <t>有</t>
        </is>
      </c>
      <c r="F175" t="inlineStr">
        <is>
          <t>9.8</t>
        </is>
      </c>
      <c r="G175" t="inlineStr">
        <is>
          <t>15.2</t>
        </is>
      </c>
      <c r="H175"/>
      <c r="I175"/>
      <c r="J175">
        <v>5</v>
      </c>
      <c r="K175">
        <v>0.15</v>
      </c>
      <c r="L175">
        <v>0.16</v>
      </c>
      <c r="M175">
        <v>0.05</v>
      </c>
      <c r="N175"/>
      <c r="O175" t="inlineStr">
        <is>
          <t>0.0100</t>
        </is>
      </c>
      <c r="P175" t="inlineStr">
        <is>
          <t>0.0200</t>
        </is>
      </c>
      <c r="Q175">
        <v>0</v>
      </c>
      <c r="R175">
        <v>32</v>
      </c>
      <c r="S175">
        <v>17.3</v>
      </c>
      <c r="T175">
        <v>17.3</v>
      </c>
      <c r="U175">
        <v>1.6</v>
      </c>
      <c r="V175" t="inlineStr">
        <is>
          <t>1.6</t>
        </is>
      </c>
      <c r="W175" t="inlineStr">
        <is>
          <t>1.6</t>
        </is>
      </c>
      <c r="X175" t="inlineStr">
        <is>
          <t>海运</t>
        </is>
      </c>
      <c r="Y175">
        <v>6.6317</v>
      </c>
      <c r="Z175">
        <v>10</v>
      </c>
      <c r="AA175" t="inlineStr">
        <is>
          <t>-6.250</t>
        </is>
      </c>
      <c r="AB175"/>
      <c r="AC175"/>
      <c r="AD175"/>
      <c r="AE175"/>
      <c r="AF175"/>
      <c r="AG175">
        <v>0.15</v>
      </c>
      <c r="AH175"/>
      <c r="AI175">
        <v>0.02</v>
      </c>
      <c r="AJ175">
        <v>0.05</v>
      </c>
    </row>
    <row r="176" ht="25.5" customHeight="1">
      <c r="A176" t="inlineStr">
        <is>
          <t>滤芯(coupon-20%）</t>
        </is>
      </c>
      <c r="B176">
        <v>8</v>
      </c>
      <c r="C176" t="inlineStr">
        <is>
          <t>德国</t>
        </is>
      </c>
      <c r="D176" t="inlineStr">
        <is>
          <t>DE</t>
        </is>
      </c>
      <c r="E176" t="inlineStr">
        <is>
          <t>有</t>
        </is>
      </c>
      <c r="F176" t="inlineStr">
        <is>
          <t>9.8</t>
        </is>
      </c>
      <c r="G176" t="inlineStr">
        <is>
          <t>15.2</t>
        </is>
      </c>
      <c r="H176"/>
      <c r="I176"/>
      <c r="J176">
        <v>5</v>
      </c>
      <c r="K176">
        <v>0.15</v>
      </c>
      <c r="L176">
        <v>0.16</v>
      </c>
      <c r="M176">
        <v>0.05</v>
      </c>
      <c r="N176"/>
      <c r="O176" t="inlineStr">
        <is>
          <t>0.0100</t>
        </is>
      </c>
      <c r="P176" t="inlineStr">
        <is>
          <t>0.0200</t>
        </is>
      </c>
      <c r="Q176">
        <v>0</v>
      </c>
      <c r="R176">
        <v>32</v>
      </c>
      <c r="S176">
        <v>17.3</v>
      </c>
      <c r="T176">
        <v>17.3</v>
      </c>
      <c r="U176">
        <v>1.6</v>
      </c>
      <c r="V176" t="inlineStr">
        <is>
          <t>1.6</t>
        </is>
      </c>
      <c r="W176" t="inlineStr">
        <is>
          <t>1.6</t>
        </is>
      </c>
      <c r="X176" t="inlineStr">
        <is>
          <t>海运</t>
        </is>
      </c>
      <c r="Y176">
        <v>6.6317</v>
      </c>
      <c r="Z176">
        <v>10</v>
      </c>
      <c r="AA176" t="inlineStr">
        <is>
          <t>-6.250</t>
        </is>
      </c>
      <c r="AB176"/>
      <c r="AC176"/>
      <c r="AD176"/>
      <c r="AE176"/>
      <c r="AF176"/>
      <c r="AG176">
        <v>0.15</v>
      </c>
      <c r="AH176"/>
      <c r="AI176">
        <v>0.02</v>
      </c>
      <c r="AJ176">
        <v>0.05</v>
      </c>
    </row>
    <row r="177" ht="25.5" customHeight="1">
      <c r="A177"/>
      <c r="B177"/>
      <c r="C177"/>
      <c r="D177"/>
      <c r="E177"/>
      <c r="F177"/>
      <c r="G177"/>
      <c r="H177"/>
      <c r="I177"/>
      <c r="J177"/>
      <c r="K177"/>
      <c r="L177"/>
      <c r="M177"/>
      <c r="N177"/>
      <c r="O177" t="inlineStr">
        <is>
          <t>0.0100</t>
        </is>
      </c>
      <c r="P177" t="inlineStr">
        <is>
          <t>0.0200</t>
        </is>
      </c>
      <c r="Q177"/>
      <c r="R177"/>
      <c r="S177"/>
      <c r="T177"/>
      <c r="U177"/>
      <c r="V177" t="inlineStr">
        <is>
          <t>0.0</t>
        </is>
      </c>
      <c r="W177" t="inlineStr">
        <is>
          <t>0.0</t>
        </is>
      </c>
      <c r="X177"/>
      <c r="Y177"/>
      <c r="Z177"/>
      <c r="AA177"/>
      <c r="AB177"/>
      <c r="AC177"/>
      <c r="AD177"/>
      <c r="AE177"/>
      <c r="AF177"/>
      <c r="AG177"/>
      <c r="AH177"/>
      <c r="AI177"/>
      <c r="AJ177"/>
    </row>
    <row r="178" ht="25.5" customHeight="1">
      <c r="A178" t="inlineStr">
        <is>
          <t>滤芯(划线价）</t>
        </is>
      </c>
      <c r="B178">
        <v>9</v>
      </c>
      <c r="C178" t="inlineStr">
        <is>
          <t>英国</t>
        </is>
      </c>
      <c r="D178" t="inlineStr">
        <is>
          <t>UK</t>
        </is>
      </c>
      <c r="E178" t="inlineStr">
        <is>
          <t>有</t>
        </is>
      </c>
      <c r="F178" t="inlineStr">
        <is>
          <t>6.7</t>
        </is>
      </c>
      <c r="G178" t="inlineStr">
        <is>
          <t>10.4</t>
        </is>
      </c>
      <c r="H178">
        <v>17.99</v>
      </c>
      <c r="I178"/>
      <c r="J178">
        <v>3.15</v>
      </c>
      <c r="K178">
        <v>0.15</v>
      </c>
      <c r="L178">
        <v>0.16</v>
      </c>
      <c r="M178">
        <v>0.05</v>
      </c>
      <c r="N178" t="inlineStr">
        <is>
          <t>0.000</t>
        </is>
      </c>
      <c r="O178" t="inlineStr">
        <is>
          <t>0.0100</t>
        </is>
      </c>
      <c r="P178" t="inlineStr">
        <is>
          <t>0.0200</t>
        </is>
      </c>
      <c r="Q178">
        <v>0</v>
      </c>
      <c r="R178">
        <v>32</v>
      </c>
      <c r="S178">
        <v>17.3</v>
      </c>
      <c r="T178">
        <v>17.3</v>
      </c>
      <c r="U178">
        <v>1.6</v>
      </c>
      <c r="V178" t="inlineStr">
        <is>
          <t>1.6</t>
        </is>
      </c>
      <c r="W178" t="inlineStr">
        <is>
          <t>1.6</t>
        </is>
      </c>
      <c r="X178" t="inlineStr">
        <is>
          <t>海运</t>
        </is>
      </c>
      <c r="Y178">
        <v>6.6317</v>
      </c>
      <c r="Z178">
        <v>10</v>
      </c>
      <c r="AA178" t="inlineStr">
        <is>
          <t>6.713</t>
        </is>
      </c>
      <c r="AB178" t="inlineStr">
        <is>
          <t>37.31%</t>
        </is>
      </c>
      <c r="AC178"/>
      <c r="AD178" t="inlineStr">
        <is>
          <t>17.51%</t>
        </is>
      </c>
      <c r="AE178" t="inlineStr">
        <is>
          <t>0.00%</t>
        </is>
      </c>
      <c r="AF178" t="inlineStr">
        <is>
          <t>6.18%</t>
        </is>
      </c>
      <c r="AG178">
        <v>0.15</v>
      </c>
      <c r="AH178" t="inlineStr">
        <is>
          <t>0.00%</t>
        </is>
      </c>
      <c r="AI178">
        <v>0.02</v>
      </c>
      <c r="AJ178">
        <v>0.05</v>
      </c>
    </row>
    <row r="179" ht="25.5" customHeight="1">
      <c r="A179" t="inlineStr">
        <is>
          <t>滤芯(coupon-10%）</t>
        </is>
      </c>
      <c r="B179">
        <v>9</v>
      </c>
      <c r="C179" t="inlineStr">
        <is>
          <t>英国</t>
        </is>
      </c>
      <c r="D179" t="inlineStr">
        <is>
          <t>UK</t>
        </is>
      </c>
      <c r="E179" t="inlineStr">
        <is>
          <t>有</t>
        </is>
      </c>
      <c r="F179" t="inlineStr">
        <is>
          <t>6.7</t>
        </is>
      </c>
      <c r="G179" t="inlineStr">
        <is>
          <t>10.4</t>
        </is>
      </c>
      <c r="H179"/>
      <c r="I179"/>
      <c r="J179">
        <v>3.15</v>
      </c>
      <c r="K179">
        <v>0.15</v>
      </c>
      <c r="L179">
        <v>0.16</v>
      </c>
      <c r="M179">
        <v>0.05</v>
      </c>
      <c r="N179"/>
      <c r="O179" t="inlineStr">
        <is>
          <t>0.0100</t>
        </is>
      </c>
      <c r="P179" t="inlineStr">
        <is>
          <t>0.0200</t>
        </is>
      </c>
      <c r="Q179">
        <v>0</v>
      </c>
      <c r="R179">
        <v>32</v>
      </c>
      <c r="S179">
        <v>17.3</v>
      </c>
      <c r="T179">
        <v>17.3</v>
      </c>
      <c r="U179">
        <v>1.6</v>
      </c>
      <c r="V179" t="inlineStr">
        <is>
          <t>1.6</t>
        </is>
      </c>
      <c r="W179" t="inlineStr">
        <is>
          <t>1.6</t>
        </is>
      </c>
      <c r="X179" t="inlineStr">
        <is>
          <t>海运</t>
        </is>
      </c>
      <c r="Y179">
        <v>6.6317</v>
      </c>
      <c r="Z179">
        <v>10</v>
      </c>
      <c r="AA179" t="inlineStr">
        <is>
          <t>-4.261</t>
        </is>
      </c>
      <c r="AB179"/>
      <c r="AC179"/>
      <c r="AD179"/>
      <c r="AE179"/>
      <c r="AF179"/>
      <c r="AG179">
        <v>0.15</v>
      </c>
      <c r="AH179"/>
      <c r="AI179">
        <v>0.02</v>
      </c>
      <c r="AJ179">
        <v>0.05</v>
      </c>
    </row>
    <row r="180" ht="25.5" customHeight="1">
      <c r="A180" t="inlineStr">
        <is>
          <t>滤芯(coupon-20%）</t>
        </is>
      </c>
      <c r="B180">
        <v>9</v>
      </c>
      <c r="C180" t="inlineStr">
        <is>
          <t>英国</t>
        </is>
      </c>
      <c r="D180" t="inlineStr">
        <is>
          <t>UK</t>
        </is>
      </c>
      <c r="E180" t="inlineStr">
        <is>
          <t>有</t>
        </is>
      </c>
      <c r="F180" t="inlineStr">
        <is>
          <t>6.7</t>
        </is>
      </c>
      <c r="G180" t="inlineStr">
        <is>
          <t>10.4</t>
        </is>
      </c>
      <c r="H180"/>
      <c r="I180"/>
      <c r="J180">
        <v>3.15</v>
      </c>
      <c r="K180">
        <v>0.15</v>
      </c>
      <c r="L180">
        <v>0.16</v>
      </c>
      <c r="M180">
        <v>0.05</v>
      </c>
      <c r="N180"/>
      <c r="O180" t="inlineStr">
        <is>
          <t>0.0100</t>
        </is>
      </c>
      <c r="P180" t="inlineStr">
        <is>
          <t>0.0200</t>
        </is>
      </c>
      <c r="Q180">
        <v>0</v>
      </c>
      <c r="R180">
        <v>32</v>
      </c>
      <c r="S180">
        <v>17.3</v>
      </c>
      <c r="T180">
        <v>17.3</v>
      </c>
      <c r="U180">
        <v>1.6</v>
      </c>
      <c r="V180" t="inlineStr">
        <is>
          <t>1.6</t>
        </is>
      </c>
      <c r="W180" t="inlineStr">
        <is>
          <t>1.6</t>
        </is>
      </c>
      <c r="X180" t="inlineStr">
        <is>
          <t>海运</t>
        </is>
      </c>
      <c r="Y180">
        <v>6.6317</v>
      </c>
      <c r="Z180">
        <v>10</v>
      </c>
      <c r="AA180" t="inlineStr">
        <is>
          <t>-4.261</t>
        </is>
      </c>
      <c r="AB180"/>
      <c r="AC180"/>
      <c r="AD180"/>
      <c r="AE180"/>
      <c r="AF180"/>
      <c r="AG180">
        <v>0.15</v>
      </c>
      <c r="AH180"/>
      <c r="AI180">
        <v>0.02</v>
      </c>
      <c r="AJ180">
        <v>0.05</v>
      </c>
    </row>
    <row r="181" ht="25.5" customHeight="1">
      <c r="A181"/>
      <c r="B181"/>
      <c r="C181"/>
      <c r="D181"/>
      <c r="E181"/>
      <c r="F181"/>
      <c r="G181"/>
      <c r="H181"/>
      <c r="I181"/>
      <c r="J181"/>
      <c r="K181"/>
      <c r="L181"/>
      <c r="M181"/>
      <c r="N181"/>
      <c r="O181" t="inlineStr">
        <is>
          <t>0.0100</t>
        </is>
      </c>
      <c r="P181" t="inlineStr">
        <is>
          <t>0.0200</t>
        </is>
      </c>
      <c r="Q181"/>
      <c r="R181"/>
      <c r="S181"/>
      <c r="T181"/>
      <c r="U181"/>
      <c r="V181" t="inlineStr">
        <is>
          <t>0.0</t>
        </is>
      </c>
      <c r="W181" t="inlineStr">
        <is>
          <t>0.0</t>
        </is>
      </c>
      <c r="X181"/>
      <c r="Y181"/>
      <c r="Z181"/>
      <c r="AA181"/>
      <c r="AB181"/>
      <c r="AC181"/>
      <c r="AD181"/>
      <c r="AE181"/>
      <c r="AF181"/>
      <c r="AG181"/>
      <c r="AH181"/>
      <c r="AI181"/>
      <c r="AJ181"/>
    </row>
    <row r="182" ht="25.5" customHeight="1">
      <c r="A182" t="inlineStr">
        <is>
          <t>测距仪  美国B07QXS15N1</t>
        </is>
      </c>
      <c r="B182">
        <v>7.3</v>
      </c>
      <c r="C182" t="inlineStr">
        <is>
          <t>美国</t>
        </is>
      </c>
      <c r="D182" t="inlineStr">
        <is>
          <t>US</t>
        </is>
      </c>
      <c r="E182" t="inlineStr">
        <is>
          <t>无</t>
        </is>
      </c>
      <c r="F182" t="inlineStr">
        <is>
          <t>5.4</t>
        </is>
      </c>
      <c r="G182" t="inlineStr">
        <is>
          <t>7.4</t>
        </is>
      </c>
      <c r="H182">
        <v>39.99</v>
      </c>
      <c r="I182"/>
      <c r="J182">
        <v>4.55</v>
      </c>
      <c r="K182">
        <v>0.15</v>
      </c>
      <c r="L182">
        <v>0</v>
      </c>
      <c r="M182">
        <v>0.0043</v>
      </c>
      <c r="N182" t="inlineStr">
        <is>
          <t>0.000</t>
        </is>
      </c>
      <c r="O182" t="inlineStr">
        <is>
          <t>0.0100</t>
        </is>
      </c>
      <c r="P182" t="inlineStr">
        <is>
          <t>0.0200</t>
        </is>
      </c>
      <c r="Q182"/>
      <c r="R182">
        <v>19.3</v>
      </c>
      <c r="S182">
        <v>13.21</v>
      </c>
      <c r="T182">
        <v>5.08</v>
      </c>
      <c r="U182">
        <v>0.331</v>
      </c>
      <c r="V182" t="inlineStr">
        <is>
          <t>0.2</t>
        </is>
      </c>
      <c r="W182" t="inlineStr">
        <is>
          <t>0.3</t>
        </is>
      </c>
      <c r="X182" t="inlineStr">
        <is>
          <t>海运</t>
        </is>
      </c>
      <c r="Y182">
        <v>23</v>
      </c>
      <c r="Z182"/>
      <c r="AA182" t="inlineStr">
        <is>
          <t>28.070</t>
        </is>
      </c>
      <c r="AB182" t="inlineStr">
        <is>
          <t>70.19%</t>
        </is>
      </c>
      <c r="AC182"/>
      <c r="AD182" t="inlineStr">
        <is>
          <t>11.38%</t>
        </is>
      </c>
      <c r="AE182" t="inlineStr">
        <is>
          <t>0.00%</t>
        </is>
      </c>
      <c r="AF182" t="inlineStr">
        <is>
          <t>0.00%</t>
        </is>
      </c>
      <c r="AG182">
        <v>0.15</v>
      </c>
      <c r="AH182" t="inlineStr">
        <is>
          <t>0.00%</t>
        </is>
      </c>
      <c r="AI182">
        <v>0.02</v>
      </c>
      <c r="AJ182">
        <v>0.0043</v>
      </c>
    </row>
    <row r="183" ht="25.5" customHeight="1">
      <c r="A183" t="inlineStr">
        <is>
          <t>测距仪  美国B07QXS15N1</t>
        </is>
      </c>
      <c r="B183">
        <v>7.3</v>
      </c>
      <c r="C183" t="inlineStr">
        <is>
          <t>美国</t>
        </is>
      </c>
      <c r="D183" t="inlineStr">
        <is>
          <t>US</t>
        </is>
      </c>
      <c r="E183" t="inlineStr">
        <is>
          <t>无</t>
        </is>
      </c>
      <c r="F183" t="inlineStr">
        <is>
          <t>5.4</t>
        </is>
      </c>
      <c r="G183" t="inlineStr">
        <is>
          <t>7.4</t>
        </is>
      </c>
      <c r="H183">
        <v>35.99</v>
      </c>
      <c r="I183"/>
      <c r="J183">
        <v>4.55</v>
      </c>
      <c r="K183">
        <v>0.15</v>
      </c>
      <c r="L183">
        <v>0</v>
      </c>
      <c r="M183">
        <v>0.0043</v>
      </c>
      <c r="N183" t="inlineStr">
        <is>
          <t>0.000</t>
        </is>
      </c>
      <c r="O183" t="inlineStr">
        <is>
          <t>0.0100</t>
        </is>
      </c>
      <c r="P183" t="inlineStr">
        <is>
          <t>0.0200</t>
        </is>
      </c>
      <c r="Q183"/>
      <c r="R183">
        <v>19.3</v>
      </c>
      <c r="S183">
        <v>13.21</v>
      </c>
      <c r="T183">
        <v>5.08</v>
      </c>
      <c r="U183">
        <v>0.331</v>
      </c>
      <c r="V183" t="inlineStr">
        <is>
          <t>0.2</t>
        </is>
      </c>
      <c r="W183" t="inlineStr">
        <is>
          <t>0.3</t>
        </is>
      </c>
      <c r="X183" t="inlineStr">
        <is>
          <t>海运</t>
        </is>
      </c>
      <c r="Y183">
        <v>23</v>
      </c>
      <c r="Z183"/>
      <c r="AA183" t="inlineStr">
        <is>
          <t>24.807</t>
        </is>
      </c>
      <c r="AB183" t="inlineStr">
        <is>
          <t>68.93%</t>
        </is>
      </c>
      <c r="AC183"/>
      <c r="AD183" t="inlineStr">
        <is>
          <t>12.64%</t>
        </is>
      </c>
      <c r="AE183" t="inlineStr">
        <is>
          <t>0.00%</t>
        </is>
      </c>
      <c r="AF183" t="inlineStr">
        <is>
          <t>0.00%</t>
        </is>
      </c>
      <c r="AG183">
        <v>0.15</v>
      </c>
      <c r="AH183" t="inlineStr">
        <is>
          <t>0.00%</t>
        </is>
      </c>
      <c r="AI183">
        <v>0.02</v>
      </c>
      <c r="AJ183">
        <v>0.0043</v>
      </c>
    </row>
    <row r="184" ht="25.5" customHeight="1">
      <c r="A184" t="inlineStr">
        <is>
          <t>测距仪  美国B07QXS15N1</t>
        </is>
      </c>
      <c r="B184">
        <v>7.3</v>
      </c>
      <c r="C184" t="inlineStr">
        <is>
          <t>美国</t>
        </is>
      </c>
      <c r="D184" t="inlineStr">
        <is>
          <t>US</t>
        </is>
      </c>
      <c r="E184" t="inlineStr">
        <is>
          <t>无</t>
        </is>
      </c>
      <c r="F184" t="inlineStr">
        <is>
          <t>5.4</t>
        </is>
      </c>
      <c r="G184" t="inlineStr">
        <is>
          <t>7.4</t>
        </is>
      </c>
      <c r="H184">
        <v>32.99</v>
      </c>
      <c r="I184"/>
      <c r="J184">
        <v>4.55</v>
      </c>
      <c r="K184">
        <v>0.15</v>
      </c>
      <c r="L184">
        <v>0</v>
      </c>
      <c r="M184">
        <v>0.0043</v>
      </c>
      <c r="N184" t="inlineStr">
        <is>
          <t>0.000</t>
        </is>
      </c>
      <c r="O184" t="inlineStr">
        <is>
          <t>0.0100</t>
        </is>
      </c>
      <c r="P184" t="inlineStr">
        <is>
          <t>0.0200</t>
        </is>
      </c>
      <c r="Q184"/>
      <c r="R184">
        <v>19.3</v>
      </c>
      <c r="S184">
        <v>13.21</v>
      </c>
      <c r="T184">
        <v>5.08</v>
      </c>
      <c r="U184">
        <v>0.331</v>
      </c>
      <c r="V184" t="inlineStr">
        <is>
          <t>0.2</t>
        </is>
      </c>
      <c r="W184" t="inlineStr">
        <is>
          <t>0.3</t>
        </is>
      </c>
      <c r="X184" t="inlineStr">
        <is>
          <t>海运</t>
        </is>
      </c>
      <c r="Y184">
        <v>23</v>
      </c>
      <c r="Z184"/>
      <c r="AA184" t="inlineStr">
        <is>
          <t>22.360</t>
        </is>
      </c>
      <c r="AB184" t="inlineStr">
        <is>
          <t>67.78%</t>
        </is>
      </c>
      <c r="AC184"/>
      <c r="AD184" t="inlineStr">
        <is>
          <t>13.79%</t>
        </is>
      </c>
      <c r="AE184" t="inlineStr">
        <is>
          <t>0.00%</t>
        </is>
      </c>
      <c r="AF184" t="inlineStr">
        <is>
          <t>0.00%</t>
        </is>
      </c>
      <c r="AG184">
        <v>0.15</v>
      </c>
      <c r="AH184" t="inlineStr">
        <is>
          <t>0.00%</t>
        </is>
      </c>
      <c r="AI184">
        <v>0.02</v>
      </c>
      <c r="AJ184">
        <v>0.0043</v>
      </c>
    </row>
    <row r="185" ht="25.5" customHeight="1">
      <c r="A185" t="inlineStr">
        <is>
          <t>测距仪  美国B07QXS15N1</t>
        </is>
      </c>
      <c r="B185">
        <v>7.3</v>
      </c>
      <c r="C185" t="inlineStr">
        <is>
          <t>美国</t>
        </is>
      </c>
      <c r="D185" t="inlineStr">
        <is>
          <t>US</t>
        </is>
      </c>
      <c r="E185" t="inlineStr">
        <is>
          <t>无</t>
        </is>
      </c>
      <c r="F185" t="inlineStr">
        <is>
          <t>5.4</t>
        </is>
      </c>
      <c r="G185" t="inlineStr">
        <is>
          <t>7.4</t>
        </is>
      </c>
      <c r="H185">
        <v>29.99</v>
      </c>
      <c r="I185"/>
      <c r="J185">
        <v>4.55</v>
      </c>
      <c r="K185">
        <v>0.15</v>
      </c>
      <c r="L185">
        <v>0</v>
      </c>
      <c r="M185">
        <v>0.0043</v>
      </c>
      <c r="N185" t="inlineStr">
        <is>
          <t>0.000</t>
        </is>
      </c>
      <c r="O185" t="inlineStr">
        <is>
          <t>0.0100</t>
        </is>
      </c>
      <c r="P185" t="inlineStr">
        <is>
          <t>0.0200</t>
        </is>
      </c>
      <c r="Q185"/>
      <c r="R185">
        <v>19.3</v>
      </c>
      <c r="S185">
        <v>13.21</v>
      </c>
      <c r="T185">
        <v>5.08</v>
      </c>
      <c r="U185">
        <v>0.331</v>
      </c>
      <c r="V185" t="inlineStr">
        <is>
          <t>0.2</t>
        </is>
      </c>
      <c r="W185" t="inlineStr">
        <is>
          <t>0.3</t>
        </is>
      </c>
      <c r="X185" t="inlineStr">
        <is>
          <t>海运</t>
        </is>
      </c>
      <c r="Y185">
        <v>23</v>
      </c>
      <c r="Z185"/>
      <c r="AA185" t="inlineStr">
        <is>
          <t>19.913</t>
        </is>
      </c>
      <c r="AB185" t="inlineStr">
        <is>
          <t>66.40%</t>
        </is>
      </c>
      <c r="AC185"/>
      <c r="AD185" t="inlineStr">
        <is>
          <t>15.17%</t>
        </is>
      </c>
      <c r="AE185" t="inlineStr">
        <is>
          <t>0.00%</t>
        </is>
      </c>
      <c r="AF185" t="inlineStr">
        <is>
          <t>0.00%</t>
        </is>
      </c>
      <c r="AG185">
        <v>0.15</v>
      </c>
      <c r="AH185" t="inlineStr">
        <is>
          <t>0.00%</t>
        </is>
      </c>
      <c r="AI185">
        <v>0.02</v>
      </c>
      <c r="AJ185">
        <v>0.0043</v>
      </c>
    </row>
    <row r="186" ht="25.5" customHeight="1">
      <c r="A186"/>
      <c r="B186"/>
      <c r="C186"/>
      <c r="D186"/>
      <c r="E186"/>
      <c r="F186"/>
      <c r="G186"/>
      <c r="H186"/>
      <c r="I186"/>
      <c r="J186"/>
      <c r="K186"/>
      <c r="L186"/>
      <c r="M186"/>
      <c r="N186"/>
      <c r="O186" t="inlineStr">
        <is>
          <t>0.0100</t>
        </is>
      </c>
      <c r="P186" t="inlineStr">
        <is>
          <t>0.0200</t>
        </is>
      </c>
      <c r="Q186"/>
      <c r="R186"/>
      <c r="S186"/>
      <c r="T186"/>
      <c r="U186"/>
      <c r="V186" t="inlineStr">
        <is>
          <t>0.0</t>
        </is>
      </c>
      <c r="W186" t="inlineStr">
        <is>
          <t>0.0</t>
        </is>
      </c>
      <c r="X186"/>
      <c r="Y186"/>
      <c r="Z186"/>
      <c r="AA186"/>
      <c r="AB186"/>
      <c r="AC186"/>
      <c r="AD186"/>
      <c r="AE186"/>
      <c r="AF186"/>
      <c r="AG186"/>
      <c r="AH186"/>
      <c r="AI186"/>
      <c r="AJ186"/>
    </row>
    <row r="187" ht="25.5" customHeight="1">
      <c r="A187"/>
      <c r="B187"/>
      <c r="C187"/>
      <c r="D187"/>
      <c r="E187"/>
      <c r="F187"/>
      <c r="G187"/>
      <c r="H187"/>
      <c r="I187"/>
      <c r="J187"/>
      <c r="K187"/>
      <c r="L187"/>
      <c r="M187"/>
      <c r="N187"/>
      <c r="O187" t="inlineStr">
        <is>
          <t>0.0100</t>
        </is>
      </c>
      <c r="P187" t="inlineStr">
        <is>
          <t>0.0200</t>
        </is>
      </c>
      <c r="Q187"/>
      <c r="R187"/>
      <c r="S187"/>
      <c r="T187"/>
      <c r="U187"/>
      <c r="V187" t="inlineStr">
        <is>
          <t>0.0</t>
        </is>
      </c>
      <c r="W187" t="inlineStr">
        <is>
          <t>0.0</t>
        </is>
      </c>
      <c r="X187"/>
      <c r="Y187"/>
      <c r="Z187"/>
      <c r="AA187"/>
      <c r="AB187"/>
      <c r="AC187"/>
      <c r="AD187"/>
      <c r="AE187"/>
      <c r="AF187"/>
      <c r="AG187"/>
      <c r="AH187"/>
      <c r="AI187"/>
      <c r="AJ187"/>
    </row>
    <row r="188" ht="25.5" customHeight="1">
      <c r="A188" t="inlineStr">
        <is>
          <t>蒸汽熨斗-（划线30%）</t>
        </is>
      </c>
      <c r="B188">
        <v>7</v>
      </c>
      <c r="C188" t="inlineStr">
        <is>
          <t>德国</t>
        </is>
      </c>
      <c r="D188" t="inlineStr">
        <is>
          <t>US</t>
        </is>
      </c>
      <c r="E188" t="inlineStr">
        <is>
          <t>有</t>
        </is>
      </c>
      <c r="F188" t="inlineStr">
        <is>
          <t>12.6</t>
        </is>
      </c>
      <c r="G188" t="inlineStr">
        <is>
          <t>19.9</t>
        </is>
      </c>
      <c r="H188">
        <v>69.99</v>
      </c>
      <c r="I188"/>
      <c r="J188">
        <v>6.62</v>
      </c>
      <c r="K188">
        <v>0.15</v>
      </c>
      <c r="L188">
        <v>0</v>
      </c>
      <c r="M188">
        <v>0.05</v>
      </c>
      <c r="N188" t="inlineStr">
        <is>
          <t>0.171</t>
        </is>
      </c>
      <c r="O188" t="inlineStr">
        <is>
          <t>0.0100</t>
        </is>
      </c>
      <c r="P188" t="inlineStr">
        <is>
          <t>0.0200</t>
        </is>
      </c>
      <c r="Q188">
        <v>12</v>
      </c>
      <c r="R188">
        <v>33.5</v>
      </c>
      <c r="S188">
        <v>26.5</v>
      </c>
      <c r="T188">
        <v>25</v>
      </c>
      <c r="U188">
        <v>2.3</v>
      </c>
      <c r="V188" t="inlineStr">
        <is>
          <t>3.7</t>
        </is>
      </c>
      <c r="W188" t="inlineStr">
        <is>
          <t>3.7</t>
        </is>
      </c>
      <c r="X188" t="inlineStr">
        <is>
          <t>海运</t>
        </is>
      </c>
      <c r="Y188">
        <v>5.55136</v>
      </c>
      <c r="Z188">
        <v>9.1</v>
      </c>
      <c r="AA188" t="inlineStr">
        <is>
          <t>33.972</t>
        </is>
      </c>
      <c r="AB188" t="inlineStr">
        <is>
          <t>48.54%</t>
        </is>
      </c>
      <c r="AC188"/>
      <c r="AD188" t="inlineStr">
        <is>
          <t>9.46%</t>
        </is>
      </c>
      <c r="AE188" t="inlineStr">
        <is>
          <t>0.00%</t>
        </is>
      </c>
      <c r="AF188" t="inlineStr">
        <is>
          <t>1.86%</t>
        </is>
      </c>
      <c r="AG188">
        <v>0.15</v>
      </c>
      <c r="AH188" t="inlineStr">
        <is>
          <t>17.15%</t>
        </is>
      </c>
      <c r="AI188">
        <v>0.02</v>
      </c>
      <c r="AJ188">
        <v>0.05</v>
      </c>
    </row>
    <row r="189" ht="25.5" customHeight="1">
      <c r="A189" t="inlineStr">
        <is>
          <t>蒸汽熨斗-（15%）coupon</t>
        </is>
      </c>
      <c r="B189">
        <v>7</v>
      </c>
      <c r="C189" t="inlineStr">
        <is>
          <t>德国</t>
        </is>
      </c>
      <c r="D189" t="inlineStr">
        <is>
          <t>US</t>
        </is>
      </c>
      <c r="E189" t="inlineStr">
        <is>
          <t>有</t>
        </is>
      </c>
      <c r="F189" t="inlineStr">
        <is>
          <t>9.9</t>
        </is>
      </c>
      <c r="G189" t="inlineStr">
        <is>
          <t>13.9</t>
        </is>
      </c>
      <c r="H189"/>
      <c r="I189"/>
      <c r="J189">
        <v>6.62</v>
      </c>
      <c r="K189">
        <v>0.15</v>
      </c>
      <c r="L189">
        <v>0</v>
      </c>
      <c r="M189">
        <v>0.05</v>
      </c>
      <c r="N189"/>
      <c r="O189" t="inlineStr">
        <is>
          <t>0.0100</t>
        </is>
      </c>
      <c r="P189" t="inlineStr">
        <is>
          <t>0.0200</t>
        </is>
      </c>
      <c r="Q189">
        <v>10</v>
      </c>
      <c r="R189">
        <v>33.5</v>
      </c>
      <c r="S189">
        <v>26.5</v>
      </c>
      <c r="T189">
        <v>25</v>
      </c>
      <c r="U189">
        <v>2.3</v>
      </c>
      <c r="V189" t="inlineStr">
        <is>
          <t>3.7</t>
        </is>
      </c>
      <c r="W189" t="inlineStr">
        <is>
          <t>3.7</t>
        </is>
      </c>
      <c r="X189" t="inlineStr">
        <is>
          <t>海运</t>
        </is>
      </c>
      <c r="Y189">
        <v>5.55136</v>
      </c>
      <c r="Z189">
        <v>9.1</v>
      </c>
      <c r="AA189" t="inlineStr">
        <is>
          <t>-7.920</t>
        </is>
      </c>
      <c r="AB189"/>
      <c r="AC189"/>
      <c r="AD189"/>
      <c r="AE189"/>
      <c r="AF189"/>
      <c r="AG189">
        <v>0.15</v>
      </c>
      <c r="AH189"/>
      <c r="AI189">
        <v>0.02</v>
      </c>
      <c r="AJ189">
        <v>0.05</v>
      </c>
    </row>
    <row r="190" ht="25.5" customHeight="1">
      <c r="A190" t="inlineStr">
        <is>
          <t>蒸汽熨斗-（20%）PD</t>
        </is>
      </c>
      <c r="B190">
        <v>7</v>
      </c>
      <c r="C190" t="inlineStr">
        <is>
          <t>德国</t>
        </is>
      </c>
      <c r="D190" t="inlineStr">
        <is>
          <t>US</t>
        </is>
      </c>
      <c r="E190" t="inlineStr">
        <is>
          <t>有</t>
        </is>
      </c>
      <c r="F190" t="inlineStr">
        <is>
          <t>9.9</t>
        </is>
      </c>
      <c r="G190" t="inlineStr">
        <is>
          <t>13.9</t>
        </is>
      </c>
      <c r="H190"/>
      <c r="I190"/>
      <c r="J190">
        <v>6.62</v>
      </c>
      <c r="K190">
        <v>0.15</v>
      </c>
      <c r="L190">
        <v>0</v>
      </c>
      <c r="M190">
        <v>0.05</v>
      </c>
      <c r="N190"/>
      <c r="O190" t="inlineStr">
        <is>
          <t>0.0100</t>
        </is>
      </c>
      <c r="P190" t="inlineStr">
        <is>
          <t>0.0200</t>
        </is>
      </c>
      <c r="Q190">
        <v>8</v>
      </c>
      <c r="R190">
        <v>33.5</v>
      </c>
      <c r="S190">
        <v>26.5</v>
      </c>
      <c r="T190">
        <v>25</v>
      </c>
      <c r="U190">
        <v>2.3</v>
      </c>
      <c r="V190" t="inlineStr">
        <is>
          <t>3.7</t>
        </is>
      </c>
      <c r="W190" t="inlineStr">
        <is>
          <t>3.7</t>
        </is>
      </c>
      <c r="X190" t="inlineStr">
        <is>
          <t>海运</t>
        </is>
      </c>
      <c r="Y190">
        <v>5.55136</v>
      </c>
      <c r="Z190">
        <v>9.1</v>
      </c>
      <c r="AA190" t="inlineStr">
        <is>
          <t>-7.920</t>
        </is>
      </c>
      <c r="AB190"/>
      <c r="AC190"/>
      <c r="AD190"/>
      <c r="AE190"/>
      <c r="AF190"/>
      <c r="AG190">
        <v>0.15</v>
      </c>
      <c r="AH190"/>
      <c r="AI190">
        <v>0.02</v>
      </c>
      <c r="AJ190">
        <v>0.05</v>
      </c>
    </row>
    <row r="191" ht="25.5" customHeight="1">
      <c r="A191"/>
      <c r="B191"/>
      <c r="C191"/>
      <c r="D191"/>
      <c r="E191"/>
      <c r="F191"/>
      <c r="G191"/>
      <c r="H191"/>
      <c r="I191"/>
      <c r="J191"/>
      <c r="K191"/>
      <c r="L191"/>
      <c r="M191"/>
      <c r="N191"/>
      <c r="O191" t="inlineStr">
        <is>
          <t>0.0100</t>
        </is>
      </c>
      <c r="P191" t="inlineStr">
        <is>
          <t>0.0200</t>
        </is>
      </c>
      <c r="Q191"/>
      <c r="R191"/>
      <c r="S191"/>
      <c r="T191"/>
      <c r="U191"/>
      <c r="V191" t="inlineStr">
        <is>
          <t>0.0</t>
        </is>
      </c>
      <c r="W191" t="inlineStr">
        <is>
          <t>0.0</t>
        </is>
      </c>
      <c r="X191"/>
      <c r="Y191"/>
      <c r="Z191"/>
      <c r="AA191"/>
      <c r="AB191"/>
      <c r="AC191"/>
      <c r="AD191"/>
      <c r="AE191"/>
      <c r="AF191"/>
      <c r="AG191"/>
      <c r="AH191"/>
      <c r="AI191"/>
      <c r="AJ191"/>
    </row>
    <row r="192" ht="25.5" customHeight="1">
      <c r="A192" t="inlineStr">
        <is>
          <t>蒸汽熨斗-（划线30%）</t>
        </is>
      </c>
      <c r="B192">
        <v>8</v>
      </c>
      <c r="C192" t="inlineStr">
        <is>
          <t>德国</t>
        </is>
      </c>
      <c r="D192" t="inlineStr">
        <is>
          <t>DE</t>
        </is>
      </c>
      <c r="E192" t="inlineStr">
        <is>
          <t>有</t>
        </is>
      </c>
      <c r="F192" t="inlineStr">
        <is>
          <t>10.8</t>
        </is>
      </c>
      <c r="G192" t="inlineStr">
        <is>
          <t>20.9</t>
        </is>
      </c>
      <c r="H192">
        <v>59.99</v>
      </c>
      <c r="I192"/>
      <c r="J192">
        <v>4.28</v>
      </c>
      <c r="K192">
        <v>0.15</v>
      </c>
      <c r="L192">
        <v>0.16</v>
      </c>
      <c r="M192">
        <v>0.05</v>
      </c>
      <c r="N192" t="inlineStr">
        <is>
          <t>0.167</t>
        </is>
      </c>
      <c r="O192" t="inlineStr">
        <is>
          <t>0.0100</t>
        </is>
      </c>
      <c r="P192" t="inlineStr">
        <is>
          <t>0.0200</t>
        </is>
      </c>
      <c r="Q192">
        <v>10</v>
      </c>
      <c r="R192">
        <v>33.5</v>
      </c>
      <c r="S192">
        <v>26.5</v>
      </c>
      <c r="T192">
        <v>25</v>
      </c>
      <c r="U192">
        <v>2.3</v>
      </c>
      <c r="V192" t="inlineStr">
        <is>
          <t>3.7</t>
        </is>
      </c>
      <c r="W192" t="inlineStr">
        <is>
          <t>3.7</t>
        </is>
      </c>
      <c r="X192" t="inlineStr">
        <is>
          <t>海运</t>
        </is>
      </c>
      <c r="Y192">
        <v>5.55136</v>
      </c>
      <c r="Z192">
        <v>6.5</v>
      </c>
      <c r="AA192" t="inlineStr">
        <is>
          <t>21.501</t>
        </is>
      </c>
      <c r="AB192" t="inlineStr">
        <is>
          <t>35.84%</t>
        </is>
      </c>
      <c r="AC192"/>
      <c r="AD192" t="inlineStr">
        <is>
          <t>7.13%</t>
        </is>
      </c>
      <c r="AE192" t="inlineStr">
        <is>
          <t>0.00%</t>
        </is>
      </c>
      <c r="AF192" t="inlineStr">
        <is>
          <t>1.35%</t>
        </is>
      </c>
      <c r="AG192">
        <v>0.15</v>
      </c>
      <c r="AH192" t="inlineStr">
        <is>
          <t>16.67%</t>
        </is>
      </c>
      <c r="AI192">
        <v>0.02</v>
      </c>
      <c r="AJ192">
        <v>0.05</v>
      </c>
    </row>
    <row r="193" ht="25.5" customHeight="1">
      <c r="A193" t="inlineStr">
        <is>
          <t>蒸汽熨斗-（15%）coupon</t>
        </is>
      </c>
      <c r="B193">
        <v>8</v>
      </c>
      <c r="C193" t="inlineStr">
        <is>
          <t>德国</t>
        </is>
      </c>
      <c r="D193" t="inlineStr">
        <is>
          <t>DE</t>
        </is>
      </c>
      <c r="E193" t="inlineStr">
        <is>
          <t>有</t>
        </is>
      </c>
      <c r="F193" t="inlineStr">
        <is>
          <t>8.0</t>
        </is>
      </c>
      <c r="G193" t="inlineStr">
        <is>
          <t>12.4</t>
        </is>
      </c>
      <c r="H193"/>
      <c r="I193"/>
      <c r="J193">
        <v>4.28</v>
      </c>
      <c r="K193">
        <v>0.15</v>
      </c>
      <c r="L193">
        <v>0.16</v>
      </c>
      <c r="M193">
        <v>0.05</v>
      </c>
      <c r="N193"/>
      <c r="O193" t="inlineStr">
        <is>
          <t>0.0100</t>
        </is>
      </c>
      <c r="P193" t="inlineStr">
        <is>
          <t>0.0200</t>
        </is>
      </c>
      <c r="Q193">
        <v>9</v>
      </c>
      <c r="R193">
        <v>33.5</v>
      </c>
      <c r="S193">
        <v>26.5</v>
      </c>
      <c r="T193">
        <v>25</v>
      </c>
      <c r="U193">
        <v>2.3</v>
      </c>
      <c r="V193" t="inlineStr">
        <is>
          <t>3.7</t>
        </is>
      </c>
      <c r="W193" t="inlineStr">
        <is>
          <t>3.7</t>
        </is>
      </c>
      <c r="X193" t="inlineStr">
        <is>
          <t>海运</t>
        </is>
      </c>
      <c r="Y193">
        <v>5.55136</v>
      </c>
      <c r="Z193">
        <v>6.5</v>
      </c>
      <c r="AA193" t="inlineStr">
        <is>
          <t>-5.093</t>
        </is>
      </c>
      <c r="AB193"/>
      <c r="AC193"/>
      <c r="AD193"/>
      <c r="AE193"/>
      <c r="AF193"/>
      <c r="AG193">
        <v>0.15</v>
      </c>
      <c r="AH193"/>
      <c r="AI193">
        <v>0.02</v>
      </c>
      <c r="AJ193">
        <v>0.05</v>
      </c>
    </row>
    <row r="194" ht="25.5" customHeight="1">
      <c r="A194" t="inlineStr">
        <is>
          <t>蒸汽熨斗-（20%）PD</t>
        </is>
      </c>
      <c r="B194">
        <v>8</v>
      </c>
      <c r="C194" t="inlineStr">
        <is>
          <t>德国</t>
        </is>
      </c>
      <c r="D194" t="inlineStr">
        <is>
          <t>DE</t>
        </is>
      </c>
      <c r="E194" t="inlineStr">
        <is>
          <t>有</t>
        </is>
      </c>
      <c r="F194" t="inlineStr">
        <is>
          <t>8.0</t>
        </is>
      </c>
      <c r="G194" t="inlineStr">
        <is>
          <t>12.4</t>
        </is>
      </c>
      <c r="H194"/>
      <c r="I194"/>
      <c r="J194">
        <v>4.28</v>
      </c>
      <c r="K194">
        <v>0.15</v>
      </c>
      <c r="L194">
        <v>0.16</v>
      </c>
      <c r="M194">
        <v>0.05</v>
      </c>
      <c r="N194"/>
      <c r="O194" t="inlineStr">
        <is>
          <t>0.0100</t>
        </is>
      </c>
      <c r="P194" t="inlineStr">
        <is>
          <t>0.0200</t>
        </is>
      </c>
      <c r="Q194">
        <v>8</v>
      </c>
      <c r="R194">
        <v>33.5</v>
      </c>
      <c r="S194">
        <v>26.5</v>
      </c>
      <c r="T194">
        <v>25</v>
      </c>
      <c r="U194">
        <v>2.3</v>
      </c>
      <c r="V194" t="inlineStr">
        <is>
          <t>3.7</t>
        </is>
      </c>
      <c r="W194" t="inlineStr">
        <is>
          <t>3.7</t>
        </is>
      </c>
      <c r="X194" t="inlineStr">
        <is>
          <t>海运</t>
        </is>
      </c>
      <c r="Y194">
        <v>5.55136</v>
      </c>
      <c r="Z194">
        <v>6.5</v>
      </c>
      <c r="AA194" t="inlineStr">
        <is>
          <t>-5.093</t>
        </is>
      </c>
      <c r="AB194"/>
      <c r="AC194"/>
      <c r="AD194"/>
      <c r="AE194"/>
      <c r="AF194"/>
      <c r="AG194">
        <v>0.15</v>
      </c>
      <c r="AH194"/>
      <c r="AI194">
        <v>0.02</v>
      </c>
      <c r="AJ194">
        <v>0.05</v>
      </c>
    </row>
    <row r="195" ht="25.5" customHeight="1">
      <c r="A195"/>
      <c r="B195"/>
      <c r="C195"/>
      <c r="D195"/>
      <c r="E195"/>
      <c r="F195"/>
      <c r="G195"/>
      <c r="H195"/>
      <c r="I195"/>
      <c r="J195"/>
      <c r="K195"/>
      <c r="L195"/>
      <c r="M195"/>
      <c r="N195"/>
      <c r="O195" t="inlineStr">
        <is>
          <t>0.0100</t>
        </is>
      </c>
      <c r="P195" t="inlineStr">
        <is>
          <t>0.0200</t>
        </is>
      </c>
      <c r="Q195"/>
      <c r="R195"/>
      <c r="S195"/>
      <c r="T195"/>
      <c r="U195"/>
      <c r="V195" t="inlineStr">
        <is>
          <t>0.0</t>
        </is>
      </c>
      <c r="W195" t="inlineStr">
        <is>
          <t>0.0</t>
        </is>
      </c>
      <c r="X195"/>
      <c r="Y195"/>
      <c r="Z195"/>
      <c r="AA195"/>
      <c r="AB195"/>
      <c r="AC195"/>
      <c r="AD195"/>
      <c r="AE195"/>
      <c r="AF195"/>
      <c r="AG195"/>
      <c r="AH195"/>
      <c r="AI195"/>
      <c r="AJ195"/>
    </row>
    <row r="196" ht="25.5" customHeight="1">
      <c r="A196" t="inlineStr">
        <is>
          <t>蒸汽熨斗-（划线30%）</t>
        </is>
      </c>
      <c r="B196">
        <v>8</v>
      </c>
      <c r="C196" t="inlineStr">
        <is>
          <t>法国</t>
        </is>
      </c>
      <c r="D196" t="inlineStr">
        <is>
          <t>FR</t>
        </is>
      </c>
      <c r="E196" t="inlineStr">
        <is>
          <t>有</t>
        </is>
      </c>
      <c r="F196" t="inlineStr">
        <is>
          <t>15.3</t>
        </is>
      </c>
      <c r="G196" t="inlineStr">
        <is>
          <t>29.7</t>
        </is>
      </c>
      <c r="H196">
        <v>59.99</v>
      </c>
      <c r="I196"/>
      <c r="J196">
        <v>6.41</v>
      </c>
      <c r="K196">
        <v>0.15</v>
      </c>
      <c r="L196">
        <v>0.16</v>
      </c>
      <c r="M196">
        <v>0.05</v>
      </c>
      <c r="N196" t="inlineStr">
        <is>
          <t>0.167</t>
        </is>
      </c>
      <c r="O196" t="inlineStr">
        <is>
          <t>0.0100</t>
        </is>
      </c>
      <c r="P196" t="inlineStr">
        <is>
          <t>0.0200</t>
        </is>
      </c>
      <c r="Q196">
        <v>10</v>
      </c>
      <c r="R196">
        <v>33.5</v>
      </c>
      <c r="S196">
        <v>26.5</v>
      </c>
      <c r="T196">
        <v>25</v>
      </c>
      <c r="U196">
        <v>2.3</v>
      </c>
      <c r="V196" t="inlineStr">
        <is>
          <t>3.7</t>
        </is>
      </c>
      <c r="W196" t="inlineStr">
        <is>
          <t>3.7</t>
        </is>
      </c>
      <c r="X196" t="inlineStr">
        <is>
          <t>海运</t>
        </is>
      </c>
      <c r="Y196">
        <v>5.55136</v>
      </c>
      <c r="Z196">
        <v>6.5</v>
      </c>
      <c r="AA196" t="inlineStr">
        <is>
          <t>19.371</t>
        </is>
      </c>
      <c r="AB196" t="inlineStr">
        <is>
          <t>32.29%</t>
        </is>
      </c>
      <c r="AC196"/>
      <c r="AD196" t="inlineStr">
        <is>
          <t>10.69%</t>
        </is>
      </c>
      <c r="AE196" t="inlineStr">
        <is>
          <t>0.00%</t>
        </is>
      </c>
      <c r="AF196" t="inlineStr">
        <is>
          <t>1.35%</t>
        </is>
      </c>
      <c r="AG196">
        <v>0.15</v>
      </c>
      <c r="AH196" t="inlineStr">
        <is>
          <t>16.67%</t>
        </is>
      </c>
      <c r="AI196">
        <v>0.02</v>
      </c>
      <c r="AJ196">
        <v>0.05</v>
      </c>
    </row>
    <row r="197" ht="25.5" customHeight="1">
      <c r="A197" t="inlineStr">
        <is>
          <t>蒸汽熨斗-（15%）coupon</t>
        </is>
      </c>
      <c r="B197">
        <v>8</v>
      </c>
      <c r="C197" t="inlineStr">
        <is>
          <t>法国</t>
        </is>
      </c>
      <c r="D197" t="inlineStr">
        <is>
          <t>FR</t>
        </is>
      </c>
      <c r="E197" t="inlineStr">
        <is>
          <t>有</t>
        </is>
      </c>
      <c r="F197" t="inlineStr">
        <is>
          <t>11.3</t>
        </is>
      </c>
      <c r="G197" t="inlineStr">
        <is>
          <t>17.6</t>
        </is>
      </c>
      <c r="H197"/>
      <c r="I197"/>
      <c r="J197">
        <v>6.41</v>
      </c>
      <c r="K197">
        <v>0.15</v>
      </c>
      <c r="L197">
        <v>0.16</v>
      </c>
      <c r="M197">
        <v>0.05</v>
      </c>
      <c r="N197"/>
      <c r="O197" t="inlineStr">
        <is>
          <t>0.0100</t>
        </is>
      </c>
      <c r="P197" t="inlineStr">
        <is>
          <t>0.0200</t>
        </is>
      </c>
      <c r="Q197">
        <v>9</v>
      </c>
      <c r="R197">
        <v>33.5</v>
      </c>
      <c r="S197">
        <v>26.5</v>
      </c>
      <c r="T197">
        <v>25</v>
      </c>
      <c r="U197">
        <v>2.3</v>
      </c>
      <c r="V197" t="inlineStr">
        <is>
          <t>3.7</t>
        </is>
      </c>
      <c r="W197" t="inlineStr">
        <is>
          <t>3.7</t>
        </is>
      </c>
      <c r="X197" t="inlineStr">
        <is>
          <t>海运</t>
        </is>
      </c>
      <c r="Y197">
        <v>5.55136</v>
      </c>
      <c r="Z197">
        <v>6.5</v>
      </c>
      <c r="AA197" t="inlineStr">
        <is>
          <t>-7.223</t>
        </is>
      </c>
      <c r="AB197"/>
      <c r="AC197"/>
      <c r="AD197"/>
      <c r="AE197"/>
      <c r="AF197"/>
      <c r="AG197">
        <v>0.15</v>
      </c>
      <c r="AH197"/>
      <c r="AI197">
        <v>0.02</v>
      </c>
      <c r="AJ197">
        <v>0.05</v>
      </c>
    </row>
    <row r="198" ht="25.5" customHeight="1">
      <c r="A198" t="inlineStr">
        <is>
          <t>蒸汽熨斗-（20%）PD</t>
        </is>
      </c>
      <c r="B198">
        <v>8</v>
      </c>
      <c r="C198" t="inlineStr">
        <is>
          <t>法国</t>
        </is>
      </c>
      <c r="D198" t="inlineStr">
        <is>
          <t>FR</t>
        </is>
      </c>
      <c r="E198" t="inlineStr">
        <is>
          <t>有</t>
        </is>
      </c>
      <c r="F198" t="inlineStr">
        <is>
          <t>11.3</t>
        </is>
      </c>
      <c r="G198" t="inlineStr">
        <is>
          <t>17.6</t>
        </is>
      </c>
      <c r="H198"/>
      <c r="I198"/>
      <c r="J198">
        <v>6.41</v>
      </c>
      <c r="K198">
        <v>0.15</v>
      </c>
      <c r="L198">
        <v>0.16</v>
      </c>
      <c r="M198">
        <v>0.05</v>
      </c>
      <c r="N198"/>
      <c r="O198" t="inlineStr">
        <is>
          <t>0.0100</t>
        </is>
      </c>
      <c r="P198" t="inlineStr">
        <is>
          <t>0.0200</t>
        </is>
      </c>
      <c r="Q198">
        <v>8</v>
      </c>
      <c r="R198">
        <v>33.5</v>
      </c>
      <c r="S198">
        <v>26.5</v>
      </c>
      <c r="T198">
        <v>25</v>
      </c>
      <c r="U198">
        <v>2.3</v>
      </c>
      <c r="V198" t="inlineStr">
        <is>
          <t>3.7</t>
        </is>
      </c>
      <c r="W198" t="inlineStr">
        <is>
          <t>3.7</t>
        </is>
      </c>
      <c r="X198" t="inlineStr">
        <is>
          <t>海运</t>
        </is>
      </c>
      <c r="Y198">
        <v>5.55136</v>
      </c>
      <c r="Z198">
        <v>6.5</v>
      </c>
      <c r="AA198" t="inlineStr">
        <is>
          <t>-7.223</t>
        </is>
      </c>
      <c r="AB198"/>
      <c r="AC198"/>
      <c r="AD198"/>
      <c r="AE198"/>
      <c r="AF198"/>
      <c r="AG198">
        <v>0.15</v>
      </c>
      <c r="AH198"/>
      <c r="AI198">
        <v>0.02</v>
      </c>
      <c r="AJ198">
        <v>0.05</v>
      </c>
    </row>
    <row r="199" ht="25.5" customHeight="1">
      <c r="A199"/>
      <c r="B199"/>
      <c r="C199"/>
      <c r="D199"/>
      <c r="E199"/>
      <c r="F199"/>
      <c r="G199"/>
      <c r="H199"/>
      <c r="I199"/>
      <c r="J199"/>
      <c r="K199"/>
      <c r="L199"/>
      <c r="M199"/>
      <c r="N199"/>
      <c r="O199" t="inlineStr">
        <is>
          <t>0.0100</t>
        </is>
      </c>
      <c r="P199" t="inlineStr">
        <is>
          <t>0.0200</t>
        </is>
      </c>
      <c r="Q199"/>
      <c r="R199"/>
      <c r="S199"/>
      <c r="T199"/>
      <c r="U199"/>
      <c r="V199" t="inlineStr">
        <is>
          <t>0.0</t>
        </is>
      </c>
      <c r="W199" t="inlineStr">
        <is>
          <t>0.0</t>
        </is>
      </c>
      <c r="X199"/>
      <c r="Y199"/>
      <c r="Z199"/>
      <c r="AA199"/>
      <c r="AB199"/>
      <c r="AC199"/>
      <c r="AD199"/>
      <c r="AE199"/>
      <c r="AF199"/>
      <c r="AG199"/>
      <c r="AH199"/>
      <c r="AI199"/>
      <c r="AJ199"/>
    </row>
    <row r="200" ht="25.5" customHeight="1">
      <c r="A200" t="inlineStr">
        <is>
          <t>蒸汽熨斗-（划线30%）</t>
        </is>
      </c>
      <c r="B200">
        <v>8</v>
      </c>
      <c r="C200" t="inlineStr">
        <is>
          <t>意大利</t>
        </is>
      </c>
      <c r="D200" t="inlineStr">
        <is>
          <t>IT</t>
        </is>
      </c>
      <c r="E200" t="inlineStr">
        <is>
          <t>有</t>
        </is>
      </c>
      <c r="F200" t="inlineStr">
        <is>
          <t>14.0</t>
        </is>
      </c>
      <c r="G200" t="inlineStr">
        <is>
          <t>27.2</t>
        </is>
      </c>
      <c r="H200">
        <v>59.99</v>
      </c>
      <c r="I200"/>
      <c r="J200">
        <v>5.81</v>
      </c>
      <c r="K200">
        <v>0.15</v>
      </c>
      <c r="L200">
        <v>0.16</v>
      </c>
      <c r="M200">
        <v>0.05</v>
      </c>
      <c r="N200" t="inlineStr">
        <is>
          <t>0.167</t>
        </is>
      </c>
      <c r="O200" t="inlineStr">
        <is>
          <t>0.0100</t>
        </is>
      </c>
      <c r="P200" t="inlineStr">
        <is>
          <t>0.0200</t>
        </is>
      </c>
      <c r="Q200">
        <v>10</v>
      </c>
      <c r="R200">
        <v>33.5</v>
      </c>
      <c r="S200">
        <v>26.5</v>
      </c>
      <c r="T200">
        <v>25</v>
      </c>
      <c r="U200">
        <v>2.3</v>
      </c>
      <c r="V200" t="inlineStr">
        <is>
          <t>3.7</t>
        </is>
      </c>
      <c r="W200" t="inlineStr">
        <is>
          <t>3.7</t>
        </is>
      </c>
      <c r="X200" t="inlineStr">
        <is>
          <t>海运</t>
        </is>
      </c>
      <c r="Y200">
        <v>5.55136</v>
      </c>
      <c r="Z200">
        <v>6.5</v>
      </c>
      <c r="AA200" t="inlineStr">
        <is>
          <t>19.971</t>
        </is>
      </c>
      <c r="AB200" t="inlineStr">
        <is>
          <t>33.29%</t>
        </is>
      </c>
      <c r="AC200"/>
      <c r="AD200" t="inlineStr">
        <is>
          <t>9.68%</t>
        </is>
      </c>
      <c r="AE200" t="inlineStr">
        <is>
          <t>0.00%</t>
        </is>
      </c>
      <c r="AF200" t="inlineStr">
        <is>
          <t>1.35%</t>
        </is>
      </c>
      <c r="AG200">
        <v>0.15</v>
      </c>
      <c r="AH200" t="inlineStr">
        <is>
          <t>16.67%</t>
        </is>
      </c>
      <c r="AI200">
        <v>0.02</v>
      </c>
      <c r="AJ200">
        <v>0.05</v>
      </c>
    </row>
    <row r="201" ht="25.5" customHeight="1">
      <c r="A201" t="inlineStr">
        <is>
          <t>蒸汽熨斗-（15%）coupon</t>
        </is>
      </c>
      <c r="B201">
        <v>8</v>
      </c>
      <c r="C201" t="inlineStr">
        <is>
          <t>意大利</t>
        </is>
      </c>
      <c r="D201" t="inlineStr">
        <is>
          <t>IT</t>
        </is>
      </c>
      <c r="E201" t="inlineStr">
        <is>
          <t>有</t>
        </is>
      </c>
      <c r="F201" t="inlineStr">
        <is>
          <t>10.3</t>
        </is>
      </c>
      <c r="G201" t="inlineStr">
        <is>
          <t>16.2</t>
        </is>
      </c>
      <c r="H201"/>
      <c r="I201"/>
      <c r="J201">
        <v>5.81</v>
      </c>
      <c r="K201">
        <v>0.15</v>
      </c>
      <c r="L201">
        <v>0.16</v>
      </c>
      <c r="M201">
        <v>0.05</v>
      </c>
      <c r="N201"/>
      <c r="O201" t="inlineStr">
        <is>
          <t>0.0100</t>
        </is>
      </c>
      <c r="P201" t="inlineStr">
        <is>
          <t>0.0200</t>
        </is>
      </c>
      <c r="Q201">
        <v>9</v>
      </c>
      <c r="R201">
        <v>33.5</v>
      </c>
      <c r="S201">
        <v>26.5</v>
      </c>
      <c r="T201">
        <v>25</v>
      </c>
      <c r="U201">
        <v>2.3</v>
      </c>
      <c r="V201" t="inlineStr">
        <is>
          <t>3.7</t>
        </is>
      </c>
      <c r="W201" t="inlineStr">
        <is>
          <t>3.7</t>
        </is>
      </c>
      <c r="X201" t="inlineStr">
        <is>
          <t>海运</t>
        </is>
      </c>
      <c r="Y201">
        <v>5.55136</v>
      </c>
      <c r="Z201">
        <v>6.5</v>
      </c>
      <c r="AA201" t="inlineStr">
        <is>
          <t>-6.622</t>
        </is>
      </c>
      <c r="AB201"/>
      <c r="AC201"/>
      <c r="AD201"/>
      <c r="AE201"/>
      <c r="AF201"/>
      <c r="AG201">
        <v>0.15</v>
      </c>
      <c r="AH201"/>
      <c r="AI201">
        <v>0.02</v>
      </c>
      <c r="AJ201">
        <v>0.05</v>
      </c>
    </row>
    <row r="202" ht="25.5" customHeight="1">
      <c r="A202" t="inlineStr">
        <is>
          <t>蒸汽熨斗-（20%）PD</t>
        </is>
      </c>
      <c r="B202">
        <v>8</v>
      </c>
      <c r="C202" t="inlineStr">
        <is>
          <t>意大利</t>
        </is>
      </c>
      <c r="D202" t="inlineStr">
        <is>
          <t>IT</t>
        </is>
      </c>
      <c r="E202" t="inlineStr">
        <is>
          <t>有</t>
        </is>
      </c>
      <c r="F202" t="inlineStr">
        <is>
          <t>10.3</t>
        </is>
      </c>
      <c r="G202" t="inlineStr">
        <is>
          <t>16.2</t>
        </is>
      </c>
      <c r="H202"/>
      <c r="I202"/>
      <c r="J202">
        <v>5.81</v>
      </c>
      <c r="K202">
        <v>0.15</v>
      </c>
      <c r="L202">
        <v>0.16</v>
      </c>
      <c r="M202">
        <v>0.05</v>
      </c>
      <c r="N202"/>
      <c r="O202" t="inlineStr">
        <is>
          <t>0.0100</t>
        </is>
      </c>
      <c r="P202" t="inlineStr">
        <is>
          <t>0.0200</t>
        </is>
      </c>
      <c r="Q202">
        <v>8</v>
      </c>
      <c r="R202">
        <v>33.5</v>
      </c>
      <c r="S202">
        <v>26.5</v>
      </c>
      <c r="T202">
        <v>25</v>
      </c>
      <c r="U202">
        <v>2.3</v>
      </c>
      <c r="V202" t="inlineStr">
        <is>
          <t>3.7</t>
        </is>
      </c>
      <c r="W202" t="inlineStr">
        <is>
          <t>3.7</t>
        </is>
      </c>
      <c r="X202" t="inlineStr">
        <is>
          <t>海运</t>
        </is>
      </c>
      <c r="Y202">
        <v>5.55136</v>
      </c>
      <c r="Z202">
        <v>6.5</v>
      </c>
      <c r="AA202" t="inlineStr">
        <is>
          <t>-6.622</t>
        </is>
      </c>
      <c r="AB202"/>
      <c r="AC202"/>
      <c r="AD202"/>
      <c r="AE202"/>
      <c r="AF202"/>
      <c r="AG202">
        <v>0.15</v>
      </c>
      <c r="AH202"/>
      <c r="AI202">
        <v>0.02</v>
      </c>
      <c r="AJ202">
        <v>0.05</v>
      </c>
    </row>
    <row r="203" ht="25.5" customHeight="1">
      <c r="A203" t="inlineStr">
        <is>
          <t>蒸汽熨斗-企业购价85.11（20%）coupon</t>
        </is>
      </c>
      <c r="B203">
        <v>8</v>
      </c>
      <c r="C203" t="inlineStr">
        <is>
          <t>意大利</t>
        </is>
      </c>
      <c r="D203" t="inlineStr">
        <is>
          <t>IT</t>
        </is>
      </c>
      <c r="E203" t="inlineStr">
        <is>
          <t>有</t>
        </is>
      </c>
      <c r="F203" t="inlineStr">
        <is>
          <t>15.1</t>
        </is>
      </c>
      <c r="G203" t="inlineStr">
        <is>
          <t>31.5</t>
        </is>
      </c>
      <c r="H203">
        <v>49.99</v>
      </c>
      <c r="I203"/>
      <c r="J203">
        <v>5.81</v>
      </c>
      <c r="K203">
        <v>0.15</v>
      </c>
      <c r="L203">
        <v>0.16</v>
      </c>
      <c r="M203">
        <v>0.05</v>
      </c>
      <c r="N203" t="inlineStr">
        <is>
          <t>0.200</t>
        </is>
      </c>
      <c r="O203" t="inlineStr">
        <is>
          <t>0.0100</t>
        </is>
      </c>
      <c r="P203" t="inlineStr">
        <is>
          <t>0.0200</t>
        </is>
      </c>
      <c r="Q203">
        <v>10</v>
      </c>
      <c r="R203">
        <v>33.5</v>
      </c>
      <c r="S203">
        <v>26.5</v>
      </c>
      <c r="T203">
        <v>25</v>
      </c>
      <c r="U203">
        <v>2.3</v>
      </c>
      <c r="V203" t="inlineStr">
        <is>
          <t>3.7</t>
        </is>
      </c>
      <c r="W203" t="inlineStr">
        <is>
          <t>3.7</t>
        </is>
      </c>
      <c r="X203" t="inlineStr">
        <is>
          <t>海运</t>
        </is>
      </c>
      <c r="Y203">
        <v>5.55136</v>
      </c>
      <c r="Z203">
        <v>6.5</v>
      </c>
      <c r="AA203" t="inlineStr">
        <is>
          <t>13.871</t>
        </is>
      </c>
      <c r="AB203" t="inlineStr">
        <is>
          <t>27.75%</t>
        </is>
      </c>
      <c r="AC203"/>
      <c r="AD203" t="inlineStr">
        <is>
          <t>11.62%</t>
        </is>
      </c>
      <c r="AE203" t="inlineStr">
        <is>
          <t>0.00%</t>
        </is>
      </c>
      <c r="AF203" t="inlineStr">
        <is>
          <t>1.63%</t>
        </is>
      </c>
      <c r="AG203">
        <v>0.15</v>
      </c>
      <c r="AH203" t="inlineStr">
        <is>
          <t>20.00%</t>
        </is>
      </c>
      <c r="AI203">
        <v>0.02</v>
      </c>
      <c r="AJ203">
        <v>0.05</v>
      </c>
    </row>
    <row r="204" ht="25.5" customHeight="1">
      <c r="A204"/>
      <c r="B204"/>
      <c r="C204"/>
      <c r="D204"/>
      <c r="E204"/>
      <c r="F204"/>
      <c r="G204"/>
      <c r="H204"/>
      <c r="I204"/>
      <c r="J204"/>
      <c r="K204"/>
      <c r="L204"/>
      <c r="M204"/>
      <c r="N204"/>
      <c r="O204" t="inlineStr">
        <is>
          <t>0.0100</t>
        </is>
      </c>
      <c r="P204" t="inlineStr">
        <is>
          <t>0.0200</t>
        </is>
      </c>
      <c r="Q204"/>
      <c r="R204"/>
      <c r="S204"/>
      <c r="T204"/>
      <c r="U204"/>
      <c r="V204" t="inlineStr">
        <is>
          <t>0.0</t>
        </is>
      </c>
      <c r="W204" t="inlineStr">
        <is>
          <t>0.0</t>
        </is>
      </c>
      <c r="X204"/>
      <c r="Y204"/>
      <c r="Z204"/>
      <c r="AA204"/>
      <c r="AB204"/>
      <c r="AC204"/>
      <c r="AD204"/>
      <c r="AE204"/>
      <c r="AF204"/>
      <c r="AG204"/>
      <c r="AH204"/>
      <c r="AI204"/>
      <c r="AJ204"/>
    </row>
    <row r="205" ht="25.5" customHeight="1">
      <c r="A205" t="inlineStr">
        <is>
          <t>蒸汽熨斗-（划线30%）</t>
        </is>
      </c>
      <c r="B205">
        <v>8</v>
      </c>
      <c r="C205" t="inlineStr">
        <is>
          <t>西班牙</t>
        </is>
      </c>
      <c r="D205" t="inlineStr">
        <is>
          <t>ES</t>
        </is>
      </c>
      <c r="E205" t="inlineStr">
        <is>
          <t>有</t>
        </is>
      </c>
      <c r="F205" t="inlineStr">
        <is>
          <t>12.0</t>
        </is>
      </c>
      <c r="G205" t="inlineStr">
        <is>
          <t>23.3</t>
        </is>
      </c>
      <c r="H205">
        <v>59.99</v>
      </c>
      <c r="I205"/>
      <c r="J205">
        <v>4.85</v>
      </c>
      <c r="K205">
        <v>0.15</v>
      </c>
      <c r="L205">
        <v>0.16</v>
      </c>
      <c r="M205">
        <v>0.05</v>
      </c>
      <c r="N205" t="inlineStr">
        <is>
          <t>0.167</t>
        </is>
      </c>
      <c r="O205" t="inlineStr">
        <is>
          <t>0.0100</t>
        </is>
      </c>
      <c r="P205" t="inlineStr">
        <is>
          <t>0.0200</t>
        </is>
      </c>
      <c r="Q205">
        <v>10</v>
      </c>
      <c r="R205">
        <v>33.5</v>
      </c>
      <c r="S205">
        <v>26.5</v>
      </c>
      <c r="T205">
        <v>25</v>
      </c>
      <c r="U205">
        <v>2.3</v>
      </c>
      <c r="V205" t="inlineStr">
        <is>
          <t>3.7</t>
        </is>
      </c>
      <c r="W205" t="inlineStr">
        <is>
          <t>3.7</t>
        </is>
      </c>
      <c r="X205" t="inlineStr">
        <is>
          <t>海运</t>
        </is>
      </c>
      <c r="Y205">
        <v>5.55136</v>
      </c>
      <c r="Z205">
        <v>6.5</v>
      </c>
      <c r="AA205" t="inlineStr">
        <is>
          <t>20.931</t>
        </is>
      </c>
      <c r="AB205" t="inlineStr">
        <is>
          <t>34.89%</t>
        </is>
      </c>
      <c r="AC205"/>
      <c r="AD205" t="inlineStr">
        <is>
          <t>8.08%</t>
        </is>
      </c>
      <c r="AE205" t="inlineStr">
        <is>
          <t>0.00%</t>
        </is>
      </c>
      <c r="AF205" t="inlineStr">
        <is>
          <t>1.35%</t>
        </is>
      </c>
      <c r="AG205">
        <v>0.15</v>
      </c>
      <c r="AH205" t="inlineStr">
        <is>
          <t>16.67%</t>
        </is>
      </c>
      <c r="AI205">
        <v>0.02</v>
      </c>
      <c r="AJ205">
        <v>0.05</v>
      </c>
    </row>
    <row r="206" ht="25.5" customHeight="1">
      <c r="A206" t="inlineStr">
        <is>
          <t>蒸汽熨斗-（15%）coupon</t>
        </is>
      </c>
      <c r="B206">
        <v>8</v>
      </c>
      <c r="C206" t="inlineStr">
        <is>
          <t>西班牙</t>
        </is>
      </c>
      <c r="D206" t="inlineStr">
        <is>
          <t>ES</t>
        </is>
      </c>
      <c r="E206" t="inlineStr">
        <is>
          <t>有</t>
        </is>
      </c>
      <c r="F206" t="inlineStr">
        <is>
          <t>8.8</t>
        </is>
      </c>
      <c r="G206" t="inlineStr">
        <is>
          <t>13.8</t>
        </is>
      </c>
      <c r="H206"/>
      <c r="I206"/>
      <c r="J206">
        <v>4.85</v>
      </c>
      <c r="K206">
        <v>0.15</v>
      </c>
      <c r="L206">
        <v>0.16</v>
      </c>
      <c r="M206">
        <v>0.05</v>
      </c>
      <c r="N206"/>
      <c r="O206" t="inlineStr">
        <is>
          <t>0.0100</t>
        </is>
      </c>
      <c r="P206" t="inlineStr">
        <is>
          <t>0.0200</t>
        </is>
      </c>
      <c r="Q206">
        <v>9</v>
      </c>
      <c r="R206">
        <v>33.5</v>
      </c>
      <c r="S206">
        <v>26.5</v>
      </c>
      <c r="T206">
        <v>25</v>
      </c>
      <c r="U206">
        <v>2.3</v>
      </c>
      <c r="V206" t="inlineStr">
        <is>
          <t>3.7</t>
        </is>
      </c>
      <c r="W206" t="inlineStr">
        <is>
          <t>3.7</t>
        </is>
      </c>
      <c r="X206" t="inlineStr">
        <is>
          <t>海运</t>
        </is>
      </c>
      <c r="Y206">
        <v>5.55136</v>
      </c>
      <c r="Z206">
        <v>6.5</v>
      </c>
      <c r="AA206" t="inlineStr">
        <is>
          <t>-5.662</t>
        </is>
      </c>
      <c r="AB206"/>
      <c r="AC206"/>
      <c r="AD206"/>
      <c r="AE206"/>
      <c r="AF206"/>
      <c r="AG206">
        <v>0.15</v>
      </c>
      <c r="AH206"/>
      <c r="AI206">
        <v>0.02</v>
      </c>
      <c r="AJ206">
        <v>0.05</v>
      </c>
    </row>
    <row r="207" ht="25.5" customHeight="1">
      <c r="A207" t="inlineStr">
        <is>
          <t>蒸汽熨斗-（20%）PD</t>
        </is>
      </c>
      <c r="B207">
        <v>8</v>
      </c>
      <c r="C207" t="inlineStr">
        <is>
          <t>西班牙</t>
        </is>
      </c>
      <c r="D207" t="inlineStr">
        <is>
          <t>ES</t>
        </is>
      </c>
      <c r="E207" t="inlineStr">
        <is>
          <t>有</t>
        </is>
      </c>
      <c r="F207" t="inlineStr">
        <is>
          <t>8.8</t>
        </is>
      </c>
      <c r="G207" t="inlineStr">
        <is>
          <t>13.8</t>
        </is>
      </c>
      <c r="H207"/>
      <c r="I207"/>
      <c r="J207">
        <v>4.85</v>
      </c>
      <c r="K207">
        <v>0.15</v>
      </c>
      <c r="L207">
        <v>0.16</v>
      </c>
      <c r="M207">
        <v>0.05</v>
      </c>
      <c r="N207"/>
      <c r="O207" t="inlineStr">
        <is>
          <t>0.0100</t>
        </is>
      </c>
      <c r="P207" t="inlineStr">
        <is>
          <t>0.0200</t>
        </is>
      </c>
      <c r="Q207">
        <v>8</v>
      </c>
      <c r="R207">
        <v>33.5</v>
      </c>
      <c r="S207">
        <v>26.5</v>
      </c>
      <c r="T207">
        <v>25</v>
      </c>
      <c r="U207">
        <v>2.3</v>
      </c>
      <c r="V207" t="inlineStr">
        <is>
          <t>3.7</t>
        </is>
      </c>
      <c r="W207" t="inlineStr">
        <is>
          <t>3.7</t>
        </is>
      </c>
      <c r="X207" t="inlineStr">
        <is>
          <t>海运</t>
        </is>
      </c>
      <c r="Y207">
        <v>5.55136</v>
      </c>
      <c r="Z207">
        <v>6.5</v>
      </c>
      <c r="AA207" t="inlineStr">
        <is>
          <t>-5.662</t>
        </is>
      </c>
      <c r="AB207"/>
      <c r="AC207"/>
      <c r="AD207"/>
      <c r="AE207"/>
      <c r="AF207"/>
      <c r="AG207">
        <v>0.15</v>
      </c>
      <c r="AH207"/>
      <c r="AI207">
        <v>0.02</v>
      </c>
      <c r="AJ207">
        <v>0.05</v>
      </c>
    </row>
    <row r="208" ht="25.5" customHeight="1">
      <c r="A208"/>
      <c r="B208"/>
      <c r="C208"/>
      <c r="D208"/>
      <c r="E208"/>
      <c r="F208"/>
      <c r="G208"/>
      <c r="H208"/>
      <c r="I208"/>
      <c r="J208"/>
      <c r="K208"/>
      <c r="L208"/>
      <c r="M208"/>
      <c r="N208"/>
      <c r="O208" t="inlineStr">
        <is>
          <t>0.0100</t>
        </is>
      </c>
      <c r="P208" t="inlineStr">
        <is>
          <t>0.0200</t>
        </is>
      </c>
      <c r="Q208"/>
      <c r="R208"/>
      <c r="S208"/>
      <c r="T208"/>
      <c r="U208"/>
      <c r="V208" t="inlineStr">
        <is>
          <t>0.0</t>
        </is>
      </c>
      <c r="W208" t="inlineStr">
        <is>
          <t>0.0</t>
        </is>
      </c>
      <c r="X208"/>
      <c r="Y208"/>
      <c r="Z208"/>
      <c r="AA208"/>
      <c r="AB208"/>
      <c r="AC208"/>
      <c r="AD208"/>
      <c r="AE208"/>
      <c r="AF208"/>
      <c r="AG208"/>
      <c r="AH208"/>
      <c r="AI208"/>
      <c r="AJ208"/>
    </row>
    <row r="209" ht="25.5" customHeight="1">
      <c r="A209" t="inlineStr">
        <is>
          <t>蒸汽熨斗-（划线30%）</t>
        </is>
      </c>
      <c r="B209">
        <v>9</v>
      </c>
      <c r="C209" t="inlineStr">
        <is>
          <t>英国</t>
        </is>
      </c>
      <c r="D209" t="inlineStr">
        <is>
          <t>UK</t>
        </is>
      </c>
      <c r="E209" t="inlineStr">
        <is>
          <t>有</t>
        </is>
      </c>
      <c r="F209" t="inlineStr">
        <is>
          <t>25.0</t>
        </is>
      </c>
      <c r="G209" t="inlineStr">
        <is>
          <t>48.7</t>
        </is>
      </c>
      <c r="H209">
        <v>59.99</v>
      </c>
      <c r="I209">
        <v>70.8</v>
      </c>
      <c r="J209">
        <v>3.26</v>
      </c>
      <c r="K209">
        <v>0.15</v>
      </c>
      <c r="L209">
        <v>0.16</v>
      </c>
      <c r="M209">
        <v>0.05</v>
      </c>
      <c r="N209" t="inlineStr">
        <is>
          <t>0.167</t>
        </is>
      </c>
      <c r="O209" t="inlineStr">
        <is>
          <t>0.0100</t>
        </is>
      </c>
      <c r="P209" t="inlineStr">
        <is>
          <t>0.0200</t>
        </is>
      </c>
      <c r="Q209">
        <v>10</v>
      </c>
      <c r="R209">
        <v>33.5</v>
      </c>
      <c r="S209">
        <v>26.5</v>
      </c>
      <c r="T209">
        <v>25</v>
      </c>
      <c r="U209">
        <v>2.3</v>
      </c>
      <c r="V209" t="inlineStr">
        <is>
          <t>3.7</t>
        </is>
      </c>
      <c r="W209" t="inlineStr">
        <is>
          <t>3.7</t>
        </is>
      </c>
      <c r="X209" t="inlineStr">
        <is>
          <t>海运</t>
        </is>
      </c>
      <c r="Y209">
        <v>6.084</v>
      </c>
      <c r="Z209">
        <v>6.5</v>
      </c>
      <c r="AA209" t="inlineStr">
        <is>
          <t>14.745</t>
        </is>
      </c>
      <c r="AB209" t="inlineStr">
        <is>
          <t>24.58%</t>
        </is>
      </c>
      <c r="AC209"/>
      <c r="AD209" t="inlineStr">
        <is>
          <t>5.43%</t>
        </is>
      </c>
      <c r="AE209" t="inlineStr">
        <is>
          <t>13.11%</t>
        </is>
      </c>
      <c r="AF209" t="inlineStr">
        <is>
          <t>1.20%</t>
        </is>
      </c>
      <c r="AG209">
        <v>0.15</v>
      </c>
      <c r="AH209" t="inlineStr">
        <is>
          <t>16.67%</t>
        </is>
      </c>
      <c r="AI209">
        <v>0.02</v>
      </c>
      <c r="AJ209">
        <v>0.05</v>
      </c>
    </row>
    <row r="210" ht="25.5" customHeight="1">
      <c r="A210" t="inlineStr">
        <is>
          <t>蒸汽熨斗-（15%）coupon</t>
        </is>
      </c>
      <c r="B210">
        <v>9</v>
      </c>
      <c r="C210" t="inlineStr">
        <is>
          <t>英国</t>
        </is>
      </c>
      <c r="D210" t="inlineStr">
        <is>
          <t>UK</t>
        </is>
      </c>
      <c r="E210" t="inlineStr">
        <is>
          <t>有</t>
        </is>
      </c>
      <c r="F210" t="inlineStr">
        <is>
          <t>6.2</t>
        </is>
      </c>
      <c r="G210" t="inlineStr">
        <is>
          <t>9.7</t>
        </is>
      </c>
      <c r="H210"/>
      <c r="I210"/>
      <c r="J210">
        <v>3.26</v>
      </c>
      <c r="K210">
        <v>0.15</v>
      </c>
      <c r="L210">
        <v>0.16</v>
      </c>
      <c r="M210">
        <v>0.05</v>
      </c>
      <c r="N210"/>
      <c r="O210" t="inlineStr">
        <is>
          <t>0.0100</t>
        </is>
      </c>
      <c r="P210" t="inlineStr">
        <is>
          <t>0.0200</t>
        </is>
      </c>
      <c r="Q210">
        <v>9</v>
      </c>
      <c r="R210">
        <v>33.5</v>
      </c>
      <c r="S210">
        <v>26.5</v>
      </c>
      <c r="T210">
        <v>25</v>
      </c>
      <c r="U210">
        <v>2.3</v>
      </c>
      <c r="V210" t="inlineStr">
        <is>
          <t>3.7</t>
        </is>
      </c>
      <c r="W210" t="inlineStr">
        <is>
          <t>3.7</t>
        </is>
      </c>
      <c r="X210" t="inlineStr">
        <is>
          <t>海运</t>
        </is>
      </c>
      <c r="Y210">
        <v>6.084</v>
      </c>
      <c r="Z210">
        <v>6.5</v>
      </c>
      <c r="AA210" t="inlineStr">
        <is>
          <t>-3.982</t>
        </is>
      </c>
      <c r="AB210"/>
      <c r="AC210"/>
      <c r="AD210"/>
      <c r="AE210"/>
      <c r="AF210"/>
      <c r="AG210">
        <v>0.15</v>
      </c>
      <c r="AH210"/>
      <c r="AI210">
        <v>0.02</v>
      </c>
      <c r="AJ210">
        <v>0.05</v>
      </c>
    </row>
    <row r="211" ht="25.5" customHeight="1">
      <c r="A211" t="inlineStr">
        <is>
          <t>蒸汽熨斗-（20%）PD</t>
        </is>
      </c>
      <c r="B211">
        <v>9</v>
      </c>
      <c r="C211" t="inlineStr">
        <is>
          <t>英国</t>
        </is>
      </c>
      <c r="D211" t="inlineStr">
        <is>
          <t>UK</t>
        </is>
      </c>
      <c r="E211" t="inlineStr">
        <is>
          <t>有</t>
        </is>
      </c>
      <c r="F211" t="inlineStr">
        <is>
          <t>6.2</t>
        </is>
      </c>
      <c r="G211" t="inlineStr">
        <is>
          <t>9.7</t>
        </is>
      </c>
      <c r="H211"/>
      <c r="I211"/>
      <c r="J211">
        <v>3.26</v>
      </c>
      <c r="K211">
        <v>0.15</v>
      </c>
      <c r="L211">
        <v>0.16</v>
      </c>
      <c r="M211">
        <v>0.05</v>
      </c>
      <c r="N211"/>
      <c r="O211" t="inlineStr">
        <is>
          <t>0.0100</t>
        </is>
      </c>
      <c r="P211" t="inlineStr">
        <is>
          <t>0.0200</t>
        </is>
      </c>
      <c r="Q211">
        <v>8</v>
      </c>
      <c r="R211">
        <v>33.5</v>
      </c>
      <c r="S211">
        <v>26.5</v>
      </c>
      <c r="T211">
        <v>25</v>
      </c>
      <c r="U211">
        <v>2.3</v>
      </c>
      <c r="V211" t="inlineStr">
        <is>
          <t>3.7</t>
        </is>
      </c>
      <c r="W211" t="inlineStr">
        <is>
          <t>3.7</t>
        </is>
      </c>
      <c r="X211" t="inlineStr">
        <is>
          <t>海运</t>
        </is>
      </c>
      <c r="Y211">
        <v>6.084</v>
      </c>
      <c r="Z211">
        <v>6.5</v>
      </c>
      <c r="AA211" t="inlineStr">
        <is>
          <t>-3.982</t>
        </is>
      </c>
      <c r="AB211"/>
      <c r="AC211"/>
      <c r="AD211"/>
      <c r="AE211"/>
      <c r="AF211"/>
      <c r="AG211">
        <v>0.15</v>
      </c>
      <c r="AH211"/>
      <c r="AI211">
        <v>0.02</v>
      </c>
      <c r="AJ211">
        <v>0.05</v>
      </c>
    </row>
    <row r="212" ht="25.5" customHeight="1">
      <c r="A212"/>
      <c r="B212"/>
      <c r="C212"/>
      <c r="D212"/>
      <c r="E212"/>
      <c r="F212"/>
      <c r="G212"/>
      <c r="H212"/>
      <c r="I212"/>
      <c r="J212"/>
      <c r="K212"/>
      <c r="L212"/>
      <c r="M212"/>
      <c r="N212"/>
      <c r="O212" t="inlineStr">
        <is>
          <t>0.0100</t>
        </is>
      </c>
      <c r="P212" t="inlineStr">
        <is>
          <t>0.0200</t>
        </is>
      </c>
      <c r="Q212"/>
      <c r="R212"/>
      <c r="S212"/>
      <c r="T212"/>
      <c r="U212"/>
      <c r="V212" t="inlineStr">
        <is>
          <t>0.0</t>
        </is>
      </c>
      <c r="W212" t="inlineStr">
        <is>
          <t>0.0</t>
        </is>
      </c>
      <c r="X212"/>
      <c r="Y212"/>
      <c r="Z212"/>
      <c r="AA212"/>
      <c r="AB212"/>
      <c r="AC212"/>
      <c r="AD212"/>
      <c r="AE212"/>
      <c r="AF212"/>
      <c r="AG212"/>
      <c r="AH212"/>
      <c r="AI212"/>
      <c r="AJ212"/>
    </row>
    <row r="213" ht="25.5" customHeight="1">
      <c r="A213" t="inlineStr">
        <is>
          <t>布艺清洗机</t>
        </is>
      </c>
      <c r="B213">
        <v>8</v>
      </c>
      <c r="C213" t="inlineStr">
        <is>
          <t>德国</t>
        </is>
      </c>
      <c r="D213" t="inlineStr">
        <is>
          <t>US</t>
        </is>
      </c>
      <c r="E213" t="inlineStr">
        <is>
          <t>有</t>
        </is>
      </c>
      <c r="F213" t="inlineStr">
        <is>
          <t>26.4</t>
        </is>
      </c>
      <c r="G213" t="inlineStr">
        <is>
          <t>45.0</t>
        </is>
      </c>
      <c r="H213">
        <v>119.99</v>
      </c>
      <c r="I213"/>
      <c r="J213">
        <v>10.34</v>
      </c>
      <c r="K213">
        <v>0.15</v>
      </c>
      <c r="L213">
        <v>0.16</v>
      </c>
      <c r="M213">
        <v>0.05</v>
      </c>
      <c r="N213" t="inlineStr">
        <is>
          <t>0.083</t>
        </is>
      </c>
      <c r="O213" t="inlineStr">
        <is>
          <t>0.0100</t>
        </is>
      </c>
      <c r="P213" t="inlineStr">
        <is>
          <t>0.0200</t>
        </is>
      </c>
      <c r="Q213">
        <v>10</v>
      </c>
      <c r="R213">
        <v>33.5</v>
      </c>
      <c r="S213">
        <v>26.5</v>
      </c>
      <c r="T213">
        <v>25</v>
      </c>
      <c r="U213">
        <v>2.3</v>
      </c>
      <c r="V213" t="inlineStr">
        <is>
          <t>3.7</t>
        </is>
      </c>
      <c r="W213" t="inlineStr">
        <is>
          <t>3.7</t>
        </is>
      </c>
      <c r="X213" t="inlineStr">
        <is>
          <t>海运</t>
        </is>
      </c>
      <c r="Y213">
        <v>5.55136</v>
      </c>
      <c r="Z213">
        <v>35</v>
      </c>
      <c r="AA213" t="inlineStr">
        <is>
          <t>48.479</t>
        </is>
      </c>
      <c r="AB213" t="inlineStr">
        <is>
          <t>40.40%</t>
        </is>
      </c>
      <c r="AC213"/>
      <c r="AD213" t="inlineStr">
        <is>
          <t>8.62%</t>
        </is>
      </c>
      <c r="AE213" t="inlineStr">
        <is>
          <t>0.00%</t>
        </is>
      </c>
      <c r="AF213" t="inlineStr">
        <is>
          <t>3.65%</t>
        </is>
      </c>
      <c r="AG213">
        <v>0.15</v>
      </c>
      <c r="AH213" t="inlineStr">
        <is>
          <t>8.33%</t>
        </is>
      </c>
      <c r="AI213">
        <v>0.02</v>
      </c>
      <c r="AJ213">
        <v>0.05</v>
      </c>
    </row>
    <row r="214" ht="25.5" customHeight="1">
      <c r="A214" t="inlineStr">
        <is>
          <t>布艺清洗机（15%）coupon</t>
        </is>
      </c>
      <c r="B214">
        <v>8</v>
      </c>
      <c r="C214" t="inlineStr">
        <is>
          <t>德国</t>
        </is>
      </c>
      <c r="D214" t="inlineStr">
        <is>
          <t>US</t>
        </is>
      </c>
      <c r="E214" t="inlineStr">
        <is>
          <t>有</t>
        </is>
      </c>
      <c r="F214" t="inlineStr">
        <is>
          <t>23.0</t>
        </is>
      </c>
      <c r="G214" t="inlineStr">
        <is>
          <t>35.9</t>
        </is>
      </c>
      <c r="H214"/>
      <c r="I214"/>
      <c r="J214">
        <v>10.34</v>
      </c>
      <c r="K214">
        <v>0.15</v>
      </c>
      <c r="L214">
        <v>0.16</v>
      </c>
      <c r="M214">
        <v>0.05</v>
      </c>
      <c r="N214"/>
      <c r="O214" t="inlineStr">
        <is>
          <t>0.0100</t>
        </is>
      </c>
      <c r="P214" t="inlineStr">
        <is>
          <t>0.0200</t>
        </is>
      </c>
      <c r="Q214">
        <v>10</v>
      </c>
      <c r="R214">
        <v>33.5</v>
      </c>
      <c r="S214">
        <v>26.5</v>
      </c>
      <c r="T214">
        <v>25</v>
      </c>
      <c r="U214">
        <v>2.3</v>
      </c>
      <c r="V214" t="inlineStr">
        <is>
          <t>3.7</t>
        </is>
      </c>
      <c r="W214" t="inlineStr">
        <is>
          <t>3.7</t>
        </is>
      </c>
      <c r="X214" t="inlineStr">
        <is>
          <t>海运</t>
        </is>
      </c>
      <c r="Y214">
        <v>5.55136</v>
      </c>
      <c r="Z214">
        <v>35</v>
      </c>
      <c r="AA214" t="inlineStr">
        <is>
          <t>-14.715</t>
        </is>
      </c>
      <c r="AB214"/>
      <c r="AC214"/>
      <c r="AD214"/>
      <c r="AE214"/>
      <c r="AF214"/>
      <c r="AG214">
        <v>0.15</v>
      </c>
      <c r="AH214"/>
      <c r="AI214">
        <v>0.02</v>
      </c>
      <c r="AJ214">
        <v>0.05</v>
      </c>
    </row>
    <row r="215" ht="25.5" customHeight="1">
      <c r="A215"/>
      <c r="B215"/>
      <c r="C215"/>
      <c r="D215"/>
      <c r="E215"/>
      <c r="F215"/>
      <c r="G215"/>
      <c r="H215"/>
      <c r="I215"/>
      <c r="J215"/>
      <c r="K215"/>
      <c r="L215"/>
      <c r="M215"/>
      <c r="N215"/>
      <c r="O215" t="inlineStr">
        <is>
          <t>0.0100</t>
        </is>
      </c>
      <c r="P215" t="inlineStr">
        <is>
          <t>0.0200</t>
        </is>
      </c>
      <c r="Q215"/>
      <c r="R215"/>
      <c r="S215"/>
      <c r="T215"/>
      <c r="U215"/>
      <c r="V215" t="inlineStr">
        <is>
          <t>0.0</t>
        </is>
      </c>
      <c r="W215" t="inlineStr">
        <is>
          <t>0.0</t>
        </is>
      </c>
      <c r="X215"/>
      <c r="Y215"/>
      <c r="Z215"/>
      <c r="AA215"/>
      <c r="AB215"/>
      <c r="AC215"/>
      <c r="AD215"/>
      <c r="AE215"/>
      <c r="AF215"/>
      <c r="AG215"/>
      <c r="AH215"/>
      <c r="AI215"/>
      <c r="AJ215"/>
    </row>
    <row r="216" ht="25.5" customHeight="1">
      <c r="A216" t="inlineStr">
        <is>
          <t>布艺清洗机</t>
        </is>
      </c>
      <c r="B216">
        <v>8</v>
      </c>
      <c r="C216" t="inlineStr">
        <is>
          <t>德国</t>
        </is>
      </c>
      <c r="D216" t="inlineStr">
        <is>
          <t>DE</t>
        </is>
      </c>
      <c r="E216" t="inlineStr">
        <is>
          <t>有</t>
        </is>
      </c>
      <c r="F216" t="inlineStr">
        <is>
          <t>17.3</t>
        </is>
      </c>
      <c r="G216" t="inlineStr">
        <is>
          <t>29.2</t>
        </is>
      </c>
      <c r="H216">
        <v>129</v>
      </c>
      <c r="I216"/>
      <c r="J216">
        <v>5.97</v>
      </c>
      <c r="K216">
        <v>0.15</v>
      </c>
      <c r="L216">
        <v>0.16</v>
      </c>
      <c r="M216">
        <v>0.05</v>
      </c>
      <c r="N216" t="inlineStr">
        <is>
          <t>0.078</t>
        </is>
      </c>
      <c r="O216" t="inlineStr">
        <is>
          <t>0.0100</t>
        </is>
      </c>
      <c r="P216" t="inlineStr">
        <is>
          <t>0.0200</t>
        </is>
      </c>
      <c r="Q216">
        <v>10</v>
      </c>
      <c r="R216">
        <v>33.5</v>
      </c>
      <c r="S216">
        <v>26.5</v>
      </c>
      <c r="T216">
        <v>25</v>
      </c>
      <c r="U216">
        <v>2.3</v>
      </c>
      <c r="V216" t="inlineStr">
        <is>
          <t>3.7</t>
        </is>
      </c>
      <c r="W216" t="inlineStr">
        <is>
          <t>3.7</t>
        </is>
      </c>
      <c r="X216" t="inlineStr">
        <is>
          <t>海运</t>
        </is>
      </c>
      <c r="Y216">
        <v>5.55136</v>
      </c>
      <c r="Z216">
        <v>30</v>
      </c>
      <c r="AA216" t="inlineStr">
        <is>
          <t>58.970</t>
        </is>
      </c>
      <c r="AB216" t="inlineStr">
        <is>
          <t>45.71%</t>
        </is>
      </c>
      <c r="AC216"/>
      <c r="AD216" t="inlineStr">
        <is>
          <t>4.63%</t>
        </is>
      </c>
      <c r="AE216" t="inlineStr">
        <is>
          <t>0.00%</t>
        </is>
      </c>
      <c r="AF216" t="inlineStr">
        <is>
          <t>2.91%</t>
        </is>
      </c>
      <c r="AG216">
        <v>0.15</v>
      </c>
      <c r="AH216" t="inlineStr">
        <is>
          <t>7.75%</t>
        </is>
      </c>
      <c r="AI216">
        <v>0.02</v>
      </c>
      <c r="AJ216">
        <v>0.05</v>
      </c>
    </row>
    <row r="217" ht="25.5" customHeight="1">
      <c r="A217" t="inlineStr">
        <is>
          <t>布艺清洗机（15%）coupon</t>
        </is>
      </c>
      <c r="B217">
        <v>8</v>
      </c>
      <c r="C217" t="inlineStr">
        <is>
          <t>德国</t>
        </is>
      </c>
      <c r="D217" t="inlineStr">
        <is>
          <t>DE</t>
        </is>
      </c>
      <c r="E217" t="inlineStr">
        <is>
          <t>有</t>
        </is>
      </c>
      <c r="F217" t="inlineStr">
        <is>
          <t>15.2</t>
        </is>
      </c>
      <c r="G217" t="inlineStr">
        <is>
          <t>23.7</t>
        </is>
      </c>
      <c r="H217"/>
      <c r="I217"/>
      <c r="J217">
        <v>5.97</v>
      </c>
      <c r="K217">
        <v>0.15</v>
      </c>
      <c r="L217">
        <v>0.16</v>
      </c>
      <c r="M217">
        <v>0.05</v>
      </c>
      <c r="N217"/>
      <c r="O217" t="inlineStr">
        <is>
          <t>0.0100</t>
        </is>
      </c>
      <c r="P217" t="inlineStr">
        <is>
          <t>0.0200</t>
        </is>
      </c>
      <c r="Q217">
        <v>10</v>
      </c>
      <c r="R217">
        <v>33.5</v>
      </c>
      <c r="S217">
        <v>26.5</v>
      </c>
      <c r="T217">
        <v>25</v>
      </c>
      <c r="U217">
        <v>2.3</v>
      </c>
      <c r="V217" t="inlineStr">
        <is>
          <t>3.7</t>
        </is>
      </c>
      <c r="W217" t="inlineStr">
        <is>
          <t>3.7</t>
        </is>
      </c>
      <c r="X217" t="inlineStr">
        <is>
          <t>海运</t>
        </is>
      </c>
      <c r="Y217">
        <v>5.55136</v>
      </c>
      <c r="Z217">
        <v>30</v>
      </c>
      <c r="AA217" t="inlineStr">
        <is>
          <t>-9.720</t>
        </is>
      </c>
      <c r="AB217"/>
      <c r="AC217"/>
      <c r="AD217"/>
      <c r="AE217"/>
      <c r="AF217"/>
      <c r="AG217">
        <v>0.15</v>
      </c>
      <c r="AH217"/>
      <c r="AI217">
        <v>0.02</v>
      </c>
      <c r="AJ217">
        <v>0.05</v>
      </c>
    </row>
    <row r="218" ht="25.5" customHeight="1">
      <c r="A218"/>
      <c r="B218"/>
      <c r="C218"/>
      <c r="D218"/>
      <c r="E218"/>
      <c r="F218"/>
      <c r="G218"/>
      <c r="H218"/>
      <c r="I218"/>
      <c r="J218"/>
      <c r="K218"/>
      <c r="L218"/>
      <c r="M218"/>
      <c r="N218"/>
      <c r="O218" t="inlineStr">
        <is>
          <t>0.0100</t>
        </is>
      </c>
      <c r="P218" t="inlineStr">
        <is>
          <t>0.0200</t>
        </is>
      </c>
      <c r="Q218"/>
      <c r="R218"/>
      <c r="S218"/>
      <c r="T218"/>
      <c r="U218"/>
      <c r="V218" t="inlineStr">
        <is>
          <t>0.0</t>
        </is>
      </c>
      <c r="W218" t="inlineStr">
        <is>
          <t>0.0</t>
        </is>
      </c>
      <c r="X218"/>
      <c r="Y218"/>
      <c r="Z218"/>
      <c r="AA218"/>
      <c r="AB218"/>
      <c r="AC218"/>
      <c r="AD218"/>
      <c r="AE218"/>
      <c r="AF218"/>
      <c r="AG218"/>
      <c r="AH218"/>
      <c r="AI218"/>
      <c r="AJ218"/>
    </row>
    <row r="219" ht="25.5" customHeight="1">
      <c r="A219" t="inlineStr">
        <is>
          <t>布艺清洗机</t>
        </is>
      </c>
      <c r="B219">
        <v>8</v>
      </c>
      <c r="C219" t="inlineStr">
        <is>
          <t>法国</t>
        </is>
      </c>
      <c r="D219" t="inlineStr">
        <is>
          <t>FR</t>
        </is>
      </c>
      <c r="E219" t="inlineStr">
        <is>
          <t>有</t>
        </is>
      </c>
      <c r="F219" t="inlineStr">
        <is>
          <t>23.9</t>
        </is>
      </c>
      <c r="G219" t="inlineStr">
        <is>
          <t>40.4</t>
        </is>
      </c>
      <c r="H219">
        <v>129</v>
      </c>
      <c r="I219"/>
      <c r="J219">
        <v>9.67</v>
      </c>
      <c r="K219">
        <v>0.15</v>
      </c>
      <c r="L219">
        <v>0.16</v>
      </c>
      <c r="M219">
        <v>0.05</v>
      </c>
      <c r="N219" t="inlineStr">
        <is>
          <t>0.078</t>
        </is>
      </c>
      <c r="O219" t="inlineStr">
        <is>
          <t>0.0100</t>
        </is>
      </c>
      <c r="P219" t="inlineStr">
        <is>
          <t>0.0200</t>
        </is>
      </c>
      <c r="Q219">
        <v>10</v>
      </c>
      <c r="R219">
        <v>33.5</v>
      </c>
      <c r="S219">
        <v>26.5</v>
      </c>
      <c r="T219">
        <v>25</v>
      </c>
      <c r="U219">
        <v>2.3</v>
      </c>
      <c r="V219" t="inlineStr">
        <is>
          <t>3.7</t>
        </is>
      </c>
      <c r="W219" t="inlineStr">
        <is>
          <t>3.7</t>
        </is>
      </c>
      <c r="X219" t="inlineStr">
        <is>
          <t>海运</t>
        </is>
      </c>
      <c r="Y219">
        <v>5.55136</v>
      </c>
      <c r="Z219">
        <v>30</v>
      </c>
      <c r="AA219" t="inlineStr">
        <is>
          <t>55.270</t>
        </is>
      </c>
      <c r="AB219" t="inlineStr">
        <is>
          <t>42.84%</t>
        </is>
      </c>
      <c r="AC219"/>
      <c r="AD219" t="inlineStr">
        <is>
          <t>7.50%</t>
        </is>
      </c>
      <c r="AE219" t="inlineStr">
        <is>
          <t>0.00%</t>
        </is>
      </c>
      <c r="AF219" t="inlineStr">
        <is>
          <t>2.91%</t>
        </is>
      </c>
      <c r="AG219">
        <v>0.15</v>
      </c>
      <c r="AH219" t="inlineStr">
        <is>
          <t>7.75%</t>
        </is>
      </c>
      <c r="AI219">
        <v>0.02</v>
      </c>
      <c r="AJ219">
        <v>0.05</v>
      </c>
    </row>
    <row r="220" ht="25.5" customHeight="1">
      <c r="A220" t="inlineStr">
        <is>
          <t>布艺清洗机（15%）coupon</t>
        </is>
      </c>
      <c r="B220">
        <v>8</v>
      </c>
      <c r="C220" t="inlineStr">
        <is>
          <t>法国</t>
        </is>
      </c>
      <c r="D220" t="inlineStr">
        <is>
          <t>FR</t>
        </is>
      </c>
      <c r="E220" t="inlineStr">
        <is>
          <t>有</t>
        </is>
      </c>
      <c r="F220" t="inlineStr">
        <is>
          <t>21.0</t>
        </is>
      </c>
      <c r="G220" t="inlineStr">
        <is>
          <t>32.7</t>
        </is>
      </c>
      <c r="H220"/>
      <c r="I220"/>
      <c r="J220">
        <v>9.67</v>
      </c>
      <c r="K220">
        <v>0.15</v>
      </c>
      <c r="L220">
        <v>0.16</v>
      </c>
      <c r="M220">
        <v>0.05</v>
      </c>
      <c r="N220"/>
      <c r="O220" t="inlineStr">
        <is>
          <t>0.0100</t>
        </is>
      </c>
      <c r="P220" t="inlineStr">
        <is>
          <t>0.0200</t>
        </is>
      </c>
      <c r="Q220">
        <v>10</v>
      </c>
      <c r="R220">
        <v>33.5</v>
      </c>
      <c r="S220">
        <v>26.5</v>
      </c>
      <c r="T220">
        <v>25</v>
      </c>
      <c r="U220">
        <v>2.3</v>
      </c>
      <c r="V220" t="inlineStr">
        <is>
          <t>3.7</t>
        </is>
      </c>
      <c r="W220" t="inlineStr">
        <is>
          <t>3.7</t>
        </is>
      </c>
      <c r="X220" t="inlineStr">
        <is>
          <t>海运</t>
        </is>
      </c>
      <c r="Y220">
        <v>5.55136</v>
      </c>
      <c r="Z220">
        <v>30</v>
      </c>
      <c r="AA220" t="inlineStr">
        <is>
          <t>-13.420</t>
        </is>
      </c>
      <c r="AB220"/>
      <c r="AC220"/>
      <c r="AD220"/>
      <c r="AE220"/>
      <c r="AF220"/>
      <c r="AG220">
        <v>0.15</v>
      </c>
      <c r="AH220"/>
      <c r="AI220">
        <v>0.02</v>
      </c>
      <c r="AJ220">
        <v>0.05</v>
      </c>
    </row>
    <row r="221" ht="25.5" customHeight="1">
      <c r="A221"/>
      <c r="B221"/>
      <c r="C221"/>
      <c r="D221"/>
      <c r="E221"/>
      <c r="F221"/>
      <c r="G221"/>
      <c r="H221"/>
      <c r="I221"/>
      <c r="J221"/>
      <c r="K221"/>
      <c r="L221"/>
      <c r="M221"/>
      <c r="N221"/>
      <c r="O221" t="inlineStr">
        <is>
          <t>0.0100</t>
        </is>
      </c>
      <c r="P221" t="inlineStr">
        <is>
          <t>0.0200</t>
        </is>
      </c>
      <c r="Q221"/>
      <c r="R221"/>
      <c r="S221"/>
      <c r="T221"/>
      <c r="U221"/>
      <c r="V221" t="inlineStr">
        <is>
          <t>0.0</t>
        </is>
      </c>
      <c r="W221" t="inlineStr">
        <is>
          <t>0.0</t>
        </is>
      </c>
      <c r="X221"/>
      <c r="Y221"/>
      <c r="Z221"/>
      <c r="AA221"/>
      <c r="AB221"/>
      <c r="AC221"/>
      <c r="AD221"/>
      <c r="AE221"/>
      <c r="AF221"/>
      <c r="AG221"/>
      <c r="AH221"/>
      <c r="AI221"/>
      <c r="AJ221"/>
    </row>
    <row r="222" ht="25.5" customHeight="1">
      <c r="A222" t="inlineStr">
        <is>
          <t>布艺清洗机</t>
        </is>
      </c>
      <c r="B222">
        <v>8</v>
      </c>
      <c r="C222" t="inlineStr">
        <is>
          <t>意大利</t>
        </is>
      </c>
      <c r="D222" t="inlineStr">
        <is>
          <t>IT</t>
        </is>
      </c>
      <c r="E222" t="inlineStr">
        <is>
          <t>有</t>
        </is>
      </c>
      <c r="F222" t="inlineStr">
        <is>
          <t>19.6</t>
        </is>
      </c>
      <c r="G222" t="inlineStr">
        <is>
          <t>33.1</t>
        </is>
      </c>
      <c r="H222">
        <v>129</v>
      </c>
      <c r="I222"/>
      <c r="J222">
        <v>7.25</v>
      </c>
      <c r="K222">
        <v>0.15</v>
      </c>
      <c r="L222">
        <v>0.16</v>
      </c>
      <c r="M222">
        <v>0.05</v>
      </c>
      <c r="N222" t="inlineStr">
        <is>
          <t>0.078</t>
        </is>
      </c>
      <c r="O222" t="inlineStr">
        <is>
          <t>0.0100</t>
        </is>
      </c>
      <c r="P222" t="inlineStr">
        <is>
          <t>0.0200</t>
        </is>
      </c>
      <c r="Q222">
        <v>10</v>
      </c>
      <c r="R222">
        <v>33.5</v>
      </c>
      <c r="S222">
        <v>26.5</v>
      </c>
      <c r="T222">
        <v>25</v>
      </c>
      <c r="U222">
        <v>2.3</v>
      </c>
      <c r="V222" t="inlineStr">
        <is>
          <t>3.7</t>
        </is>
      </c>
      <c r="W222" t="inlineStr">
        <is>
          <t>3.7</t>
        </is>
      </c>
      <c r="X222" t="inlineStr">
        <is>
          <t>海运</t>
        </is>
      </c>
      <c r="Y222">
        <v>5.55136</v>
      </c>
      <c r="Z222">
        <v>30</v>
      </c>
      <c r="AA222" t="inlineStr">
        <is>
          <t>57.690</t>
        </is>
      </c>
      <c r="AB222" t="inlineStr">
        <is>
          <t>44.72%</t>
        </is>
      </c>
      <c r="AC222"/>
      <c r="AD222" t="inlineStr">
        <is>
          <t>5.62%</t>
        </is>
      </c>
      <c r="AE222" t="inlineStr">
        <is>
          <t>0.00%</t>
        </is>
      </c>
      <c r="AF222" t="inlineStr">
        <is>
          <t>2.91%</t>
        </is>
      </c>
      <c r="AG222">
        <v>0.15</v>
      </c>
      <c r="AH222" t="inlineStr">
        <is>
          <t>7.75%</t>
        </is>
      </c>
      <c r="AI222">
        <v>0.02</v>
      </c>
      <c r="AJ222">
        <v>0.05</v>
      </c>
    </row>
    <row r="223" ht="25.5" customHeight="1">
      <c r="A223" t="inlineStr">
        <is>
          <t>布艺清洗机（15%）coupon</t>
        </is>
      </c>
      <c r="B223">
        <v>8</v>
      </c>
      <c r="C223" t="inlineStr">
        <is>
          <t>意大利</t>
        </is>
      </c>
      <c r="D223" t="inlineStr">
        <is>
          <t>IT</t>
        </is>
      </c>
      <c r="E223" t="inlineStr">
        <is>
          <t>有</t>
        </is>
      </c>
      <c r="F223" t="inlineStr">
        <is>
          <t>17.2</t>
        </is>
      </c>
      <c r="G223" t="inlineStr">
        <is>
          <t>26.8</t>
        </is>
      </c>
      <c r="H223"/>
      <c r="I223"/>
      <c r="J223">
        <v>7.25</v>
      </c>
      <c r="K223">
        <v>0.15</v>
      </c>
      <c r="L223">
        <v>0.16</v>
      </c>
      <c r="M223">
        <v>0.05</v>
      </c>
      <c r="N223"/>
      <c r="O223" t="inlineStr">
        <is>
          <t>0.0100</t>
        </is>
      </c>
      <c r="P223" t="inlineStr">
        <is>
          <t>0.0200</t>
        </is>
      </c>
      <c r="Q223">
        <v>10</v>
      </c>
      <c r="R223">
        <v>33.5</v>
      </c>
      <c r="S223">
        <v>26.5</v>
      </c>
      <c r="T223">
        <v>25</v>
      </c>
      <c r="U223">
        <v>2.3</v>
      </c>
      <c r="V223" t="inlineStr">
        <is>
          <t>3.7</t>
        </is>
      </c>
      <c r="W223" t="inlineStr">
        <is>
          <t>3.7</t>
        </is>
      </c>
      <c r="X223" t="inlineStr">
        <is>
          <t>海运</t>
        </is>
      </c>
      <c r="Y223">
        <v>5.55136</v>
      </c>
      <c r="Z223">
        <v>30</v>
      </c>
      <c r="AA223" t="inlineStr">
        <is>
          <t>-11.000</t>
        </is>
      </c>
      <c r="AB223"/>
      <c r="AC223"/>
      <c r="AD223"/>
      <c r="AE223"/>
      <c r="AF223"/>
      <c r="AG223">
        <v>0.15</v>
      </c>
      <c r="AH223"/>
      <c r="AI223">
        <v>0.02</v>
      </c>
      <c r="AJ223">
        <v>0.05</v>
      </c>
    </row>
    <row r="224" ht="25.5" customHeight="1">
      <c r="A224"/>
      <c r="B224"/>
      <c r="C224"/>
      <c r="D224"/>
      <c r="E224"/>
      <c r="F224"/>
      <c r="G224"/>
      <c r="H224"/>
      <c r="I224"/>
      <c r="J224"/>
      <c r="K224"/>
      <c r="L224"/>
      <c r="M224"/>
      <c r="N224"/>
      <c r="O224" t="inlineStr">
        <is>
          <t>0.0100</t>
        </is>
      </c>
      <c r="P224" t="inlineStr">
        <is>
          <t>0.0200</t>
        </is>
      </c>
      <c r="Q224"/>
      <c r="R224"/>
      <c r="S224"/>
      <c r="T224"/>
      <c r="U224"/>
      <c r="V224" t="inlineStr">
        <is>
          <t>0.0</t>
        </is>
      </c>
      <c r="W224" t="inlineStr">
        <is>
          <t>0.0</t>
        </is>
      </c>
      <c r="X224"/>
      <c r="Y224"/>
      <c r="Z224"/>
      <c r="AA224"/>
      <c r="AB224"/>
      <c r="AC224"/>
      <c r="AD224"/>
      <c r="AE224"/>
      <c r="AF224"/>
      <c r="AG224"/>
      <c r="AH224"/>
      <c r="AI224"/>
      <c r="AJ224"/>
    </row>
    <row r="225" ht="25.5" customHeight="1">
      <c r="A225" t="inlineStr">
        <is>
          <t>布艺清洗机</t>
        </is>
      </c>
      <c r="B225">
        <v>8</v>
      </c>
      <c r="C225" t="inlineStr">
        <is>
          <t>西班牙</t>
        </is>
      </c>
      <c r="D225" t="inlineStr">
        <is>
          <t>ES</t>
        </is>
      </c>
      <c r="E225" t="inlineStr">
        <is>
          <t>有</t>
        </is>
      </c>
      <c r="F225" t="inlineStr">
        <is>
          <t>19.1</t>
        </is>
      </c>
      <c r="G225" t="inlineStr">
        <is>
          <t>32.4</t>
        </is>
      </c>
      <c r="H225">
        <v>129</v>
      </c>
      <c r="I225"/>
      <c r="J225">
        <v>7.02</v>
      </c>
      <c r="K225">
        <v>0.15</v>
      </c>
      <c r="L225">
        <v>0.16</v>
      </c>
      <c r="M225">
        <v>0.05</v>
      </c>
      <c r="N225" t="inlineStr">
        <is>
          <t>0.078</t>
        </is>
      </c>
      <c r="O225" t="inlineStr">
        <is>
          <t>0.0100</t>
        </is>
      </c>
      <c r="P225" t="inlineStr">
        <is>
          <t>0.0200</t>
        </is>
      </c>
      <c r="Q225">
        <v>10</v>
      </c>
      <c r="R225">
        <v>33.5</v>
      </c>
      <c r="S225">
        <v>26.5</v>
      </c>
      <c r="T225">
        <v>25</v>
      </c>
      <c r="U225">
        <v>2.3</v>
      </c>
      <c r="V225" t="inlineStr">
        <is>
          <t>3.7</t>
        </is>
      </c>
      <c r="W225" t="inlineStr">
        <is>
          <t>3.7</t>
        </is>
      </c>
      <c r="X225" t="inlineStr">
        <is>
          <t>海运</t>
        </is>
      </c>
      <c r="Y225">
        <v>5.55136</v>
      </c>
      <c r="Z225">
        <v>30</v>
      </c>
      <c r="AA225" t="inlineStr">
        <is>
          <t>57.920</t>
        </is>
      </c>
      <c r="AB225" t="inlineStr">
        <is>
          <t>44.90%</t>
        </is>
      </c>
      <c r="AC225"/>
      <c r="AD225" t="inlineStr">
        <is>
          <t>5.44%</t>
        </is>
      </c>
      <c r="AE225" t="inlineStr">
        <is>
          <t>0.00%</t>
        </is>
      </c>
      <c r="AF225" t="inlineStr">
        <is>
          <t>2.91%</t>
        </is>
      </c>
      <c r="AG225">
        <v>0.15</v>
      </c>
      <c r="AH225" t="inlineStr">
        <is>
          <t>7.75%</t>
        </is>
      </c>
      <c r="AI225">
        <v>0.02</v>
      </c>
      <c r="AJ225">
        <v>0.05</v>
      </c>
    </row>
    <row r="226" ht="25.5" customHeight="1">
      <c r="A226" t="inlineStr">
        <is>
          <t>布艺清洗机（15%）coupon</t>
        </is>
      </c>
      <c r="B226">
        <v>8</v>
      </c>
      <c r="C226" t="inlineStr">
        <is>
          <t>西班牙</t>
        </is>
      </c>
      <c r="D226" t="inlineStr">
        <is>
          <t>ES</t>
        </is>
      </c>
      <c r="E226" t="inlineStr">
        <is>
          <t>有</t>
        </is>
      </c>
      <c r="F226" t="inlineStr">
        <is>
          <t>16.8</t>
        </is>
      </c>
      <c r="G226" t="inlineStr">
        <is>
          <t>26.3</t>
        </is>
      </c>
      <c r="H226"/>
      <c r="I226"/>
      <c r="J226">
        <v>7.02</v>
      </c>
      <c r="K226">
        <v>0.15</v>
      </c>
      <c r="L226">
        <v>0.16</v>
      </c>
      <c r="M226">
        <v>0.05</v>
      </c>
      <c r="N226"/>
      <c r="O226" t="inlineStr">
        <is>
          <t>0.0100</t>
        </is>
      </c>
      <c r="P226" t="inlineStr">
        <is>
          <t>0.0200</t>
        </is>
      </c>
      <c r="Q226">
        <v>10</v>
      </c>
      <c r="R226">
        <v>33.5</v>
      </c>
      <c r="S226">
        <v>26.5</v>
      </c>
      <c r="T226">
        <v>25</v>
      </c>
      <c r="U226">
        <v>2.3</v>
      </c>
      <c r="V226" t="inlineStr">
        <is>
          <t>3.7</t>
        </is>
      </c>
      <c r="W226" t="inlineStr">
        <is>
          <t>3.7</t>
        </is>
      </c>
      <c r="X226" t="inlineStr">
        <is>
          <t>海运</t>
        </is>
      </c>
      <c r="Y226">
        <v>5.55136</v>
      </c>
      <c r="Z226">
        <v>30</v>
      </c>
      <c r="AA226" t="inlineStr">
        <is>
          <t>-10.770</t>
        </is>
      </c>
      <c r="AB226"/>
      <c r="AC226"/>
      <c r="AD226"/>
      <c r="AE226"/>
      <c r="AF226"/>
      <c r="AG226">
        <v>0.15</v>
      </c>
      <c r="AH226"/>
      <c r="AI226">
        <v>0.02</v>
      </c>
      <c r="AJ226">
        <v>0.05</v>
      </c>
    </row>
    <row r="227" ht="25.5" customHeight="1">
      <c r="A227"/>
      <c r="B227"/>
      <c r="C227"/>
      <c r="D227"/>
      <c r="E227"/>
      <c r="F227"/>
      <c r="G227"/>
      <c r="H227"/>
      <c r="I227"/>
      <c r="J227"/>
      <c r="K227"/>
      <c r="L227"/>
      <c r="M227"/>
      <c r="N227"/>
      <c r="O227" t="inlineStr">
        <is>
          <t>0.0100</t>
        </is>
      </c>
      <c r="P227" t="inlineStr">
        <is>
          <t>0.0200</t>
        </is>
      </c>
      <c r="Q227"/>
      <c r="R227"/>
      <c r="S227"/>
      <c r="T227"/>
      <c r="U227"/>
      <c r="V227" t="inlineStr">
        <is>
          <t>0.0</t>
        </is>
      </c>
      <c r="W227" t="inlineStr">
        <is>
          <t>0.0</t>
        </is>
      </c>
      <c r="X227"/>
      <c r="Y227"/>
      <c r="Z227"/>
      <c r="AA227"/>
      <c r="AB227"/>
      <c r="AC227"/>
      <c r="AD227"/>
      <c r="AE227"/>
      <c r="AF227"/>
      <c r="AG227"/>
      <c r="AH227"/>
      <c r="AI227"/>
      <c r="AJ227"/>
    </row>
    <row r="228" ht="25.5" customHeight="1">
      <c r="A228" t="inlineStr">
        <is>
          <t>布艺清洗机</t>
        </is>
      </c>
      <c r="B228">
        <v>9</v>
      </c>
      <c r="C228" t="inlineStr">
        <is>
          <t>英国</t>
        </is>
      </c>
      <c r="D228" t="inlineStr">
        <is>
          <t>UK</t>
        </is>
      </c>
      <c r="E228" t="inlineStr">
        <is>
          <t>有</t>
        </is>
      </c>
      <c r="F228" t="inlineStr">
        <is>
          <t>14.6</t>
        </is>
      </c>
      <c r="G228" t="inlineStr">
        <is>
          <t>24.9</t>
        </is>
      </c>
      <c r="H228">
        <v>119.99</v>
      </c>
      <c r="I228"/>
      <c r="J228">
        <v>5.34</v>
      </c>
      <c r="K228">
        <v>0.15</v>
      </c>
      <c r="L228">
        <v>0.16</v>
      </c>
      <c r="M228">
        <v>0.05</v>
      </c>
      <c r="N228" t="inlineStr">
        <is>
          <t>0.083</t>
        </is>
      </c>
      <c r="O228" t="inlineStr">
        <is>
          <t>0.0100</t>
        </is>
      </c>
      <c r="P228" t="inlineStr">
        <is>
          <t>0.0200</t>
        </is>
      </c>
      <c r="Q228">
        <v>10</v>
      </c>
      <c r="R228">
        <v>33.5</v>
      </c>
      <c r="S228">
        <v>26.5</v>
      </c>
      <c r="T228">
        <v>25</v>
      </c>
      <c r="U228">
        <v>2.3</v>
      </c>
      <c r="V228" t="inlineStr">
        <is>
          <t>3.7</t>
        </is>
      </c>
      <c r="W228" t="inlineStr">
        <is>
          <t>3.7</t>
        </is>
      </c>
      <c r="X228" t="inlineStr">
        <is>
          <t>海运</t>
        </is>
      </c>
      <c r="Y228">
        <v>6.084</v>
      </c>
      <c r="Z228">
        <v>25</v>
      </c>
      <c r="AA228" t="inlineStr">
        <is>
          <t>55.076</t>
        </is>
      </c>
      <c r="AB228" t="inlineStr">
        <is>
          <t>45.90%</t>
        </is>
      </c>
      <c r="AC228"/>
      <c r="AD228" t="inlineStr">
        <is>
          <t>4.45%</t>
        </is>
      </c>
      <c r="AE228" t="inlineStr">
        <is>
          <t>0.00%</t>
        </is>
      </c>
      <c r="AF228" t="inlineStr">
        <is>
          <t>2.32%</t>
        </is>
      </c>
      <c r="AG228">
        <v>0.15</v>
      </c>
      <c r="AH228" t="inlineStr">
        <is>
          <t>8.33%</t>
        </is>
      </c>
      <c r="AI228">
        <v>0.02</v>
      </c>
      <c r="AJ228">
        <v>0.05</v>
      </c>
    </row>
    <row r="229" ht="25.5" customHeight="1">
      <c r="A229" t="inlineStr">
        <is>
          <t>布艺清洗机（15%）coupon</t>
        </is>
      </c>
      <c r="B229">
        <v>9</v>
      </c>
      <c r="C229" t="inlineStr">
        <is>
          <t>英国</t>
        </is>
      </c>
      <c r="D229" t="inlineStr">
        <is>
          <t>UK</t>
        </is>
      </c>
      <c r="E229" t="inlineStr">
        <is>
          <t>有</t>
        </is>
      </c>
      <c r="F229" t="inlineStr">
        <is>
          <t>12.7</t>
        </is>
      </c>
      <c r="G229" t="inlineStr">
        <is>
          <t>19.8</t>
        </is>
      </c>
      <c r="H229"/>
      <c r="I229"/>
      <c r="J229">
        <v>5.34</v>
      </c>
      <c r="K229">
        <v>0.15</v>
      </c>
      <c r="L229">
        <v>0.16</v>
      </c>
      <c r="M229">
        <v>0.05</v>
      </c>
      <c r="N229"/>
      <c r="O229" t="inlineStr">
        <is>
          <t>0.0100</t>
        </is>
      </c>
      <c r="P229" t="inlineStr">
        <is>
          <t>0.0200</t>
        </is>
      </c>
      <c r="Q229">
        <v>10</v>
      </c>
      <c r="R229">
        <v>33.5</v>
      </c>
      <c r="S229">
        <v>26.5</v>
      </c>
      <c r="T229">
        <v>25</v>
      </c>
      <c r="U229">
        <v>2.3</v>
      </c>
      <c r="V229" t="inlineStr">
        <is>
          <t>3.7</t>
        </is>
      </c>
      <c r="W229" t="inlineStr">
        <is>
          <t>3.7</t>
        </is>
      </c>
      <c r="X229" t="inlineStr">
        <is>
          <t>海运</t>
        </is>
      </c>
      <c r="Y229">
        <v>6.084</v>
      </c>
      <c r="Z229">
        <v>25</v>
      </c>
      <c r="AA229" t="inlineStr">
        <is>
          <t>-8.118</t>
        </is>
      </c>
      <c r="AB229"/>
      <c r="AC229"/>
      <c r="AD229"/>
      <c r="AE229"/>
      <c r="AF229"/>
      <c r="AG229">
        <v>0.15</v>
      </c>
      <c r="AH229"/>
      <c r="AI229">
        <v>0.02</v>
      </c>
      <c r="AJ229">
        <v>0.05</v>
      </c>
    </row>
    <row r="230" ht="25.5" customHeight="1">
      <c r="A230"/>
      <c r="B230"/>
      <c r="C230"/>
      <c r="D230"/>
      <c r="E230"/>
      <c r="F230"/>
      <c r="G230"/>
      <c r="H230"/>
      <c r="I230"/>
      <c r="J230"/>
      <c r="K230"/>
      <c r="L230"/>
      <c r="M230"/>
      <c r="N230"/>
      <c r="O230" t="inlineStr">
        <is>
          <t>0.0100</t>
        </is>
      </c>
      <c r="P230" t="inlineStr">
        <is>
          <t>0.0200</t>
        </is>
      </c>
      <c r="Q230"/>
      <c r="R230"/>
      <c r="S230"/>
      <c r="T230"/>
      <c r="U230"/>
      <c r="V230" t="inlineStr">
        <is>
          <t>0.0</t>
        </is>
      </c>
      <c r="W230" t="inlineStr">
        <is>
          <t>0.0</t>
        </is>
      </c>
      <c r="X230"/>
      <c r="Y230"/>
      <c r="Z230"/>
      <c r="AA230"/>
      <c r="AB230"/>
      <c r="AC230"/>
      <c r="AD230"/>
      <c r="AE230"/>
      <c r="AF230"/>
      <c r="AG230"/>
      <c r="AH230"/>
      <c r="AI230"/>
      <c r="AJ230"/>
    </row>
    <row r="231" ht="25.5" customHeight="1">
      <c r="A231" t="inlineStr">
        <is>
          <t>78-in-1-（64.99划线）</t>
        </is>
      </c>
      <c r="B231">
        <v>8</v>
      </c>
      <c r="C231" t="inlineStr">
        <is>
          <t>德国</t>
        </is>
      </c>
      <c r="D231" t="inlineStr">
        <is>
          <t>DE</t>
        </is>
      </c>
      <c r="E231" t="inlineStr">
        <is>
          <t>有</t>
        </is>
      </c>
      <c r="F231" t="inlineStr">
        <is>
          <t>8.5</t>
        </is>
      </c>
      <c r="G231" t="inlineStr">
        <is>
          <t>15.2</t>
        </is>
      </c>
      <c r="H231">
        <v>49.99</v>
      </c>
      <c r="I231"/>
      <c r="J231">
        <v>3.16</v>
      </c>
      <c r="K231">
        <v>0.15</v>
      </c>
      <c r="L231">
        <v>0.16</v>
      </c>
      <c r="M231">
        <v>0.05</v>
      </c>
      <c r="N231" t="inlineStr">
        <is>
          <t>0.120</t>
        </is>
      </c>
      <c r="O231" t="inlineStr">
        <is>
          <t>0.0100</t>
        </is>
      </c>
      <c r="P231" t="inlineStr">
        <is>
          <t>0.0200</t>
        </is>
      </c>
      <c r="Q231">
        <v>6</v>
      </c>
      <c r="R231">
        <v>33.5</v>
      </c>
      <c r="S231">
        <v>26.5</v>
      </c>
      <c r="T231">
        <v>25</v>
      </c>
      <c r="U231">
        <v>2.3</v>
      </c>
      <c r="V231" t="inlineStr">
        <is>
          <t>3.7</t>
        </is>
      </c>
      <c r="W231" t="inlineStr">
        <is>
          <t>3.7</t>
        </is>
      </c>
      <c r="X231" t="inlineStr">
        <is>
          <t>海运</t>
        </is>
      </c>
      <c r="Y231">
        <v>5.55136</v>
      </c>
      <c r="Z231">
        <v>10</v>
      </c>
      <c r="AA231" t="inlineStr">
        <is>
          <t>20.084</t>
        </is>
      </c>
      <c r="AB231" t="inlineStr">
        <is>
          <t>40.18%</t>
        </is>
      </c>
      <c r="AC231"/>
      <c r="AD231" t="inlineStr">
        <is>
          <t>6.32%</t>
        </is>
      </c>
      <c r="AE231" t="inlineStr">
        <is>
          <t>0.00%</t>
        </is>
      </c>
      <c r="AF231" t="inlineStr">
        <is>
          <t>2.50%</t>
        </is>
      </c>
      <c r="AG231">
        <v>0.15</v>
      </c>
      <c r="AH231" t="inlineStr">
        <is>
          <t>12.00%</t>
        </is>
      </c>
      <c r="AI231">
        <v>0.02</v>
      </c>
      <c r="AJ231">
        <v>0.05</v>
      </c>
    </row>
    <row r="232" ht="25.5" customHeight="1">
      <c r="A232" t="inlineStr">
        <is>
          <t>78-in-1-（15%）coupon</t>
        </is>
      </c>
      <c r="B232">
        <v>8</v>
      </c>
      <c r="C232" t="inlineStr">
        <is>
          <t>德国</t>
        </is>
      </c>
      <c r="D232" t="inlineStr">
        <is>
          <t>DE</t>
        </is>
      </c>
      <c r="E232" t="inlineStr">
        <is>
          <t>有</t>
        </is>
      </c>
      <c r="F232" t="inlineStr">
        <is>
          <t>6.9</t>
        </is>
      </c>
      <c r="G232" t="inlineStr">
        <is>
          <t>10.8</t>
        </is>
      </c>
      <c r="H232"/>
      <c r="I232"/>
      <c r="J232">
        <v>3.16</v>
      </c>
      <c r="K232">
        <v>0.15</v>
      </c>
      <c r="L232">
        <v>0.16</v>
      </c>
      <c r="M232">
        <v>0.05</v>
      </c>
      <c r="N232"/>
      <c r="O232" t="inlineStr">
        <is>
          <t>0.0100</t>
        </is>
      </c>
      <c r="P232" t="inlineStr">
        <is>
          <t>0.0200</t>
        </is>
      </c>
      <c r="Q232">
        <v>6</v>
      </c>
      <c r="R232">
        <v>33.5</v>
      </c>
      <c r="S232">
        <v>26.5</v>
      </c>
      <c r="T232">
        <v>25</v>
      </c>
      <c r="U232">
        <v>2.3</v>
      </c>
      <c r="V232" t="inlineStr">
        <is>
          <t>3.7</t>
        </is>
      </c>
      <c r="W232" t="inlineStr">
        <is>
          <t>3.7</t>
        </is>
      </c>
      <c r="X232" t="inlineStr">
        <is>
          <t>海运</t>
        </is>
      </c>
      <c r="Y232">
        <v>5.55136</v>
      </c>
      <c r="Z232">
        <v>10</v>
      </c>
      <c r="AA232" t="inlineStr">
        <is>
          <t>-4.410</t>
        </is>
      </c>
      <c r="AB232"/>
      <c r="AC232"/>
      <c r="AD232"/>
      <c r="AE232"/>
      <c r="AF232"/>
      <c r="AG232">
        <v>0.15</v>
      </c>
      <c r="AH232"/>
      <c r="AI232">
        <v>0.02</v>
      </c>
      <c r="AJ232">
        <v>0.05</v>
      </c>
    </row>
    <row r="233" ht="25.5" customHeight="1">
      <c r="A233"/>
      <c r="B233"/>
      <c r="C233"/>
      <c r="D233"/>
      <c r="E233"/>
      <c r="F233"/>
      <c r="G233"/>
      <c r="H233"/>
      <c r="I233"/>
      <c r="J233"/>
      <c r="K233"/>
      <c r="L233"/>
      <c r="M233"/>
      <c r="N233"/>
      <c r="O233" t="inlineStr">
        <is>
          <t>0.0100</t>
        </is>
      </c>
      <c r="P233" t="inlineStr">
        <is>
          <t>0.0200</t>
        </is>
      </c>
      <c r="Q233"/>
      <c r="R233"/>
      <c r="S233"/>
      <c r="T233"/>
      <c r="U233"/>
      <c r="V233" t="inlineStr">
        <is>
          <t>0.0</t>
        </is>
      </c>
      <c r="W233" t="inlineStr">
        <is>
          <t>0.0</t>
        </is>
      </c>
      <c r="X233"/>
      <c r="Y233"/>
      <c r="Z233"/>
      <c r="AA233"/>
      <c r="AB233"/>
      <c r="AC233"/>
      <c r="AD233"/>
      <c r="AE233"/>
      <c r="AF233"/>
      <c r="AG233"/>
      <c r="AH233"/>
      <c r="AI233"/>
      <c r="AJ233"/>
    </row>
    <row r="234" ht="25.5" customHeight="1">
      <c r="A234" t="inlineStr">
        <is>
          <t>78-in-1-（64.99划线）</t>
        </is>
      </c>
      <c r="B234">
        <v>8</v>
      </c>
      <c r="C234" t="inlineStr">
        <is>
          <t>法国</t>
        </is>
      </c>
      <c r="D234" t="inlineStr">
        <is>
          <t>FR</t>
        </is>
      </c>
      <c r="E234" t="inlineStr">
        <is>
          <t>有</t>
        </is>
      </c>
      <c r="F234" t="inlineStr">
        <is>
          <t>11.5</t>
        </is>
      </c>
      <c r="G234" t="inlineStr">
        <is>
          <t>20.6</t>
        </is>
      </c>
      <c r="H234">
        <v>49.99</v>
      </c>
      <c r="I234"/>
      <c r="J234">
        <v>4.72</v>
      </c>
      <c r="K234">
        <v>0.15</v>
      </c>
      <c r="L234">
        <v>0.16</v>
      </c>
      <c r="M234">
        <v>0.05</v>
      </c>
      <c r="N234" t="inlineStr">
        <is>
          <t>0.120</t>
        </is>
      </c>
      <c r="O234" t="inlineStr">
        <is>
          <t>0.0100</t>
        </is>
      </c>
      <c r="P234" t="inlineStr">
        <is>
          <t>0.0200</t>
        </is>
      </c>
      <c r="Q234">
        <v>6</v>
      </c>
      <c r="R234">
        <v>33.5</v>
      </c>
      <c r="S234">
        <v>26.5</v>
      </c>
      <c r="T234">
        <v>25</v>
      </c>
      <c r="U234">
        <v>2.3</v>
      </c>
      <c r="V234" t="inlineStr">
        <is>
          <t>3.7</t>
        </is>
      </c>
      <c r="W234" t="inlineStr">
        <is>
          <t>3.7</t>
        </is>
      </c>
      <c r="X234" t="inlineStr">
        <is>
          <t>海运</t>
        </is>
      </c>
      <c r="Y234">
        <v>5.55136</v>
      </c>
      <c r="Z234">
        <v>10</v>
      </c>
      <c r="AA234" t="inlineStr">
        <is>
          <t>18.524</t>
        </is>
      </c>
      <c r="AB234" t="inlineStr">
        <is>
          <t>37.06%</t>
        </is>
      </c>
      <c r="AC234"/>
      <c r="AD234" t="inlineStr">
        <is>
          <t>9.44%</t>
        </is>
      </c>
      <c r="AE234" t="inlineStr">
        <is>
          <t>0.00%</t>
        </is>
      </c>
      <c r="AF234" t="inlineStr">
        <is>
          <t>2.50%</t>
        </is>
      </c>
      <c r="AG234">
        <v>0.15</v>
      </c>
      <c r="AH234" t="inlineStr">
        <is>
          <t>12.00%</t>
        </is>
      </c>
      <c r="AI234">
        <v>0.02</v>
      </c>
      <c r="AJ234">
        <v>0.05</v>
      </c>
    </row>
    <row r="235" ht="25.5" customHeight="1">
      <c r="A235" t="inlineStr">
        <is>
          <t>78-in-1-（15%）coupon</t>
        </is>
      </c>
      <c r="B235">
        <v>8</v>
      </c>
      <c r="C235" t="inlineStr">
        <is>
          <t>法国</t>
        </is>
      </c>
      <c r="D235" t="inlineStr">
        <is>
          <t>FR</t>
        </is>
      </c>
      <c r="E235" t="inlineStr">
        <is>
          <t>有</t>
        </is>
      </c>
      <c r="F235" t="inlineStr">
        <is>
          <t>9.3</t>
        </is>
      </c>
      <c r="G235" t="inlineStr">
        <is>
          <t>14.6</t>
        </is>
      </c>
      <c r="H235"/>
      <c r="I235"/>
      <c r="J235">
        <v>4.72</v>
      </c>
      <c r="K235">
        <v>0.15</v>
      </c>
      <c r="L235">
        <v>0.16</v>
      </c>
      <c r="M235">
        <v>0.05</v>
      </c>
      <c r="N235"/>
      <c r="O235" t="inlineStr">
        <is>
          <t>0.0100</t>
        </is>
      </c>
      <c r="P235" t="inlineStr">
        <is>
          <t>0.0200</t>
        </is>
      </c>
      <c r="Q235">
        <v>6</v>
      </c>
      <c r="R235">
        <v>33.5</v>
      </c>
      <c r="S235">
        <v>26.5</v>
      </c>
      <c r="T235">
        <v>25</v>
      </c>
      <c r="U235">
        <v>2.3</v>
      </c>
      <c r="V235" t="inlineStr">
        <is>
          <t>3.7</t>
        </is>
      </c>
      <c r="W235" t="inlineStr">
        <is>
          <t>3.7</t>
        </is>
      </c>
      <c r="X235" t="inlineStr">
        <is>
          <t>海运</t>
        </is>
      </c>
      <c r="Y235">
        <v>5.55136</v>
      </c>
      <c r="Z235">
        <v>10</v>
      </c>
      <c r="AA235" t="inlineStr">
        <is>
          <t>-5.970</t>
        </is>
      </c>
      <c r="AB235"/>
      <c r="AC235"/>
      <c r="AD235"/>
      <c r="AE235"/>
      <c r="AF235"/>
      <c r="AG235">
        <v>0.15</v>
      </c>
      <c r="AH235"/>
      <c r="AI235">
        <v>0.02</v>
      </c>
      <c r="AJ235">
        <v>0.05</v>
      </c>
    </row>
    <row r="236" ht="25.5" customHeight="1">
      <c r="A236"/>
      <c r="B236"/>
      <c r="C236"/>
      <c r="D236"/>
      <c r="E236"/>
      <c r="F236"/>
      <c r="G236"/>
      <c r="H236"/>
      <c r="I236"/>
      <c r="J236"/>
      <c r="K236"/>
      <c r="L236"/>
      <c r="M236"/>
      <c r="N236"/>
      <c r="O236" t="inlineStr">
        <is>
          <t>0.0100</t>
        </is>
      </c>
      <c r="P236" t="inlineStr">
        <is>
          <t>0.0200</t>
        </is>
      </c>
      <c r="Q236"/>
      <c r="R236"/>
      <c r="S236"/>
      <c r="T236"/>
      <c r="U236"/>
      <c r="V236" t="inlineStr">
        <is>
          <t>0.0</t>
        </is>
      </c>
      <c r="W236" t="inlineStr">
        <is>
          <t>0.0</t>
        </is>
      </c>
      <c r="X236"/>
      <c r="Y236"/>
      <c r="Z236"/>
      <c r="AA236"/>
      <c r="AB236"/>
      <c r="AC236"/>
      <c r="AD236"/>
      <c r="AE236"/>
      <c r="AF236"/>
      <c r="AG236"/>
      <c r="AH236"/>
      <c r="AI236"/>
      <c r="AJ236"/>
    </row>
    <row r="237" ht="25.5" customHeight="1">
      <c r="A237" t="inlineStr">
        <is>
          <t>78-in-1-（64.99划线）</t>
        </is>
      </c>
      <c r="B237">
        <v>8</v>
      </c>
      <c r="C237" t="inlineStr">
        <is>
          <t>意大利</t>
        </is>
      </c>
      <c r="D237" t="inlineStr">
        <is>
          <t>IT</t>
        </is>
      </c>
      <c r="E237" t="inlineStr">
        <is>
          <t>有</t>
        </is>
      </c>
      <c r="F237" t="inlineStr">
        <is>
          <t>10.4</t>
        </is>
      </c>
      <c r="G237" t="inlineStr">
        <is>
          <t>18.7</t>
        </is>
      </c>
      <c r="H237">
        <v>49.99</v>
      </c>
      <c r="I237"/>
      <c r="J237">
        <v>4.17</v>
      </c>
      <c r="K237">
        <v>0.15</v>
      </c>
      <c r="L237">
        <v>0.16</v>
      </c>
      <c r="M237">
        <v>0.05</v>
      </c>
      <c r="N237" t="inlineStr">
        <is>
          <t>0.120</t>
        </is>
      </c>
      <c r="O237" t="inlineStr">
        <is>
          <t>0.0100</t>
        </is>
      </c>
      <c r="P237" t="inlineStr">
        <is>
          <t>0.0200</t>
        </is>
      </c>
      <c r="Q237">
        <v>6</v>
      </c>
      <c r="R237">
        <v>33.5</v>
      </c>
      <c r="S237">
        <v>26.5</v>
      </c>
      <c r="T237">
        <v>25</v>
      </c>
      <c r="U237">
        <v>2.3</v>
      </c>
      <c r="V237" t="inlineStr">
        <is>
          <t>3.7</t>
        </is>
      </c>
      <c r="W237" t="inlineStr">
        <is>
          <t>3.7</t>
        </is>
      </c>
      <c r="X237" t="inlineStr">
        <is>
          <t>海运</t>
        </is>
      </c>
      <c r="Y237">
        <v>5.55136</v>
      </c>
      <c r="Z237">
        <v>10</v>
      </c>
      <c r="AA237" t="inlineStr">
        <is>
          <t>19.074</t>
        </is>
      </c>
      <c r="AB237" t="inlineStr">
        <is>
          <t>38.16%</t>
        </is>
      </c>
      <c r="AC237"/>
      <c r="AD237" t="inlineStr">
        <is>
          <t>8.34%</t>
        </is>
      </c>
      <c r="AE237" t="inlineStr">
        <is>
          <t>0.00%</t>
        </is>
      </c>
      <c r="AF237" t="inlineStr">
        <is>
          <t>2.50%</t>
        </is>
      </c>
      <c r="AG237">
        <v>0.15</v>
      </c>
      <c r="AH237" t="inlineStr">
        <is>
          <t>12.00%</t>
        </is>
      </c>
      <c r="AI237">
        <v>0.02</v>
      </c>
      <c r="AJ237">
        <v>0.05</v>
      </c>
    </row>
    <row r="238" ht="25.5" customHeight="1">
      <c r="A238" t="inlineStr">
        <is>
          <t>78-in-1-（15%）coupon</t>
        </is>
      </c>
      <c r="B238">
        <v>8</v>
      </c>
      <c r="C238" t="inlineStr">
        <is>
          <t>意大利</t>
        </is>
      </c>
      <c r="D238" t="inlineStr">
        <is>
          <t>IT</t>
        </is>
      </c>
      <c r="E238" t="inlineStr">
        <is>
          <t>有</t>
        </is>
      </c>
      <c r="F238" t="inlineStr">
        <is>
          <t>8.5</t>
        </is>
      </c>
      <c r="G238" t="inlineStr">
        <is>
          <t>13.2</t>
        </is>
      </c>
      <c r="H238"/>
      <c r="I238"/>
      <c r="J238">
        <v>4.17</v>
      </c>
      <c r="K238">
        <v>0.15</v>
      </c>
      <c r="L238">
        <v>0.16</v>
      </c>
      <c r="M238">
        <v>0.05</v>
      </c>
      <c r="N238"/>
      <c r="O238" t="inlineStr">
        <is>
          <t>0.0100</t>
        </is>
      </c>
      <c r="P238" t="inlineStr">
        <is>
          <t>0.0200</t>
        </is>
      </c>
      <c r="Q238">
        <v>6</v>
      </c>
      <c r="R238">
        <v>33.5</v>
      </c>
      <c r="S238">
        <v>26.5</v>
      </c>
      <c r="T238">
        <v>25</v>
      </c>
      <c r="U238">
        <v>2.3</v>
      </c>
      <c r="V238" t="inlineStr">
        <is>
          <t>3.7</t>
        </is>
      </c>
      <c r="W238" t="inlineStr">
        <is>
          <t>3.7</t>
        </is>
      </c>
      <c r="X238" t="inlineStr">
        <is>
          <t>海运</t>
        </is>
      </c>
      <c r="Y238">
        <v>5.55136</v>
      </c>
      <c r="Z238">
        <v>10</v>
      </c>
      <c r="AA238" t="inlineStr">
        <is>
          <t>-5.420</t>
        </is>
      </c>
      <c r="AB238"/>
      <c r="AC238"/>
      <c r="AD238"/>
      <c r="AE238"/>
      <c r="AF238"/>
      <c r="AG238">
        <v>0.15</v>
      </c>
      <c r="AH238"/>
      <c r="AI238">
        <v>0.02</v>
      </c>
      <c r="AJ238">
        <v>0.05</v>
      </c>
    </row>
    <row r="239" ht="25.5" customHeight="1">
      <c r="A239"/>
      <c r="B239"/>
      <c r="C239"/>
      <c r="D239"/>
      <c r="E239"/>
      <c r="F239"/>
      <c r="G239"/>
      <c r="H239"/>
      <c r="I239"/>
      <c r="J239"/>
      <c r="K239"/>
      <c r="L239"/>
      <c r="M239"/>
      <c r="N239"/>
      <c r="O239" t="inlineStr">
        <is>
          <t>0.0100</t>
        </is>
      </c>
      <c r="P239" t="inlineStr">
        <is>
          <t>0.0200</t>
        </is>
      </c>
      <c r="Q239"/>
      <c r="R239"/>
      <c r="S239"/>
      <c r="T239"/>
      <c r="U239"/>
      <c r="V239" t="inlineStr">
        <is>
          <t>0.0</t>
        </is>
      </c>
      <c r="W239" t="inlineStr">
        <is>
          <t>0.0</t>
        </is>
      </c>
      <c r="X239"/>
      <c r="Y239"/>
      <c r="Z239"/>
      <c r="AA239"/>
      <c r="AB239"/>
      <c r="AC239"/>
      <c r="AD239"/>
      <c r="AE239"/>
      <c r="AF239"/>
      <c r="AG239"/>
      <c r="AH239"/>
      <c r="AI239"/>
      <c r="AJ239"/>
    </row>
    <row r="240" ht="25.5" customHeight="1">
      <c r="A240" t="inlineStr">
        <is>
          <t>78-in-1-（64.99划线）</t>
        </is>
      </c>
      <c r="B240">
        <v>8</v>
      </c>
      <c r="C240" t="inlineStr">
        <is>
          <t>西班牙</t>
        </is>
      </c>
      <c r="D240" t="inlineStr">
        <is>
          <t>ES</t>
        </is>
      </c>
      <c r="E240" t="inlineStr">
        <is>
          <t>有</t>
        </is>
      </c>
      <c r="F240" t="inlineStr">
        <is>
          <t>9.8</t>
        </is>
      </c>
      <c r="G240" t="inlineStr">
        <is>
          <t>17.6</t>
        </is>
      </c>
      <c r="H240">
        <v>49.99</v>
      </c>
      <c r="I240"/>
      <c r="J240">
        <v>3.85</v>
      </c>
      <c r="K240">
        <v>0.15</v>
      </c>
      <c r="L240">
        <v>0.16</v>
      </c>
      <c r="M240">
        <v>0.05</v>
      </c>
      <c r="N240" t="inlineStr">
        <is>
          <t>0.120</t>
        </is>
      </c>
      <c r="O240" t="inlineStr">
        <is>
          <t>0.0100</t>
        </is>
      </c>
      <c r="P240" t="inlineStr">
        <is>
          <t>0.0200</t>
        </is>
      </c>
      <c r="Q240">
        <v>6</v>
      </c>
      <c r="R240">
        <v>33.5</v>
      </c>
      <c r="S240">
        <v>26.5</v>
      </c>
      <c r="T240">
        <v>25</v>
      </c>
      <c r="U240">
        <v>2.3</v>
      </c>
      <c r="V240" t="inlineStr">
        <is>
          <t>3.7</t>
        </is>
      </c>
      <c r="W240" t="inlineStr">
        <is>
          <t>3.7</t>
        </is>
      </c>
      <c r="X240" t="inlineStr">
        <is>
          <t>海运</t>
        </is>
      </c>
      <c r="Y240">
        <v>5.55136</v>
      </c>
      <c r="Z240">
        <v>10</v>
      </c>
      <c r="AA240" t="inlineStr">
        <is>
          <t>19.394</t>
        </is>
      </c>
      <c r="AB240" t="inlineStr">
        <is>
          <t>38.80%</t>
        </is>
      </c>
      <c r="AC240"/>
      <c r="AD240" t="inlineStr">
        <is>
          <t>7.70%</t>
        </is>
      </c>
      <c r="AE240" t="inlineStr">
        <is>
          <t>0.00%</t>
        </is>
      </c>
      <c r="AF240" t="inlineStr">
        <is>
          <t>2.50%</t>
        </is>
      </c>
      <c r="AG240">
        <v>0.15</v>
      </c>
      <c r="AH240" t="inlineStr">
        <is>
          <t>12.00%</t>
        </is>
      </c>
      <c r="AI240">
        <v>0.02</v>
      </c>
      <c r="AJ240">
        <v>0.05</v>
      </c>
    </row>
    <row r="241" ht="25.5" customHeight="1">
      <c r="A241" t="inlineStr">
        <is>
          <t>78-in-1-（15%）coupon</t>
        </is>
      </c>
      <c r="B241">
        <v>8</v>
      </c>
      <c r="C241" t="inlineStr">
        <is>
          <t>西班牙</t>
        </is>
      </c>
      <c r="D241" t="inlineStr">
        <is>
          <t>ES</t>
        </is>
      </c>
      <c r="E241" t="inlineStr">
        <is>
          <t>有</t>
        </is>
      </c>
      <c r="F241" t="inlineStr">
        <is>
          <t>8.0</t>
        </is>
      </c>
      <c r="G241" t="inlineStr">
        <is>
          <t>12.4</t>
        </is>
      </c>
      <c r="H241"/>
      <c r="I241"/>
      <c r="J241">
        <v>3.85</v>
      </c>
      <c r="K241">
        <v>0.15</v>
      </c>
      <c r="L241">
        <v>0.16</v>
      </c>
      <c r="M241">
        <v>0.05</v>
      </c>
      <c r="N241"/>
      <c r="O241" t="inlineStr">
        <is>
          <t>0.0100</t>
        </is>
      </c>
      <c r="P241" t="inlineStr">
        <is>
          <t>0.0200</t>
        </is>
      </c>
      <c r="Q241">
        <v>6</v>
      </c>
      <c r="R241">
        <v>33.5</v>
      </c>
      <c r="S241">
        <v>26.5</v>
      </c>
      <c r="T241">
        <v>25</v>
      </c>
      <c r="U241">
        <v>2.3</v>
      </c>
      <c r="V241" t="inlineStr">
        <is>
          <t>3.7</t>
        </is>
      </c>
      <c r="W241" t="inlineStr">
        <is>
          <t>3.7</t>
        </is>
      </c>
      <c r="X241" t="inlineStr">
        <is>
          <t>海运</t>
        </is>
      </c>
      <c r="Y241">
        <v>5.55136</v>
      </c>
      <c r="Z241">
        <v>10</v>
      </c>
      <c r="AA241" t="inlineStr">
        <is>
          <t>-5.100</t>
        </is>
      </c>
      <c r="AB241"/>
      <c r="AC241"/>
      <c r="AD241"/>
      <c r="AE241"/>
      <c r="AF241"/>
      <c r="AG241">
        <v>0.15</v>
      </c>
      <c r="AH241"/>
      <c r="AI241">
        <v>0.02</v>
      </c>
      <c r="AJ241">
        <v>0.05</v>
      </c>
    </row>
    <row r="242" ht="25.5" customHeight="1">
      <c r="A242"/>
      <c r="B242"/>
      <c r="C242"/>
      <c r="D242"/>
      <c r="E242"/>
      <c r="F242"/>
      <c r="G242"/>
      <c r="H242"/>
      <c r="I242"/>
      <c r="J242"/>
      <c r="K242"/>
      <c r="L242"/>
      <c r="M242"/>
      <c r="N242"/>
      <c r="O242" t="inlineStr">
        <is>
          <t>0.0100</t>
        </is>
      </c>
      <c r="P242" t="inlineStr">
        <is>
          <t>0.0200</t>
        </is>
      </c>
      <c r="Q242"/>
      <c r="R242"/>
      <c r="S242"/>
      <c r="T242"/>
      <c r="U242"/>
      <c r="V242" t="inlineStr">
        <is>
          <t>0.0</t>
        </is>
      </c>
      <c r="W242" t="inlineStr">
        <is>
          <t>0.0</t>
        </is>
      </c>
      <c r="X242"/>
      <c r="Y242"/>
      <c r="Z242"/>
      <c r="AA242"/>
      <c r="AB242"/>
      <c r="AC242"/>
      <c r="AD242"/>
      <c r="AE242"/>
      <c r="AF242"/>
      <c r="AG242"/>
      <c r="AH242"/>
      <c r="AI242"/>
      <c r="AJ242"/>
    </row>
    <row r="243" ht="25.5" customHeight="1">
      <c r="A243" t="inlineStr">
        <is>
          <t>78-in-1-（64.99划线）</t>
        </is>
      </c>
      <c r="B243">
        <v>9</v>
      </c>
      <c r="C243" t="inlineStr">
        <is>
          <t>英国</t>
        </is>
      </c>
      <c r="D243" t="inlineStr">
        <is>
          <t>UK</t>
        </is>
      </c>
      <c r="E243" t="inlineStr">
        <is>
          <t>有</t>
        </is>
      </c>
      <c r="F243" t="inlineStr">
        <is>
          <t>8.0</t>
        </is>
      </c>
      <c r="G243" t="inlineStr">
        <is>
          <t>14.6</t>
        </is>
      </c>
      <c r="H243">
        <v>44.99</v>
      </c>
      <c r="I243"/>
      <c r="J243">
        <v>2.94</v>
      </c>
      <c r="K243">
        <v>0.15</v>
      </c>
      <c r="L243">
        <v>0.16</v>
      </c>
      <c r="M243">
        <v>0.05</v>
      </c>
      <c r="N243" t="inlineStr">
        <is>
          <t>0.133</t>
        </is>
      </c>
      <c r="O243" t="inlineStr">
        <is>
          <t>0.0100</t>
        </is>
      </c>
      <c r="P243" t="inlineStr">
        <is>
          <t>0.0200</t>
        </is>
      </c>
      <c r="Q243">
        <v>6</v>
      </c>
      <c r="R243">
        <v>33.5</v>
      </c>
      <c r="S243">
        <v>26.5</v>
      </c>
      <c r="T243">
        <v>25</v>
      </c>
      <c r="U243">
        <v>2.3</v>
      </c>
      <c r="V243" t="inlineStr">
        <is>
          <t>3.7</t>
        </is>
      </c>
      <c r="W243" t="inlineStr">
        <is>
          <t>3.7</t>
        </is>
      </c>
      <c r="X243" t="inlineStr">
        <is>
          <t>海运</t>
        </is>
      </c>
      <c r="Y243">
        <v>6.084</v>
      </c>
      <c r="Z243">
        <v>10</v>
      </c>
      <c r="AA243" t="inlineStr">
        <is>
          <t>17.393</t>
        </is>
      </c>
      <c r="AB243" t="inlineStr">
        <is>
          <t>38.66%</t>
        </is>
      </c>
      <c r="AC243"/>
      <c r="AD243" t="inlineStr">
        <is>
          <t>6.53%</t>
        </is>
      </c>
      <c r="AE243" t="inlineStr">
        <is>
          <t>0.00%</t>
        </is>
      </c>
      <c r="AF243" t="inlineStr">
        <is>
          <t>2.47%</t>
        </is>
      </c>
      <c r="AG243">
        <v>0.15</v>
      </c>
      <c r="AH243" t="inlineStr">
        <is>
          <t>13.34%</t>
        </is>
      </c>
      <c r="AI243">
        <v>0.02</v>
      </c>
      <c r="AJ243">
        <v>0.05</v>
      </c>
    </row>
    <row r="244" ht="25.5" customHeight="1">
      <c r="A244" t="inlineStr">
        <is>
          <t>78-in-1-（15%）coupon</t>
        </is>
      </c>
      <c r="B244">
        <v>9</v>
      </c>
      <c r="C244" t="inlineStr">
        <is>
          <t>英国</t>
        </is>
      </c>
      <c r="D244" t="inlineStr">
        <is>
          <t>UK</t>
        </is>
      </c>
      <c r="E244" t="inlineStr">
        <is>
          <t>有</t>
        </is>
      </c>
      <c r="F244" t="inlineStr">
        <is>
          <t>6.3</t>
        </is>
      </c>
      <c r="G244" t="inlineStr">
        <is>
          <t>9.9</t>
        </is>
      </c>
      <c r="H244"/>
      <c r="I244"/>
      <c r="J244">
        <v>2.94</v>
      </c>
      <c r="K244">
        <v>0.15</v>
      </c>
      <c r="L244">
        <v>0.16</v>
      </c>
      <c r="M244">
        <v>0.05</v>
      </c>
      <c r="N244"/>
      <c r="O244" t="inlineStr">
        <is>
          <t>0.0100</t>
        </is>
      </c>
      <c r="P244" t="inlineStr">
        <is>
          <t>0.0200</t>
        </is>
      </c>
      <c r="Q244">
        <v>6</v>
      </c>
      <c r="R244">
        <v>33.5</v>
      </c>
      <c r="S244">
        <v>26.5</v>
      </c>
      <c r="T244">
        <v>25</v>
      </c>
      <c r="U244">
        <v>2.3</v>
      </c>
      <c r="V244" t="inlineStr">
        <is>
          <t>3.7</t>
        </is>
      </c>
      <c r="W244" t="inlineStr">
        <is>
          <t>3.7</t>
        </is>
      </c>
      <c r="X244" t="inlineStr">
        <is>
          <t>海运</t>
        </is>
      </c>
      <c r="Y244">
        <v>6.084</v>
      </c>
      <c r="Z244">
        <v>10</v>
      </c>
      <c r="AA244" t="inlineStr">
        <is>
          <t>-4.051</t>
        </is>
      </c>
      <c r="AB244"/>
      <c r="AC244"/>
      <c r="AD244"/>
      <c r="AE244"/>
      <c r="AF244"/>
      <c r="AG244">
        <v>0.15</v>
      </c>
      <c r="AH244"/>
      <c r="AI244">
        <v>0.02</v>
      </c>
      <c r="AJ244">
        <v>0.05</v>
      </c>
    </row>
    <row r="245" ht="25.5" customHeight="1">
      <c r="A245"/>
      <c r="B245"/>
      <c r="C245"/>
      <c r="D245"/>
      <c r="E245"/>
      <c r="F245"/>
      <c r="G245"/>
      <c r="H245"/>
      <c r="I245"/>
      <c r="J245"/>
      <c r="K245"/>
      <c r="L245"/>
      <c r="M245"/>
      <c r="N245"/>
      <c r="O245" t="inlineStr">
        <is>
          <t>0.0100</t>
        </is>
      </c>
      <c r="P245" t="inlineStr">
        <is>
          <t>0.0200</t>
        </is>
      </c>
      <c r="Q245"/>
      <c r="R245"/>
      <c r="S245"/>
      <c r="T245"/>
      <c r="U245"/>
      <c r="V245" t="inlineStr">
        <is>
          <t>0.0</t>
        </is>
      </c>
      <c r="W245" t="inlineStr">
        <is>
          <t>0.0</t>
        </is>
      </c>
      <c r="X245"/>
      <c r="Y245"/>
      <c r="Z245"/>
      <c r="AA245"/>
      <c r="AB245"/>
      <c r="AC245"/>
      <c r="AD245"/>
      <c r="AE245"/>
      <c r="AF245"/>
      <c r="AG245"/>
      <c r="AH245"/>
      <c r="AI245"/>
      <c r="AJ245"/>
    </row>
    <row r="246" ht="25.5" customHeight="1">
      <c r="A246" t="inlineStr">
        <is>
          <t>83-in-1手动-（划线30%）</t>
        </is>
      </c>
      <c r="B246">
        <v>8</v>
      </c>
      <c r="C246" t="inlineStr">
        <is>
          <t>德国</t>
        </is>
      </c>
      <c r="D246" t="inlineStr">
        <is>
          <t>DE</t>
        </is>
      </c>
      <c r="E246" t="inlineStr">
        <is>
          <t>有</t>
        </is>
      </c>
      <c r="F246" t="inlineStr">
        <is>
          <t>27.4</t>
        </is>
      </c>
      <c r="G246" t="inlineStr">
        <is>
          <t>51.6</t>
        </is>
      </c>
      <c r="H246">
        <v>39.99</v>
      </c>
      <c r="I246">
        <v>67</v>
      </c>
      <c r="J246">
        <v>3.41</v>
      </c>
      <c r="K246">
        <v>0.15</v>
      </c>
      <c r="L246">
        <v>0.16</v>
      </c>
      <c r="M246">
        <v>0.05</v>
      </c>
      <c r="N246" t="inlineStr">
        <is>
          <t>0.150</t>
        </is>
      </c>
      <c r="O246" t="inlineStr">
        <is>
          <t>0.0100</t>
        </is>
      </c>
      <c r="P246" t="inlineStr">
        <is>
          <t>0.0200</t>
        </is>
      </c>
      <c r="Q246">
        <v>6</v>
      </c>
      <c r="R246">
        <v>33.5</v>
      </c>
      <c r="S246">
        <v>26.5</v>
      </c>
      <c r="T246">
        <v>25</v>
      </c>
      <c r="U246">
        <v>2.3</v>
      </c>
      <c r="V246" t="inlineStr">
        <is>
          <t>3.7</t>
        </is>
      </c>
      <c r="W246" t="inlineStr">
        <is>
          <t>3.7</t>
        </is>
      </c>
      <c r="X246" t="inlineStr">
        <is>
          <t>海运</t>
        </is>
      </c>
      <c r="Y246">
        <v>5.55136</v>
      </c>
      <c r="Z246">
        <v>13</v>
      </c>
      <c r="AA246" t="inlineStr">
        <is>
          <t>4.984</t>
        </is>
      </c>
      <c r="AB246" t="inlineStr">
        <is>
          <t>12.46%</t>
        </is>
      </c>
      <c r="AC246"/>
      <c r="AD246" t="inlineStr">
        <is>
          <t>8.53%</t>
        </is>
      </c>
      <c r="AE246" t="inlineStr">
        <is>
          <t>20.94%</t>
        </is>
      </c>
      <c r="AF246" t="inlineStr">
        <is>
          <t>4.06%</t>
        </is>
      </c>
      <c r="AG246">
        <v>0.15</v>
      </c>
      <c r="AH246" t="inlineStr">
        <is>
          <t>15.00%</t>
        </is>
      </c>
      <c r="AI246">
        <v>0.02</v>
      </c>
      <c r="AJ246">
        <v>0.05</v>
      </c>
    </row>
    <row r="247" ht="25.5" customHeight="1">
      <c r="A247" t="inlineStr">
        <is>
          <t>83-in-1手动-（15%）coupon</t>
        </is>
      </c>
      <c r="B247">
        <v>8</v>
      </c>
      <c r="C247" t="inlineStr">
        <is>
          <t>德国</t>
        </is>
      </c>
      <c r="D247" t="inlineStr">
        <is>
          <t>DE</t>
        </is>
      </c>
      <c r="E247" t="inlineStr">
        <is>
          <t>有</t>
        </is>
      </c>
      <c r="F247" t="inlineStr">
        <is>
          <t>21.0</t>
        </is>
      </c>
      <c r="G247" t="inlineStr">
        <is>
          <t>32.7</t>
        </is>
      </c>
      <c r="H247"/>
      <c r="I247">
        <v>67</v>
      </c>
      <c r="J247">
        <v>3.41</v>
      </c>
      <c r="K247">
        <v>0.15</v>
      </c>
      <c r="L247">
        <v>0.16</v>
      </c>
      <c r="M247">
        <v>0.05</v>
      </c>
      <c r="N247"/>
      <c r="O247" t="inlineStr">
        <is>
          <t>0.0100</t>
        </is>
      </c>
      <c r="P247" t="inlineStr">
        <is>
          <t>0.0200</t>
        </is>
      </c>
      <c r="Q247">
        <v>6</v>
      </c>
      <c r="R247">
        <v>33.5</v>
      </c>
      <c r="S247">
        <v>26.5</v>
      </c>
      <c r="T247">
        <v>25</v>
      </c>
      <c r="U247">
        <v>2.3</v>
      </c>
      <c r="V247" t="inlineStr">
        <is>
          <t>3.7</t>
        </is>
      </c>
      <c r="W247" t="inlineStr">
        <is>
          <t>3.7</t>
        </is>
      </c>
      <c r="X247" t="inlineStr">
        <is>
          <t>海运</t>
        </is>
      </c>
      <c r="Y247">
        <v>5.55136</v>
      </c>
      <c r="Z247">
        <v>13</v>
      </c>
      <c r="AA247" t="inlineStr">
        <is>
          <t>-13.410</t>
        </is>
      </c>
      <c r="AB247"/>
      <c r="AC247"/>
      <c r="AD247"/>
      <c r="AE247"/>
      <c r="AF247"/>
      <c r="AG247">
        <v>0.15</v>
      </c>
      <c r="AH247"/>
      <c r="AI247">
        <v>0.02</v>
      </c>
      <c r="AJ247">
        <v>0.05</v>
      </c>
    </row>
    <row r="248" ht="25.5" customHeight="1">
      <c r="A248"/>
      <c r="B248"/>
      <c r="C248"/>
      <c r="D248"/>
      <c r="E248"/>
      <c r="F248"/>
      <c r="G248"/>
      <c r="H248"/>
      <c r="I248"/>
      <c r="J248"/>
      <c r="K248"/>
      <c r="L248"/>
      <c r="M248"/>
      <c r="N248"/>
      <c r="O248" t="inlineStr">
        <is>
          <t>0.0100</t>
        </is>
      </c>
      <c r="P248" t="inlineStr">
        <is>
          <t>0.0200</t>
        </is>
      </c>
      <c r="Q248"/>
      <c r="R248"/>
      <c r="S248"/>
      <c r="T248"/>
      <c r="U248"/>
      <c r="V248" t="inlineStr">
        <is>
          <t>0.0</t>
        </is>
      </c>
      <c r="W248" t="inlineStr">
        <is>
          <t>0.0</t>
        </is>
      </c>
      <c r="X248"/>
      <c r="Y248"/>
      <c r="Z248"/>
      <c r="AA248"/>
      <c r="AB248"/>
      <c r="AC248"/>
      <c r="AD248"/>
      <c r="AE248"/>
      <c r="AF248"/>
      <c r="AG248"/>
      <c r="AH248"/>
      <c r="AI248"/>
      <c r="AJ248"/>
    </row>
    <row r="249" ht="25.5" customHeight="1">
      <c r="A249" t="inlineStr">
        <is>
          <t>83-in-1手动-（划线30%）</t>
        </is>
      </c>
      <c r="B249">
        <v>8</v>
      </c>
      <c r="C249" t="inlineStr">
        <is>
          <t>法国</t>
        </is>
      </c>
      <c r="D249" t="inlineStr">
        <is>
          <t>FR</t>
        </is>
      </c>
      <c r="E249" t="inlineStr">
        <is>
          <t>有</t>
        </is>
      </c>
      <c r="F249" t="inlineStr">
        <is>
          <t>32.2</t>
        </is>
      </c>
      <c r="G249" t="inlineStr">
        <is>
          <t>60.7</t>
        </is>
      </c>
      <c r="H249">
        <v>39.99</v>
      </c>
      <c r="I249">
        <v>67</v>
      </c>
      <c r="J249">
        <v>5.79</v>
      </c>
      <c r="K249">
        <v>0.15</v>
      </c>
      <c r="L249">
        <v>0.16</v>
      </c>
      <c r="M249">
        <v>0.05</v>
      </c>
      <c r="N249" t="inlineStr">
        <is>
          <t>0.150</t>
        </is>
      </c>
      <c r="O249" t="inlineStr">
        <is>
          <t>0.0100</t>
        </is>
      </c>
      <c r="P249" t="inlineStr">
        <is>
          <t>0.0200</t>
        </is>
      </c>
      <c r="Q249">
        <v>6</v>
      </c>
      <c r="R249">
        <v>33.5</v>
      </c>
      <c r="S249">
        <v>26.5</v>
      </c>
      <c r="T249">
        <v>25</v>
      </c>
      <c r="U249">
        <v>2.3</v>
      </c>
      <c r="V249" t="inlineStr">
        <is>
          <t>3.7</t>
        </is>
      </c>
      <c r="W249" t="inlineStr">
        <is>
          <t>3.7</t>
        </is>
      </c>
      <c r="X249" t="inlineStr">
        <is>
          <t>海运</t>
        </is>
      </c>
      <c r="Y249">
        <v>5.55136</v>
      </c>
      <c r="Z249">
        <v>13</v>
      </c>
      <c r="AA249" t="inlineStr">
        <is>
          <t>2.604</t>
        </is>
      </c>
      <c r="AB249" t="inlineStr">
        <is>
          <t>6.51%</t>
        </is>
      </c>
      <c r="AC249"/>
      <c r="AD249" t="inlineStr">
        <is>
          <t>14.48%</t>
        </is>
      </c>
      <c r="AE249" t="inlineStr">
        <is>
          <t>20.94%</t>
        </is>
      </c>
      <c r="AF249" t="inlineStr">
        <is>
          <t>4.06%</t>
        </is>
      </c>
      <c r="AG249">
        <v>0.15</v>
      </c>
      <c r="AH249" t="inlineStr">
        <is>
          <t>15.00%</t>
        </is>
      </c>
      <c r="AI249">
        <v>0.02</v>
      </c>
      <c r="AJ249">
        <v>0.05</v>
      </c>
    </row>
    <row r="250" ht="25.5" customHeight="1">
      <c r="A250" t="inlineStr">
        <is>
          <t>83-in-1手动-（15%）coupon</t>
        </is>
      </c>
      <c r="B250">
        <v>8</v>
      </c>
      <c r="C250" t="inlineStr">
        <is>
          <t>法国</t>
        </is>
      </c>
      <c r="D250" t="inlineStr">
        <is>
          <t>FR</t>
        </is>
      </c>
      <c r="E250" t="inlineStr">
        <is>
          <t>有</t>
        </is>
      </c>
      <c r="F250" t="inlineStr">
        <is>
          <t>24.7</t>
        </is>
      </c>
      <c r="G250" t="inlineStr">
        <is>
          <t>38.5</t>
        </is>
      </c>
      <c r="H250"/>
      <c r="I250">
        <v>67</v>
      </c>
      <c r="J250">
        <v>5.79</v>
      </c>
      <c r="K250">
        <v>0.15</v>
      </c>
      <c r="L250">
        <v>0.16</v>
      </c>
      <c r="M250">
        <v>0.05</v>
      </c>
      <c r="N250"/>
      <c r="O250" t="inlineStr">
        <is>
          <t>0.0100</t>
        </is>
      </c>
      <c r="P250" t="inlineStr">
        <is>
          <t>0.0200</t>
        </is>
      </c>
      <c r="Q250">
        <v>6</v>
      </c>
      <c r="R250">
        <v>33.5</v>
      </c>
      <c r="S250">
        <v>26.5</v>
      </c>
      <c r="T250">
        <v>25</v>
      </c>
      <c r="U250">
        <v>2.3</v>
      </c>
      <c r="V250" t="inlineStr">
        <is>
          <t>3.7</t>
        </is>
      </c>
      <c r="W250" t="inlineStr">
        <is>
          <t>3.7</t>
        </is>
      </c>
      <c r="X250" t="inlineStr">
        <is>
          <t>海运</t>
        </is>
      </c>
      <c r="Y250">
        <v>5.55136</v>
      </c>
      <c r="Z250">
        <v>13</v>
      </c>
      <c r="AA250" t="inlineStr">
        <is>
          <t>-15.790</t>
        </is>
      </c>
      <c r="AB250"/>
      <c r="AC250"/>
      <c r="AD250"/>
      <c r="AE250"/>
      <c r="AF250"/>
      <c r="AG250">
        <v>0.15</v>
      </c>
      <c r="AH250"/>
      <c r="AI250">
        <v>0.02</v>
      </c>
      <c r="AJ250">
        <v>0.05</v>
      </c>
    </row>
    <row r="251" ht="25.5" customHeight="1">
      <c r="A251"/>
      <c r="B251"/>
      <c r="C251"/>
      <c r="D251"/>
      <c r="E251"/>
      <c r="F251"/>
      <c r="G251"/>
      <c r="H251"/>
      <c r="I251"/>
      <c r="J251"/>
      <c r="K251"/>
      <c r="L251"/>
      <c r="M251"/>
      <c r="N251"/>
      <c r="O251" t="inlineStr">
        <is>
          <t>0.0100</t>
        </is>
      </c>
      <c r="P251" t="inlineStr">
        <is>
          <t>0.0200</t>
        </is>
      </c>
      <c r="Q251"/>
      <c r="R251"/>
      <c r="S251"/>
      <c r="T251"/>
      <c r="U251"/>
      <c r="V251" t="inlineStr">
        <is>
          <t>0.0</t>
        </is>
      </c>
      <c r="W251" t="inlineStr">
        <is>
          <t>0.0</t>
        </is>
      </c>
      <c r="X251"/>
      <c r="Y251"/>
      <c r="Z251"/>
      <c r="AA251"/>
      <c r="AB251"/>
      <c r="AC251"/>
      <c r="AD251"/>
      <c r="AE251"/>
      <c r="AF251"/>
      <c r="AG251"/>
      <c r="AH251"/>
      <c r="AI251"/>
      <c r="AJ251"/>
    </row>
    <row r="252" ht="25.5" customHeight="1">
      <c r="A252" t="inlineStr">
        <is>
          <t>83-in-1手动-（划线30%）</t>
        </is>
      </c>
      <c r="B252">
        <v>8</v>
      </c>
      <c r="C252" t="inlineStr">
        <is>
          <t>意大利</t>
        </is>
      </c>
      <c r="D252" t="inlineStr">
        <is>
          <t>IT</t>
        </is>
      </c>
      <c r="E252" t="inlineStr">
        <is>
          <t>有</t>
        </is>
      </c>
      <c r="F252" t="inlineStr">
        <is>
          <t>30.5</t>
        </is>
      </c>
      <c r="G252" t="inlineStr">
        <is>
          <t>57.5</t>
        </is>
      </c>
      <c r="H252">
        <v>39.99</v>
      </c>
      <c r="I252">
        <v>67</v>
      </c>
      <c r="J252">
        <v>4.95</v>
      </c>
      <c r="K252">
        <v>0.15</v>
      </c>
      <c r="L252">
        <v>0.16</v>
      </c>
      <c r="M252">
        <v>0.05</v>
      </c>
      <c r="N252" t="inlineStr">
        <is>
          <t>0.150</t>
        </is>
      </c>
      <c r="O252" t="inlineStr">
        <is>
          <t>0.0100</t>
        </is>
      </c>
      <c r="P252" t="inlineStr">
        <is>
          <t>0.0200</t>
        </is>
      </c>
      <c r="Q252">
        <v>6</v>
      </c>
      <c r="R252">
        <v>33.5</v>
      </c>
      <c r="S252">
        <v>26.5</v>
      </c>
      <c r="T252">
        <v>25</v>
      </c>
      <c r="U252">
        <v>2.3</v>
      </c>
      <c r="V252" t="inlineStr">
        <is>
          <t>3.7</t>
        </is>
      </c>
      <c r="W252" t="inlineStr">
        <is>
          <t>3.7</t>
        </is>
      </c>
      <c r="X252" t="inlineStr">
        <is>
          <t>海运</t>
        </is>
      </c>
      <c r="Y252">
        <v>5.55136</v>
      </c>
      <c r="Z252">
        <v>13</v>
      </c>
      <c r="AA252" t="inlineStr">
        <is>
          <t>3.444</t>
        </is>
      </c>
      <c r="AB252" t="inlineStr">
        <is>
          <t>8.61%</t>
        </is>
      </c>
      <c r="AC252"/>
      <c r="AD252" t="inlineStr">
        <is>
          <t>12.38%</t>
        </is>
      </c>
      <c r="AE252" t="inlineStr">
        <is>
          <t>20.94%</t>
        </is>
      </c>
      <c r="AF252" t="inlineStr">
        <is>
          <t>4.06%</t>
        </is>
      </c>
      <c r="AG252">
        <v>0.15</v>
      </c>
      <c r="AH252" t="inlineStr">
        <is>
          <t>15.00%</t>
        </is>
      </c>
      <c r="AI252">
        <v>0.02</v>
      </c>
      <c r="AJ252">
        <v>0.05</v>
      </c>
    </row>
    <row r="253" ht="25.5" customHeight="1">
      <c r="A253" t="inlineStr">
        <is>
          <t>83-in-1手动-（15%）coupon</t>
        </is>
      </c>
      <c r="B253">
        <v>8</v>
      </c>
      <c r="C253" t="inlineStr">
        <is>
          <t>意大利</t>
        </is>
      </c>
      <c r="D253" t="inlineStr">
        <is>
          <t>IT</t>
        </is>
      </c>
      <c r="E253" t="inlineStr">
        <is>
          <t>有</t>
        </is>
      </c>
      <c r="F253" t="inlineStr">
        <is>
          <t>23.4</t>
        </is>
      </c>
      <c r="G253" t="inlineStr">
        <is>
          <t>36.5</t>
        </is>
      </c>
      <c r="H253"/>
      <c r="I253">
        <v>67</v>
      </c>
      <c r="J253">
        <v>4.95</v>
      </c>
      <c r="K253">
        <v>0.15</v>
      </c>
      <c r="L253">
        <v>0.16</v>
      </c>
      <c r="M253">
        <v>0.05</v>
      </c>
      <c r="N253"/>
      <c r="O253" t="inlineStr">
        <is>
          <t>0.0100</t>
        </is>
      </c>
      <c r="P253" t="inlineStr">
        <is>
          <t>0.0200</t>
        </is>
      </c>
      <c r="Q253">
        <v>6</v>
      </c>
      <c r="R253">
        <v>33.5</v>
      </c>
      <c r="S253">
        <v>26.5</v>
      </c>
      <c r="T253">
        <v>25</v>
      </c>
      <c r="U253">
        <v>2.3</v>
      </c>
      <c r="V253" t="inlineStr">
        <is>
          <t>3.7</t>
        </is>
      </c>
      <c r="W253" t="inlineStr">
        <is>
          <t>3.7</t>
        </is>
      </c>
      <c r="X253" t="inlineStr">
        <is>
          <t>海运</t>
        </is>
      </c>
      <c r="Y253">
        <v>5.55136</v>
      </c>
      <c r="Z253">
        <v>13</v>
      </c>
      <c r="AA253" t="inlineStr">
        <is>
          <t>-14.950</t>
        </is>
      </c>
      <c r="AB253"/>
      <c r="AC253"/>
      <c r="AD253"/>
      <c r="AE253"/>
      <c r="AF253"/>
      <c r="AG253">
        <v>0.15</v>
      </c>
      <c r="AH253"/>
      <c r="AI253">
        <v>0.02</v>
      </c>
      <c r="AJ253">
        <v>0.05</v>
      </c>
    </row>
    <row r="254" ht="25.5" customHeight="1">
      <c r="A254"/>
      <c r="B254"/>
      <c r="C254"/>
      <c r="D254"/>
      <c r="E254"/>
      <c r="F254"/>
      <c r="G254"/>
      <c r="H254"/>
      <c r="I254"/>
      <c r="J254"/>
      <c r="K254"/>
      <c r="L254"/>
      <c r="M254"/>
      <c r="N254"/>
      <c r="O254" t="inlineStr">
        <is>
          <t>0.0100</t>
        </is>
      </c>
      <c r="P254" t="inlineStr">
        <is>
          <t>0.0200</t>
        </is>
      </c>
      <c r="Q254"/>
      <c r="R254"/>
      <c r="S254"/>
      <c r="T254"/>
      <c r="U254"/>
      <c r="V254" t="inlineStr">
        <is>
          <t>0.0</t>
        </is>
      </c>
      <c r="W254" t="inlineStr">
        <is>
          <t>0.0</t>
        </is>
      </c>
      <c r="X254"/>
      <c r="Y254"/>
      <c r="Z254"/>
      <c r="AA254"/>
      <c r="AB254"/>
      <c r="AC254"/>
      <c r="AD254"/>
      <c r="AE254"/>
      <c r="AF254"/>
      <c r="AG254"/>
      <c r="AH254"/>
      <c r="AI254"/>
      <c r="AJ254"/>
    </row>
    <row r="255" ht="25.5" customHeight="1">
      <c r="A255" t="inlineStr">
        <is>
          <t>83-in-1手动-（划线30%）</t>
        </is>
      </c>
      <c r="B255">
        <v>8</v>
      </c>
      <c r="C255" t="inlineStr">
        <is>
          <t>西班牙</t>
        </is>
      </c>
      <c r="D255" t="inlineStr">
        <is>
          <t>ES</t>
        </is>
      </c>
      <c r="E255" t="inlineStr">
        <is>
          <t>有</t>
        </is>
      </c>
      <c r="F255" t="inlineStr">
        <is>
          <t>28.5</t>
        </is>
      </c>
      <c r="G255" t="inlineStr">
        <is>
          <t>53.7</t>
        </is>
      </c>
      <c r="H255">
        <v>39.99</v>
      </c>
      <c r="I255">
        <v>67</v>
      </c>
      <c r="J255">
        <v>3.95</v>
      </c>
      <c r="K255">
        <v>0.15</v>
      </c>
      <c r="L255">
        <v>0.16</v>
      </c>
      <c r="M255">
        <v>0.05</v>
      </c>
      <c r="N255" t="inlineStr">
        <is>
          <t>0.150</t>
        </is>
      </c>
      <c r="O255" t="inlineStr">
        <is>
          <t>0.0100</t>
        </is>
      </c>
      <c r="P255" t="inlineStr">
        <is>
          <t>0.0200</t>
        </is>
      </c>
      <c r="Q255">
        <v>6</v>
      </c>
      <c r="R255">
        <v>33.5</v>
      </c>
      <c r="S255">
        <v>26.5</v>
      </c>
      <c r="T255">
        <v>25</v>
      </c>
      <c r="U255">
        <v>2.3</v>
      </c>
      <c r="V255" t="inlineStr">
        <is>
          <t>3.7</t>
        </is>
      </c>
      <c r="W255" t="inlineStr">
        <is>
          <t>3.7</t>
        </is>
      </c>
      <c r="X255" t="inlineStr">
        <is>
          <t>海运</t>
        </is>
      </c>
      <c r="Y255">
        <v>5.55136</v>
      </c>
      <c r="Z255">
        <v>13</v>
      </c>
      <c r="AA255" t="inlineStr">
        <is>
          <t>4.444</t>
        </is>
      </c>
      <c r="AB255" t="inlineStr">
        <is>
          <t>11.11%</t>
        </is>
      </c>
      <c r="AC255"/>
      <c r="AD255" t="inlineStr">
        <is>
          <t>9.88%</t>
        </is>
      </c>
      <c r="AE255" t="inlineStr">
        <is>
          <t>20.94%</t>
        </is>
      </c>
      <c r="AF255" t="inlineStr">
        <is>
          <t>4.06%</t>
        </is>
      </c>
      <c r="AG255">
        <v>0.15</v>
      </c>
      <c r="AH255" t="inlineStr">
        <is>
          <t>15.00%</t>
        </is>
      </c>
      <c r="AI255">
        <v>0.02</v>
      </c>
      <c r="AJ255">
        <v>0.05</v>
      </c>
    </row>
    <row r="256" ht="25.5" customHeight="1">
      <c r="A256" t="inlineStr">
        <is>
          <t>83-in-1手动-（15%）coupon</t>
        </is>
      </c>
      <c r="B256">
        <v>8</v>
      </c>
      <c r="C256" t="inlineStr">
        <is>
          <t>西班牙</t>
        </is>
      </c>
      <c r="D256" t="inlineStr">
        <is>
          <t>ES</t>
        </is>
      </c>
      <c r="E256" t="inlineStr">
        <is>
          <t>有</t>
        </is>
      </c>
      <c r="F256" t="inlineStr">
        <is>
          <t>21.8</t>
        </is>
      </c>
      <c r="G256" t="inlineStr">
        <is>
          <t>34.0</t>
        </is>
      </c>
      <c r="H256"/>
      <c r="I256">
        <v>67</v>
      </c>
      <c r="J256">
        <v>3.95</v>
      </c>
      <c r="K256">
        <v>0.15</v>
      </c>
      <c r="L256">
        <v>0.16</v>
      </c>
      <c r="M256">
        <v>0.05</v>
      </c>
      <c r="N256"/>
      <c r="O256" t="inlineStr">
        <is>
          <t>0.0100</t>
        </is>
      </c>
      <c r="P256" t="inlineStr">
        <is>
          <t>0.0200</t>
        </is>
      </c>
      <c r="Q256">
        <v>6</v>
      </c>
      <c r="R256">
        <v>33.5</v>
      </c>
      <c r="S256">
        <v>26.5</v>
      </c>
      <c r="T256">
        <v>25</v>
      </c>
      <c r="U256">
        <v>2.3</v>
      </c>
      <c r="V256" t="inlineStr">
        <is>
          <t>3.7</t>
        </is>
      </c>
      <c r="W256" t="inlineStr">
        <is>
          <t>3.7</t>
        </is>
      </c>
      <c r="X256" t="inlineStr">
        <is>
          <t>海运</t>
        </is>
      </c>
      <c r="Y256">
        <v>5.55136</v>
      </c>
      <c r="Z256">
        <v>13</v>
      </c>
      <c r="AA256" t="inlineStr">
        <is>
          <t>-13.950</t>
        </is>
      </c>
      <c r="AB256"/>
      <c r="AC256"/>
      <c r="AD256"/>
      <c r="AE256"/>
      <c r="AF256"/>
      <c r="AG256">
        <v>0.15</v>
      </c>
      <c r="AH256"/>
      <c r="AI256">
        <v>0.02</v>
      </c>
      <c r="AJ256">
        <v>0.05</v>
      </c>
    </row>
    <row r="257" ht="25.5" customHeight="1">
      <c r="A257"/>
      <c r="B257"/>
      <c r="C257"/>
      <c r="D257"/>
      <c r="E257"/>
      <c r="F257"/>
      <c r="G257"/>
      <c r="H257"/>
      <c r="I257"/>
      <c r="J257"/>
      <c r="K257"/>
      <c r="L257"/>
      <c r="M257"/>
      <c r="N257"/>
      <c r="O257" t="inlineStr">
        <is>
          <t>0.0100</t>
        </is>
      </c>
      <c r="P257" t="inlineStr">
        <is>
          <t>0.0200</t>
        </is>
      </c>
      <c r="Q257"/>
      <c r="R257"/>
      <c r="S257"/>
      <c r="T257"/>
      <c r="U257"/>
      <c r="V257" t="inlineStr">
        <is>
          <t>0.0</t>
        </is>
      </c>
      <c r="W257" t="inlineStr">
        <is>
          <t>0.0</t>
        </is>
      </c>
      <c r="X257"/>
      <c r="Y257"/>
      <c r="Z257"/>
      <c r="AA257"/>
      <c r="AB257"/>
      <c r="AC257"/>
      <c r="AD257"/>
      <c r="AE257"/>
      <c r="AF257"/>
      <c r="AG257"/>
      <c r="AH257"/>
      <c r="AI257"/>
      <c r="AJ257"/>
    </row>
    <row r="258" ht="25.5" customHeight="1">
      <c r="A258" t="inlineStr">
        <is>
          <t>83-in-1手动-（划线30%）</t>
        </is>
      </c>
      <c r="B258">
        <v>9</v>
      </c>
      <c r="C258" t="inlineStr">
        <is>
          <t>英国</t>
        </is>
      </c>
      <c r="D258" t="inlineStr">
        <is>
          <t>UK</t>
        </is>
      </c>
      <c r="E258" t="inlineStr">
        <is>
          <t>有</t>
        </is>
      </c>
      <c r="F258" t="inlineStr">
        <is>
          <t>25.5</t>
        </is>
      </c>
      <c r="G258" t="inlineStr">
        <is>
          <t>50.0</t>
        </is>
      </c>
      <c r="H258">
        <v>34.99</v>
      </c>
      <c r="I258">
        <v>67</v>
      </c>
      <c r="J258">
        <v>3.04</v>
      </c>
      <c r="K258">
        <v>0.15</v>
      </c>
      <c r="L258">
        <v>0.16</v>
      </c>
      <c r="M258">
        <v>0.05</v>
      </c>
      <c r="N258" t="inlineStr">
        <is>
          <t>0.171</t>
        </is>
      </c>
      <c r="O258" t="inlineStr">
        <is>
          <t>0.0100</t>
        </is>
      </c>
      <c r="P258" t="inlineStr">
        <is>
          <t>0.0200</t>
        </is>
      </c>
      <c r="Q258">
        <v>6</v>
      </c>
      <c r="R258">
        <v>33.5</v>
      </c>
      <c r="S258">
        <v>26.5</v>
      </c>
      <c r="T258">
        <v>25</v>
      </c>
      <c r="U258">
        <v>2.3</v>
      </c>
      <c r="V258" t="inlineStr">
        <is>
          <t>3.7</t>
        </is>
      </c>
      <c r="W258" t="inlineStr">
        <is>
          <t>3.7</t>
        </is>
      </c>
      <c r="X258" t="inlineStr">
        <is>
          <t>海运</t>
        </is>
      </c>
      <c r="Y258">
        <v>6.084</v>
      </c>
      <c r="Z258">
        <v>13</v>
      </c>
      <c r="AA258" t="inlineStr">
        <is>
          <t>3.415</t>
        </is>
      </c>
      <c r="AB258" t="inlineStr">
        <is>
          <t>9.76%</t>
        </is>
      </c>
      <c r="AC258"/>
      <c r="AD258" t="inlineStr">
        <is>
          <t>8.69%</t>
        </is>
      </c>
      <c r="AE258" t="inlineStr">
        <is>
          <t>21.28%</t>
        </is>
      </c>
      <c r="AF258" t="inlineStr">
        <is>
          <t>4.13%</t>
        </is>
      </c>
      <c r="AG258">
        <v>0.15</v>
      </c>
      <c r="AH258" t="inlineStr">
        <is>
          <t>17.15%</t>
        </is>
      </c>
      <c r="AI258">
        <v>0.02</v>
      </c>
      <c r="AJ258">
        <v>0.05</v>
      </c>
    </row>
    <row r="259" ht="25.5" customHeight="1">
      <c r="A259" t="inlineStr">
        <is>
          <t>83-in-1手动-（15%）coupon</t>
        </is>
      </c>
      <c r="B259">
        <v>9</v>
      </c>
      <c r="C259" t="inlineStr">
        <is>
          <t>英国</t>
        </is>
      </c>
      <c r="D259" t="inlineStr">
        <is>
          <t>UK</t>
        </is>
      </c>
      <c r="E259" t="inlineStr">
        <is>
          <t>有</t>
        </is>
      </c>
      <c r="F259" t="inlineStr">
        <is>
          <t>18.6</t>
        </is>
      </c>
      <c r="G259" t="inlineStr">
        <is>
          <t>29.1</t>
        </is>
      </c>
      <c r="H259"/>
      <c r="I259">
        <v>67</v>
      </c>
      <c r="J259">
        <v>3.04</v>
      </c>
      <c r="K259">
        <v>0.15</v>
      </c>
      <c r="L259">
        <v>0.16</v>
      </c>
      <c r="M259">
        <v>0.05</v>
      </c>
      <c r="N259"/>
      <c r="O259" t="inlineStr">
        <is>
          <t>0.0100</t>
        </is>
      </c>
      <c r="P259" t="inlineStr">
        <is>
          <t>0.0200</t>
        </is>
      </c>
      <c r="Q259">
        <v>6</v>
      </c>
      <c r="R259">
        <v>33.5</v>
      </c>
      <c r="S259">
        <v>26.5</v>
      </c>
      <c r="T259">
        <v>25</v>
      </c>
      <c r="U259">
        <v>2.3</v>
      </c>
      <c r="V259" t="inlineStr">
        <is>
          <t>3.7</t>
        </is>
      </c>
      <c r="W259" t="inlineStr">
        <is>
          <t>3.7</t>
        </is>
      </c>
      <c r="X259" t="inlineStr">
        <is>
          <t>海运</t>
        </is>
      </c>
      <c r="Y259">
        <v>6.084</v>
      </c>
      <c r="Z259">
        <v>13</v>
      </c>
      <c r="AA259" t="inlineStr">
        <is>
          <t>-11.929</t>
        </is>
      </c>
      <c r="AB259"/>
      <c r="AC259"/>
      <c r="AD259"/>
      <c r="AE259"/>
      <c r="AF259"/>
      <c r="AG259">
        <v>0.15</v>
      </c>
      <c r="AH259"/>
      <c r="AI259">
        <v>0.02</v>
      </c>
      <c r="AJ259">
        <v>0.05</v>
      </c>
    </row>
    <row r="260" ht="25.5" customHeight="1">
      <c r="A260"/>
      <c r="B260"/>
      <c r="C260"/>
      <c r="D260"/>
      <c r="E260"/>
      <c r="F260"/>
      <c r="G260"/>
      <c r="H260"/>
      <c r="I260"/>
      <c r="J260"/>
      <c r="K260"/>
      <c r="L260"/>
      <c r="M260"/>
      <c r="N260"/>
      <c r="O260" t="inlineStr">
        <is>
          <t>0.0100</t>
        </is>
      </c>
      <c r="P260" t="inlineStr">
        <is>
          <t>0.0200</t>
        </is>
      </c>
      <c r="Q260"/>
      <c r="R260"/>
      <c r="S260"/>
      <c r="T260"/>
      <c r="U260"/>
      <c r="V260" t="inlineStr">
        <is>
          <t>0.0</t>
        </is>
      </c>
      <c r="W260" t="inlineStr">
        <is>
          <t>0.0</t>
        </is>
      </c>
      <c r="X260"/>
      <c r="Y260"/>
      <c r="Z260"/>
      <c r="AA260"/>
      <c r="AB260"/>
      <c r="AC260"/>
      <c r="AD260"/>
      <c r="AE260"/>
      <c r="AF260"/>
      <c r="AG260"/>
      <c r="AH260"/>
      <c r="AI260"/>
      <c r="AJ260"/>
    </row>
    <row r="261" ht="25.5" customHeight="1">
      <c r="A261" t="inlineStr">
        <is>
          <t>83-in-1电动-（划线30%）</t>
        </is>
      </c>
      <c r="B261">
        <v>8</v>
      </c>
      <c r="C261" t="inlineStr">
        <is>
          <t>德国</t>
        </is>
      </c>
      <c r="D261" t="inlineStr">
        <is>
          <t>DE</t>
        </is>
      </c>
      <c r="E261" t="inlineStr">
        <is>
          <t>有</t>
        </is>
      </c>
      <c r="F261" t="inlineStr">
        <is>
          <t>39.7</t>
        </is>
      </c>
      <c r="G261" t="inlineStr">
        <is>
          <t>69.1</t>
        </is>
      </c>
      <c r="H261">
        <v>59.99</v>
      </c>
      <c r="I261">
        <v>130</v>
      </c>
      <c r="J261">
        <v>3.41</v>
      </c>
      <c r="K261">
        <v>0.15</v>
      </c>
      <c r="L261">
        <v>0.16</v>
      </c>
      <c r="M261">
        <v>0.05</v>
      </c>
      <c r="N261" t="inlineStr">
        <is>
          <t>0.100</t>
        </is>
      </c>
      <c r="O261" t="inlineStr">
        <is>
          <t>0.0100</t>
        </is>
      </c>
      <c r="P261" t="inlineStr">
        <is>
          <t>0.0200</t>
        </is>
      </c>
      <c r="Q261">
        <v>6</v>
      </c>
      <c r="R261">
        <v>33.5</v>
      </c>
      <c r="S261">
        <v>26.5</v>
      </c>
      <c r="T261">
        <v>25</v>
      </c>
      <c r="U261">
        <v>2.3</v>
      </c>
      <c r="V261" t="inlineStr">
        <is>
          <t>3.7</t>
        </is>
      </c>
      <c r="W261" t="inlineStr">
        <is>
          <t>3.7</t>
        </is>
      </c>
      <c r="X261" t="inlineStr">
        <is>
          <t>海运</t>
        </is>
      </c>
      <c r="Y261">
        <v>5.55136</v>
      </c>
      <c r="Z261">
        <v>14</v>
      </c>
      <c r="AA261" t="inlineStr">
        <is>
          <t>9.184</t>
        </is>
      </c>
      <c r="AB261" t="inlineStr">
        <is>
          <t>15.31%</t>
        </is>
      </c>
      <c r="AC261"/>
      <c r="AD261" t="inlineStr">
        <is>
          <t>5.68%</t>
        </is>
      </c>
      <c r="AE261" t="inlineStr">
        <is>
          <t>27.09%</t>
        </is>
      </c>
      <c r="AF261" t="inlineStr">
        <is>
          <t>2.92%</t>
        </is>
      </c>
      <c r="AG261">
        <v>0.15</v>
      </c>
      <c r="AH261" t="inlineStr">
        <is>
          <t>10.00%</t>
        </is>
      </c>
      <c r="AI261">
        <v>0.02</v>
      </c>
      <c r="AJ261">
        <v>0.05</v>
      </c>
    </row>
    <row r="262" ht="25.5" customHeight="1">
      <c r="A262" t="inlineStr">
        <is>
          <t>83-in-1电动-（15%）coupon</t>
        </is>
      </c>
      <c r="B262">
        <v>8</v>
      </c>
      <c r="C262" t="inlineStr">
        <is>
          <t>德国</t>
        </is>
      </c>
      <c r="D262" t="inlineStr">
        <is>
          <t>DE</t>
        </is>
      </c>
      <c r="E262" t="inlineStr">
        <is>
          <t>有</t>
        </is>
      </c>
      <c r="F262" t="inlineStr">
        <is>
          <t>33.5</t>
        </is>
      </c>
      <c r="G262" t="inlineStr">
        <is>
          <t>52.2</t>
        </is>
      </c>
      <c r="H262"/>
      <c r="I262">
        <v>130</v>
      </c>
      <c r="J262">
        <v>3.41</v>
      </c>
      <c r="K262">
        <v>0.15</v>
      </c>
      <c r="L262">
        <v>0.16</v>
      </c>
      <c r="M262">
        <v>0.05</v>
      </c>
      <c r="N262"/>
      <c r="O262" t="inlineStr">
        <is>
          <t>0.0100</t>
        </is>
      </c>
      <c r="P262" t="inlineStr">
        <is>
          <t>0.0200</t>
        </is>
      </c>
      <c r="Q262">
        <v>6</v>
      </c>
      <c r="R262">
        <v>33.5</v>
      </c>
      <c r="S262">
        <v>26.5</v>
      </c>
      <c r="T262">
        <v>25</v>
      </c>
      <c r="U262">
        <v>2.3</v>
      </c>
      <c r="V262" t="inlineStr">
        <is>
          <t>3.7</t>
        </is>
      </c>
      <c r="W262" t="inlineStr">
        <is>
          <t>3.7</t>
        </is>
      </c>
      <c r="X262" t="inlineStr">
        <is>
          <t>海运</t>
        </is>
      </c>
      <c r="Y262">
        <v>5.55136</v>
      </c>
      <c r="Z262">
        <v>14</v>
      </c>
      <c r="AA262" t="inlineStr">
        <is>
          <t>-21.410</t>
        </is>
      </c>
      <c r="AB262"/>
      <c r="AC262"/>
      <c r="AD262"/>
      <c r="AE262"/>
      <c r="AF262"/>
      <c r="AG262">
        <v>0.15</v>
      </c>
      <c r="AH262"/>
      <c r="AI262">
        <v>0.02</v>
      </c>
      <c r="AJ262">
        <v>0.05</v>
      </c>
    </row>
    <row r="263" ht="25.5" customHeight="1">
      <c r="A263"/>
      <c r="B263"/>
      <c r="C263"/>
      <c r="D263"/>
      <c r="E263"/>
      <c r="F263"/>
      <c r="G263"/>
      <c r="H263"/>
      <c r="I263"/>
      <c r="J263"/>
      <c r="K263"/>
      <c r="L263"/>
      <c r="M263"/>
      <c r="N263"/>
      <c r="O263" t="inlineStr">
        <is>
          <t>0.0100</t>
        </is>
      </c>
      <c r="P263" t="inlineStr">
        <is>
          <t>0.0200</t>
        </is>
      </c>
      <c r="Q263"/>
      <c r="R263"/>
      <c r="S263"/>
      <c r="T263"/>
      <c r="U263"/>
      <c r="V263" t="inlineStr">
        <is>
          <t>0.0</t>
        </is>
      </c>
      <c r="W263" t="inlineStr">
        <is>
          <t>0.0</t>
        </is>
      </c>
      <c r="X263"/>
      <c r="Y263"/>
      <c r="Z263"/>
      <c r="AA263"/>
      <c r="AB263"/>
      <c r="AC263"/>
      <c r="AD263"/>
      <c r="AE263"/>
      <c r="AF263"/>
      <c r="AG263"/>
      <c r="AH263"/>
      <c r="AI263"/>
      <c r="AJ263"/>
    </row>
    <row r="264" ht="25.5" customHeight="1">
      <c r="A264" t="inlineStr">
        <is>
          <t>83-in-1电动-（划线30%）</t>
        </is>
      </c>
      <c r="B264">
        <v>8</v>
      </c>
      <c r="C264" t="inlineStr">
        <is>
          <t>法国</t>
        </is>
      </c>
      <c r="D264" t="inlineStr">
        <is>
          <t>FR</t>
        </is>
      </c>
      <c r="E264" t="inlineStr">
        <is>
          <t>有</t>
        </is>
      </c>
      <c r="F264" t="inlineStr">
        <is>
          <t>44.1</t>
        </is>
      </c>
      <c r="G264" t="inlineStr">
        <is>
          <t>76.7</t>
        </is>
      </c>
      <c r="H264">
        <v>59.99</v>
      </c>
      <c r="I264">
        <v>130</v>
      </c>
      <c r="J264">
        <v>5.79</v>
      </c>
      <c r="K264">
        <v>0.15</v>
      </c>
      <c r="L264">
        <v>0.16</v>
      </c>
      <c r="M264">
        <v>0.05</v>
      </c>
      <c r="N264" t="inlineStr">
        <is>
          <t>0.100</t>
        </is>
      </c>
      <c r="O264" t="inlineStr">
        <is>
          <t>0.0100</t>
        </is>
      </c>
      <c r="P264" t="inlineStr">
        <is>
          <t>0.0200</t>
        </is>
      </c>
      <c r="Q264">
        <v>6</v>
      </c>
      <c r="R264">
        <v>33.5</v>
      </c>
      <c r="S264">
        <v>26.5</v>
      </c>
      <c r="T264">
        <v>25</v>
      </c>
      <c r="U264">
        <v>2.3</v>
      </c>
      <c r="V264" t="inlineStr">
        <is>
          <t>3.7</t>
        </is>
      </c>
      <c r="W264" t="inlineStr">
        <is>
          <t>3.7</t>
        </is>
      </c>
      <c r="X264" t="inlineStr">
        <is>
          <t>海运</t>
        </is>
      </c>
      <c r="Y264">
        <v>5.55136</v>
      </c>
      <c r="Z264">
        <v>14</v>
      </c>
      <c r="AA264" t="inlineStr">
        <is>
          <t>6.804</t>
        </is>
      </c>
      <c r="AB264" t="inlineStr">
        <is>
          <t>11.34%</t>
        </is>
      </c>
      <c r="AC264"/>
      <c r="AD264" t="inlineStr">
        <is>
          <t>9.65%</t>
        </is>
      </c>
      <c r="AE264" t="inlineStr">
        <is>
          <t>27.09%</t>
        </is>
      </c>
      <c r="AF264" t="inlineStr">
        <is>
          <t>2.92%</t>
        </is>
      </c>
      <c r="AG264">
        <v>0.15</v>
      </c>
      <c r="AH264" t="inlineStr">
        <is>
          <t>10.00%</t>
        </is>
      </c>
      <c r="AI264">
        <v>0.02</v>
      </c>
      <c r="AJ264">
        <v>0.05</v>
      </c>
    </row>
    <row r="265" ht="25.5" customHeight="1">
      <c r="A265" t="inlineStr">
        <is>
          <t>83-in-1电动-（15%）coupon</t>
        </is>
      </c>
      <c r="B265">
        <v>8</v>
      </c>
      <c r="C265" t="inlineStr">
        <is>
          <t>法国</t>
        </is>
      </c>
      <c r="D265" t="inlineStr">
        <is>
          <t>FR</t>
        </is>
      </c>
      <c r="E265" t="inlineStr">
        <is>
          <t>有</t>
        </is>
      </c>
      <c r="F265" t="inlineStr">
        <is>
          <t>37.2</t>
        </is>
      </c>
      <c r="G265" t="inlineStr">
        <is>
          <t>58.0</t>
        </is>
      </c>
      <c r="H265"/>
      <c r="I265">
        <v>130</v>
      </c>
      <c r="J265">
        <v>5.79</v>
      </c>
      <c r="K265">
        <v>0.15</v>
      </c>
      <c r="L265">
        <v>0.16</v>
      </c>
      <c r="M265">
        <v>0.05</v>
      </c>
      <c r="N265"/>
      <c r="O265" t="inlineStr">
        <is>
          <t>0.0100</t>
        </is>
      </c>
      <c r="P265" t="inlineStr">
        <is>
          <t>0.0200</t>
        </is>
      </c>
      <c r="Q265">
        <v>6</v>
      </c>
      <c r="R265">
        <v>33.5</v>
      </c>
      <c r="S265">
        <v>26.5</v>
      </c>
      <c r="T265">
        <v>25</v>
      </c>
      <c r="U265">
        <v>2.3</v>
      </c>
      <c r="V265" t="inlineStr">
        <is>
          <t>3.7</t>
        </is>
      </c>
      <c r="W265" t="inlineStr">
        <is>
          <t>3.7</t>
        </is>
      </c>
      <c r="X265" t="inlineStr">
        <is>
          <t>海运</t>
        </is>
      </c>
      <c r="Y265">
        <v>5.55136</v>
      </c>
      <c r="Z265">
        <v>14</v>
      </c>
      <c r="AA265" t="inlineStr">
        <is>
          <t>-23.790</t>
        </is>
      </c>
      <c r="AB265"/>
      <c r="AC265"/>
      <c r="AD265"/>
      <c r="AE265"/>
      <c r="AF265"/>
      <c r="AG265">
        <v>0.15</v>
      </c>
      <c r="AH265"/>
      <c r="AI265">
        <v>0.02</v>
      </c>
      <c r="AJ265">
        <v>0.05</v>
      </c>
    </row>
    <row r="266" ht="25.5" customHeight="1">
      <c r="A266"/>
      <c r="B266"/>
      <c r="C266"/>
      <c r="D266"/>
      <c r="E266"/>
      <c r="F266"/>
      <c r="G266"/>
      <c r="H266"/>
      <c r="I266"/>
      <c r="J266"/>
      <c r="K266"/>
      <c r="L266"/>
      <c r="M266"/>
      <c r="N266"/>
      <c r="O266" t="inlineStr">
        <is>
          <t>0.0100</t>
        </is>
      </c>
      <c r="P266" t="inlineStr">
        <is>
          <t>0.0200</t>
        </is>
      </c>
      <c r="Q266"/>
      <c r="R266"/>
      <c r="S266"/>
      <c r="T266"/>
      <c r="U266"/>
      <c r="V266" t="inlineStr">
        <is>
          <t>0.0</t>
        </is>
      </c>
      <c r="W266" t="inlineStr">
        <is>
          <t>0.0</t>
        </is>
      </c>
      <c r="X266"/>
      <c r="Y266"/>
      <c r="Z266"/>
      <c r="AA266"/>
      <c r="AB266"/>
      <c r="AC266"/>
      <c r="AD266"/>
      <c r="AE266"/>
      <c r="AF266"/>
      <c r="AG266"/>
      <c r="AH266"/>
      <c r="AI266"/>
      <c r="AJ266"/>
    </row>
    <row r="267" ht="25.5" customHeight="1">
      <c r="A267" t="inlineStr">
        <is>
          <t>83-in-1电动-（划线30%）</t>
        </is>
      </c>
      <c r="B267">
        <v>8</v>
      </c>
      <c r="C267" t="inlineStr">
        <is>
          <t>意大利</t>
        </is>
      </c>
      <c r="D267" t="inlineStr">
        <is>
          <t>IT</t>
        </is>
      </c>
      <c r="E267" t="inlineStr">
        <is>
          <t>有</t>
        </is>
      </c>
      <c r="F267" t="inlineStr">
        <is>
          <t>42.5</t>
        </is>
      </c>
      <c r="G267" t="inlineStr">
        <is>
          <t>74.0</t>
        </is>
      </c>
      <c r="H267">
        <v>59.99</v>
      </c>
      <c r="I267">
        <v>130</v>
      </c>
      <c r="J267">
        <v>4.95</v>
      </c>
      <c r="K267">
        <v>0.15</v>
      </c>
      <c r="L267">
        <v>0.16</v>
      </c>
      <c r="M267">
        <v>0.05</v>
      </c>
      <c r="N267" t="inlineStr">
        <is>
          <t>0.100</t>
        </is>
      </c>
      <c r="O267" t="inlineStr">
        <is>
          <t>0.0100</t>
        </is>
      </c>
      <c r="P267" t="inlineStr">
        <is>
          <t>0.0200</t>
        </is>
      </c>
      <c r="Q267">
        <v>6</v>
      </c>
      <c r="R267">
        <v>33.5</v>
      </c>
      <c r="S267">
        <v>26.5</v>
      </c>
      <c r="T267">
        <v>25</v>
      </c>
      <c r="U267">
        <v>2.3</v>
      </c>
      <c r="V267" t="inlineStr">
        <is>
          <t>3.7</t>
        </is>
      </c>
      <c r="W267" t="inlineStr">
        <is>
          <t>3.7</t>
        </is>
      </c>
      <c r="X267" t="inlineStr">
        <is>
          <t>海运</t>
        </is>
      </c>
      <c r="Y267">
        <v>5.55136</v>
      </c>
      <c r="Z267">
        <v>14</v>
      </c>
      <c r="AA267" t="inlineStr">
        <is>
          <t>7.644</t>
        </is>
      </c>
      <c r="AB267" t="inlineStr">
        <is>
          <t>12.74%</t>
        </is>
      </c>
      <c r="AC267"/>
      <c r="AD267" t="inlineStr">
        <is>
          <t>8.25%</t>
        </is>
      </c>
      <c r="AE267" t="inlineStr">
        <is>
          <t>27.09%</t>
        </is>
      </c>
      <c r="AF267" t="inlineStr">
        <is>
          <t>2.92%</t>
        </is>
      </c>
      <c r="AG267">
        <v>0.15</v>
      </c>
      <c r="AH267" t="inlineStr">
        <is>
          <t>10.00%</t>
        </is>
      </c>
      <c r="AI267">
        <v>0.02</v>
      </c>
      <c r="AJ267">
        <v>0.05</v>
      </c>
    </row>
    <row r="268" ht="25.5" customHeight="1">
      <c r="A268" t="inlineStr">
        <is>
          <t>83-in-1电动-（15%）coupon</t>
        </is>
      </c>
      <c r="B268">
        <v>8</v>
      </c>
      <c r="C268" t="inlineStr">
        <is>
          <t>意大利</t>
        </is>
      </c>
      <c r="D268" t="inlineStr">
        <is>
          <t>IT</t>
        </is>
      </c>
      <c r="E268" t="inlineStr">
        <is>
          <t>有</t>
        </is>
      </c>
      <c r="F268" t="inlineStr">
        <is>
          <t>35.9</t>
        </is>
      </c>
      <c r="G268" t="inlineStr">
        <is>
          <t>56.0</t>
        </is>
      </c>
      <c r="H268"/>
      <c r="I268">
        <v>130</v>
      </c>
      <c r="J268">
        <v>4.95</v>
      </c>
      <c r="K268">
        <v>0.15</v>
      </c>
      <c r="L268">
        <v>0.16</v>
      </c>
      <c r="M268">
        <v>0.05</v>
      </c>
      <c r="N268"/>
      <c r="O268" t="inlineStr">
        <is>
          <t>0.0100</t>
        </is>
      </c>
      <c r="P268" t="inlineStr">
        <is>
          <t>0.0200</t>
        </is>
      </c>
      <c r="Q268">
        <v>6</v>
      </c>
      <c r="R268">
        <v>33.5</v>
      </c>
      <c r="S268">
        <v>26.5</v>
      </c>
      <c r="T268">
        <v>25</v>
      </c>
      <c r="U268">
        <v>2.3</v>
      </c>
      <c r="V268" t="inlineStr">
        <is>
          <t>3.7</t>
        </is>
      </c>
      <c r="W268" t="inlineStr">
        <is>
          <t>3.7</t>
        </is>
      </c>
      <c r="X268" t="inlineStr">
        <is>
          <t>海运</t>
        </is>
      </c>
      <c r="Y268">
        <v>5.55136</v>
      </c>
      <c r="Z268">
        <v>14</v>
      </c>
      <c r="AA268" t="inlineStr">
        <is>
          <t>-22.950</t>
        </is>
      </c>
      <c r="AB268"/>
      <c r="AC268"/>
      <c r="AD268"/>
      <c r="AE268"/>
      <c r="AF268"/>
      <c r="AG268">
        <v>0.15</v>
      </c>
      <c r="AH268"/>
      <c r="AI268">
        <v>0.02</v>
      </c>
      <c r="AJ268">
        <v>0.05</v>
      </c>
    </row>
    <row r="269" ht="25.5" customHeight="1">
      <c r="A269"/>
      <c r="B269"/>
      <c r="C269"/>
      <c r="D269"/>
      <c r="E269"/>
      <c r="F269"/>
      <c r="G269"/>
      <c r="H269"/>
      <c r="I269"/>
      <c r="J269"/>
      <c r="K269"/>
      <c r="L269"/>
      <c r="M269"/>
      <c r="N269"/>
      <c r="O269" t="inlineStr">
        <is>
          <t>0.0100</t>
        </is>
      </c>
      <c r="P269" t="inlineStr">
        <is>
          <t>0.0200</t>
        </is>
      </c>
      <c r="Q269"/>
      <c r="R269"/>
      <c r="S269"/>
      <c r="T269"/>
      <c r="U269"/>
      <c r="V269" t="inlineStr">
        <is>
          <t>0.0</t>
        </is>
      </c>
      <c r="W269" t="inlineStr">
        <is>
          <t>0.0</t>
        </is>
      </c>
      <c r="X269"/>
      <c r="Y269"/>
      <c r="Z269"/>
      <c r="AA269"/>
      <c r="AB269"/>
      <c r="AC269"/>
      <c r="AD269"/>
      <c r="AE269"/>
      <c r="AF269"/>
      <c r="AG269"/>
      <c r="AH269"/>
      <c r="AI269"/>
      <c r="AJ269"/>
    </row>
    <row r="270" ht="25.5" customHeight="1">
      <c r="A270" t="inlineStr">
        <is>
          <t>83-in-1电动-（划线30%）</t>
        </is>
      </c>
      <c r="B270">
        <v>8</v>
      </c>
      <c r="C270" t="inlineStr">
        <is>
          <t>西班牙</t>
        </is>
      </c>
      <c r="D270" t="inlineStr">
        <is>
          <t>ES</t>
        </is>
      </c>
      <c r="E270" t="inlineStr">
        <is>
          <t>有</t>
        </is>
      </c>
      <c r="F270" t="inlineStr">
        <is>
          <t>40.7</t>
        </is>
      </c>
      <c r="G270" t="inlineStr">
        <is>
          <t>70.8</t>
        </is>
      </c>
      <c r="H270">
        <v>59.99</v>
      </c>
      <c r="I270">
        <v>130</v>
      </c>
      <c r="J270">
        <v>3.95</v>
      </c>
      <c r="K270">
        <v>0.15</v>
      </c>
      <c r="L270">
        <v>0.16</v>
      </c>
      <c r="M270">
        <v>0.05</v>
      </c>
      <c r="N270" t="inlineStr">
        <is>
          <t>0.100</t>
        </is>
      </c>
      <c r="O270" t="inlineStr">
        <is>
          <t>0.0100</t>
        </is>
      </c>
      <c r="P270" t="inlineStr">
        <is>
          <t>0.0200</t>
        </is>
      </c>
      <c r="Q270">
        <v>6</v>
      </c>
      <c r="R270">
        <v>33.5</v>
      </c>
      <c r="S270">
        <v>26.5</v>
      </c>
      <c r="T270">
        <v>25</v>
      </c>
      <c r="U270">
        <v>2.3</v>
      </c>
      <c r="V270" t="inlineStr">
        <is>
          <t>3.7</t>
        </is>
      </c>
      <c r="W270" t="inlineStr">
        <is>
          <t>3.7</t>
        </is>
      </c>
      <c r="X270" t="inlineStr">
        <is>
          <t>海运</t>
        </is>
      </c>
      <c r="Y270">
        <v>5.55136</v>
      </c>
      <c r="Z270">
        <v>14</v>
      </c>
      <c r="AA270" t="inlineStr">
        <is>
          <t>8.644</t>
        </is>
      </c>
      <c r="AB270" t="inlineStr">
        <is>
          <t>14.41%</t>
        </is>
      </c>
      <c r="AC270"/>
      <c r="AD270" t="inlineStr">
        <is>
          <t>6.58%</t>
        </is>
      </c>
      <c r="AE270" t="inlineStr">
        <is>
          <t>27.09%</t>
        </is>
      </c>
      <c r="AF270" t="inlineStr">
        <is>
          <t>2.92%</t>
        </is>
      </c>
      <c r="AG270">
        <v>0.15</v>
      </c>
      <c r="AH270" t="inlineStr">
        <is>
          <t>10.00%</t>
        </is>
      </c>
      <c r="AI270">
        <v>0.02</v>
      </c>
      <c r="AJ270">
        <v>0.05</v>
      </c>
    </row>
    <row r="271" ht="25.5" customHeight="1">
      <c r="A271" t="inlineStr">
        <is>
          <t>83-in-1电动-（15%）coupon</t>
        </is>
      </c>
      <c r="B271">
        <v>8</v>
      </c>
      <c r="C271" t="inlineStr">
        <is>
          <t>西班牙</t>
        </is>
      </c>
      <c r="D271" t="inlineStr">
        <is>
          <t>ES</t>
        </is>
      </c>
      <c r="E271" t="inlineStr">
        <is>
          <t>有</t>
        </is>
      </c>
      <c r="F271" t="inlineStr">
        <is>
          <t>34.3</t>
        </is>
      </c>
      <c r="G271" t="inlineStr">
        <is>
          <t>53.5</t>
        </is>
      </c>
      <c r="H271"/>
      <c r="I271">
        <v>130</v>
      </c>
      <c r="J271">
        <v>3.95</v>
      </c>
      <c r="K271">
        <v>0.15</v>
      </c>
      <c r="L271">
        <v>0.16</v>
      </c>
      <c r="M271">
        <v>0.05</v>
      </c>
      <c r="N271"/>
      <c r="O271" t="inlineStr">
        <is>
          <t>0.0100</t>
        </is>
      </c>
      <c r="P271" t="inlineStr">
        <is>
          <t>0.0200</t>
        </is>
      </c>
      <c r="Q271">
        <v>6</v>
      </c>
      <c r="R271">
        <v>33.5</v>
      </c>
      <c r="S271">
        <v>26.5</v>
      </c>
      <c r="T271">
        <v>25</v>
      </c>
      <c r="U271">
        <v>2.3</v>
      </c>
      <c r="V271" t="inlineStr">
        <is>
          <t>3.7</t>
        </is>
      </c>
      <c r="W271" t="inlineStr">
        <is>
          <t>3.7</t>
        </is>
      </c>
      <c r="X271" t="inlineStr">
        <is>
          <t>海运</t>
        </is>
      </c>
      <c r="Y271">
        <v>5.55136</v>
      </c>
      <c r="Z271">
        <v>14</v>
      </c>
      <c r="AA271" t="inlineStr">
        <is>
          <t>-21.950</t>
        </is>
      </c>
      <c r="AB271"/>
      <c r="AC271"/>
      <c r="AD271"/>
      <c r="AE271"/>
      <c r="AF271"/>
      <c r="AG271">
        <v>0.15</v>
      </c>
      <c r="AH271"/>
      <c r="AI271">
        <v>0.02</v>
      </c>
      <c r="AJ271">
        <v>0.05</v>
      </c>
    </row>
    <row r="272" ht="25.5" customHeight="1">
      <c r="A272"/>
      <c r="B272"/>
      <c r="C272"/>
      <c r="D272"/>
      <c r="E272"/>
      <c r="F272"/>
      <c r="G272"/>
      <c r="H272"/>
      <c r="I272"/>
      <c r="J272"/>
      <c r="K272"/>
      <c r="L272"/>
      <c r="M272"/>
      <c r="N272"/>
      <c r="O272" t="inlineStr">
        <is>
          <t>0.0100</t>
        </is>
      </c>
      <c r="P272" t="inlineStr">
        <is>
          <t>0.0200</t>
        </is>
      </c>
      <c r="Q272"/>
      <c r="R272"/>
      <c r="S272"/>
      <c r="T272"/>
      <c r="U272"/>
      <c r="V272" t="inlineStr">
        <is>
          <t>0.0</t>
        </is>
      </c>
      <c r="W272" t="inlineStr">
        <is>
          <t>0.0</t>
        </is>
      </c>
      <c r="X272"/>
      <c r="Y272"/>
      <c r="Z272"/>
      <c r="AA272"/>
      <c r="AB272"/>
      <c r="AC272"/>
      <c r="AD272"/>
      <c r="AE272"/>
      <c r="AF272"/>
      <c r="AG272"/>
      <c r="AH272"/>
      <c r="AI272"/>
      <c r="AJ272"/>
    </row>
    <row r="273" ht="25.5" customHeight="1">
      <c r="A273" t="inlineStr">
        <is>
          <t>83-in-1电动-（划线30%）</t>
        </is>
      </c>
      <c r="B273">
        <v>9</v>
      </c>
      <c r="C273" t="inlineStr">
        <is>
          <t>英国</t>
        </is>
      </c>
      <c r="D273" t="inlineStr">
        <is>
          <t>UK</t>
        </is>
      </c>
      <c r="E273" t="inlineStr">
        <is>
          <t>有</t>
        </is>
      </c>
      <c r="F273" t="inlineStr">
        <is>
          <t>35.3</t>
        </is>
      </c>
      <c r="G273" t="inlineStr">
        <is>
          <t>61.4</t>
        </is>
      </c>
      <c r="H273">
        <v>59.99</v>
      </c>
      <c r="I273">
        <v>130</v>
      </c>
      <c r="J273">
        <v>3.04</v>
      </c>
      <c r="K273">
        <v>0.15</v>
      </c>
      <c r="L273">
        <v>0.16</v>
      </c>
      <c r="M273">
        <v>0.05</v>
      </c>
      <c r="N273" t="inlineStr">
        <is>
          <t>0.100</t>
        </is>
      </c>
      <c r="O273" t="inlineStr">
        <is>
          <t>0.0100</t>
        </is>
      </c>
      <c r="P273" t="inlineStr">
        <is>
          <t>0.0200</t>
        </is>
      </c>
      <c r="Q273">
        <v>6</v>
      </c>
      <c r="R273">
        <v>33.5</v>
      </c>
      <c r="S273">
        <v>26.5</v>
      </c>
      <c r="T273">
        <v>25</v>
      </c>
      <c r="U273">
        <v>2.3</v>
      </c>
      <c r="V273" t="inlineStr">
        <is>
          <t>3.7</t>
        </is>
      </c>
      <c r="W273" t="inlineStr">
        <is>
          <t>3.7</t>
        </is>
      </c>
      <c r="X273" t="inlineStr">
        <is>
          <t>海运</t>
        </is>
      </c>
      <c r="Y273">
        <v>6.084</v>
      </c>
      <c r="Z273">
        <v>14</v>
      </c>
      <c r="AA273" t="inlineStr">
        <is>
          <t>11.554</t>
        </is>
      </c>
      <c r="AB273" t="inlineStr">
        <is>
          <t>19.26%</t>
        </is>
      </c>
      <c r="AC273"/>
      <c r="AD273" t="inlineStr">
        <is>
          <t>5.07%</t>
        </is>
      </c>
      <c r="AE273" t="inlineStr">
        <is>
          <t>24.08%</t>
        </is>
      </c>
      <c r="AF273" t="inlineStr">
        <is>
          <t>2.59%</t>
        </is>
      </c>
      <c r="AG273">
        <v>0.15</v>
      </c>
      <c r="AH273" t="inlineStr">
        <is>
          <t>10.00%</t>
        </is>
      </c>
      <c r="AI273">
        <v>0.02</v>
      </c>
      <c r="AJ273">
        <v>0.05</v>
      </c>
    </row>
    <row r="274" ht="25.5" customHeight="1">
      <c r="A274" t="inlineStr">
        <is>
          <t>83-in-1电动-（15%）coupon</t>
        </is>
      </c>
      <c r="B274">
        <v>9</v>
      </c>
      <c r="C274" t="inlineStr">
        <is>
          <t>英国</t>
        </is>
      </c>
      <c r="D274" t="inlineStr">
        <is>
          <t>UK</t>
        </is>
      </c>
      <c r="E274" t="inlineStr">
        <is>
          <t>有</t>
        </is>
      </c>
      <c r="F274" t="inlineStr">
        <is>
          <t>29.8</t>
        </is>
      </c>
      <c r="G274" t="inlineStr">
        <is>
          <t>46.4</t>
        </is>
      </c>
      <c r="H274"/>
      <c r="I274">
        <v>130</v>
      </c>
      <c r="J274">
        <v>3.04</v>
      </c>
      <c r="K274">
        <v>0.15</v>
      </c>
      <c r="L274">
        <v>0.16</v>
      </c>
      <c r="M274">
        <v>0.05</v>
      </c>
      <c r="N274"/>
      <c r="O274" t="inlineStr">
        <is>
          <t>0.0100</t>
        </is>
      </c>
      <c r="P274" t="inlineStr">
        <is>
          <t>0.0200</t>
        </is>
      </c>
      <c r="Q274">
        <v>6</v>
      </c>
      <c r="R274">
        <v>33.5</v>
      </c>
      <c r="S274">
        <v>26.5</v>
      </c>
      <c r="T274">
        <v>25</v>
      </c>
      <c r="U274">
        <v>2.3</v>
      </c>
      <c r="V274" t="inlineStr">
        <is>
          <t>3.7</t>
        </is>
      </c>
      <c r="W274" t="inlineStr">
        <is>
          <t>3.7</t>
        </is>
      </c>
      <c r="X274" t="inlineStr">
        <is>
          <t>海运</t>
        </is>
      </c>
      <c r="Y274">
        <v>6.084</v>
      </c>
      <c r="Z274">
        <v>14</v>
      </c>
      <c r="AA274" t="inlineStr">
        <is>
          <t>-19.040</t>
        </is>
      </c>
      <c r="AB274"/>
      <c r="AC274"/>
      <c r="AD274"/>
      <c r="AE274"/>
      <c r="AF274"/>
      <c r="AG274">
        <v>0.15</v>
      </c>
      <c r="AH274"/>
      <c r="AI274">
        <v>0.02</v>
      </c>
      <c r="AJ274">
        <v>0.05</v>
      </c>
    </row>
    <row r="275" ht="25.5" customHeight="1">
      <c r="A275"/>
      <c r="B275"/>
      <c r="C275"/>
      <c r="D275"/>
      <c r="E275"/>
      <c r="F275"/>
      <c r="G275"/>
      <c r="H275"/>
      <c r="I275"/>
      <c r="J275"/>
      <c r="K275"/>
      <c r="L275"/>
      <c r="M275"/>
      <c r="N275"/>
      <c r="O275" t="inlineStr">
        <is>
          <t>0.0100</t>
        </is>
      </c>
      <c r="P275" t="inlineStr">
        <is>
          <t>0.0200</t>
        </is>
      </c>
      <c r="Q275"/>
      <c r="R275"/>
      <c r="S275"/>
      <c r="T275"/>
      <c r="U275"/>
      <c r="V275" t="inlineStr">
        <is>
          <t>0.0</t>
        </is>
      </c>
      <c r="W275" t="inlineStr">
        <is>
          <t>0.0</t>
        </is>
      </c>
      <c r="X275"/>
      <c r="Y275"/>
      <c r="Z275"/>
      <c r="AA275"/>
      <c r="AB275"/>
      <c r="AC275"/>
      <c r="AD275"/>
      <c r="AE275"/>
      <c r="AF275"/>
      <c r="AG275"/>
      <c r="AH275"/>
      <c r="AI275"/>
      <c r="AJ275"/>
    </row>
    <row r="276" ht="25.5" customHeight="1">
      <c r="A276" t="inlineStr">
        <is>
          <t>36-in-1螺丝批-（划线30%）</t>
        </is>
      </c>
      <c r="B276">
        <v>8</v>
      </c>
      <c r="C276" t="inlineStr">
        <is>
          <t>德国</t>
        </is>
      </c>
      <c r="D276" t="inlineStr">
        <is>
          <t>DE</t>
        </is>
      </c>
      <c r="E276" t="inlineStr">
        <is>
          <t>有</t>
        </is>
      </c>
      <c r="F276" t="inlineStr">
        <is>
          <t>9.9</t>
        </is>
      </c>
      <c r="G276" t="inlineStr">
        <is>
          <t>18.2</t>
        </is>
      </c>
      <c r="H276">
        <v>44.99</v>
      </c>
      <c r="I276"/>
      <c r="J276">
        <v>3.41</v>
      </c>
      <c r="K276">
        <v>0.15</v>
      </c>
      <c r="L276">
        <v>0.16</v>
      </c>
      <c r="M276">
        <v>0.05</v>
      </c>
      <c r="N276" t="inlineStr">
        <is>
          <t>0.133</t>
        </is>
      </c>
      <c r="O276" t="inlineStr">
        <is>
          <t>0.0100</t>
        </is>
      </c>
      <c r="P276" t="inlineStr">
        <is>
          <t>0.0200</t>
        </is>
      </c>
      <c r="Q276">
        <v>6</v>
      </c>
      <c r="R276">
        <v>33.5</v>
      </c>
      <c r="S276">
        <v>26.5</v>
      </c>
      <c r="T276">
        <v>25</v>
      </c>
      <c r="U276">
        <v>2.3</v>
      </c>
      <c r="V276" t="inlineStr">
        <is>
          <t>3.7</t>
        </is>
      </c>
      <c r="W276" t="inlineStr">
        <is>
          <t>3.7</t>
        </is>
      </c>
      <c r="X276" t="inlineStr">
        <is>
          <t>海运</t>
        </is>
      </c>
      <c r="Y276">
        <v>5.55136</v>
      </c>
      <c r="Z276">
        <v>13</v>
      </c>
      <c r="AA276" t="inlineStr">
        <is>
          <t>16.409</t>
        </is>
      </c>
      <c r="AB276" t="inlineStr">
        <is>
          <t>36.47%</t>
        </is>
      </c>
      <c r="AC276"/>
      <c r="AD276" t="inlineStr">
        <is>
          <t>7.58%</t>
        </is>
      </c>
      <c r="AE276" t="inlineStr">
        <is>
          <t>0.00%</t>
        </is>
      </c>
      <c r="AF276" t="inlineStr">
        <is>
          <t>3.61%</t>
        </is>
      </c>
      <c r="AG276">
        <v>0.15</v>
      </c>
      <c r="AH276" t="inlineStr">
        <is>
          <t>13.34%</t>
        </is>
      </c>
      <c r="AI276">
        <v>0.02</v>
      </c>
      <c r="AJ276">
        <v>0.05</v>
      </c>
    </row>
    <row r="277" ht="25.5" customHeight="1">
      <c r="A277" t="inlineStr">
        <is>
          <t>36-in-1螺丝批-（15%）coupon</t>
        </is>
      </c>
      <c r="B277">
        <v>8</v>
      </c>
      <c r="C277" t="inlineStr">
        <is>
          <t>德国</t>
        </is>
      </c>
      <c r="D277" t="inlineStr">
        <is>
          <t>DE</t>
        </is>
      </c>
      <c r="E277" t="inlineStr">
        <is>
          <t>有</t>
        </is>
      </c>
      <c r="F277" t="inlineStr">
        <is>
          <t>7.9</t>
        </is>
      </c>
      <c r="G277" t="inlineStr">
        <is>
          <t>12.3</t>
        </is>
      </c>
      <c r="H277"/>
      <c r="I277"/>
      <c r="J277">
        <v>3.41</v>
      </c>
      <c r="K277">
        <v>0.15</v>
      </c>
      <c r="L277">
        <v>0.16</v>
      </c>
      <c r="M277">
        <v>0.05</v>
      </c>
      <c r="N277"/>
      <c r="O277" t="inlineStr">
        <is>
          <t>0.0100</t>
        </is>
      </c>
      <c r="P277" t="inlineStr">
        <is>
          <t>0.0200</t>
        </is>
      </c>
      <c r="Q277">
        <v>6</v>
      </c>
      <c r="R277">
        <v>33.5</v>
      </c>
      <c r="S277">
        <v>26.5</v>
      </c>
      <c r="T277">
        <v>25</v>
      </c>
      <c r="U277">
        <v>2.3</v>
      </c>
      <c r="V277" t="inlineStr">
        <is>
          <t>3.7</t>
        </is>
      </c>
      <c r="W277" t="inlineStr">
        <is>
          <t>3.7</t>
        </is>
      </c>
      <c r="X277" t="inlineStr">
        <is>
          <t>海运</t>
        </is>
      </c>
      <c r="Y277">
        <v>5.55136</v>
      </c>
      <c r="Z277">
        <v>13</v>
      </c>
      <c r="AA277" t="inlineStr">
        <is>
          <t>-5.035</t>
        </is>
      </c>
      <c r="AB277"/>
      <c r="AC277"/>
      <c r="AD277"/>
      <c r="AE277"/>
      <c r="AF277"/>
      <c r="AG277">
        <v>0.15</v>
      </c>
      <c r="AH277"/>
      <c r="AI277">
        <v>0.02</v>
      </c>
      <c r="AJ277">
        <v>0.05</v>
      </c>
    </row>
    <row r="278" ht="25.5" customHeight="1">
      <c r="A278"/>
      <c r="B278"/>
      <c r="C278"/>
      <c r="D278"/>
      <c r="E278"/>
      <c r="F278"/>
      <c r="G278"/>
      <c r="H278"/>
      <c r="I278"/>
      <c r="J278"/>
      <c r="K278"/>
      <c r="L278"/>
      <c r="M278"/>
      <c r="N278"/>
      <c r="O278" t="inlineStr">
        <is>
          <t>0.0100</t>
        </is>
      </c>
      <c r="P278" t="inlineStr">
        <is>
          <t>0.0200</t>
        </is>
      </c>
      <c r="Q278"/>
      <c r="R278"/>
      <c r="S278"/>
      <c r="T278"/>
      <c r="U278"/>
      <c r="V278" t="inlineStr">
        <is>
          <t>0.0</t>
        </is>
      </c>
      <c r="W278" t="inlineStr">
        <is>
          <t>0.0</t>
        </is>
      </c>
      <c r="X278"/>
      <c r="Y278"/>
      <c r="Z278"/>
      <c r="AA278"/>
      <c r="AB278"/>
      <c r="AC278"/>
      <c r="AD278"/>
      <c r="AE278"/>
      <c r="AF278"/>
      <c r="AG278"/>
      <c r="AH278"/>
      <c r="AI278"/>
      <c r="AJ278"/>
    </row>
    <row r="279" ht="25.5" customHeight="1">
      <c r="A279" t="inlineStr">
        <is>
          <t>36-in-1螺丝批-（划线30%）</t>
        </is>
      </c>
      <c r="B279">
        <v>8</v>
      </c>
      <c r="C279" t="inlineStr">
        <is>
          <t>法国</t>
        </is>
      </c>
      <c r="D279" t="inlineStr">
        <is>
          <t>FR</t>
        </is>
      </c>
      <c r="E279" t="inlineStr">
        <is>
          <t>有</t>
        </is>
      </c>
      <c r="F279" t="inlineStr">
        <is>
          <t>14.6</t>
        </is>
      </c>
      <c r="G279" t="inlineStr">
        <is>
          <t>26.8</t>
        </is>
      </c>
      <c r="H279">
        <v>44.99</v>
      </c>
      <c r="I279"/>
      <c r="J279">
        <v>5.79</v>
      </c>
      <c r="K279">
        <v>0.15</v>
      </c>
      <c r="L279">
        <v>0.16</v>
      </c>
      <c r="M279">
        <v>0.05</v>
      </c>
      <c r="N279" t="inlineStr">
        <is>
          <t>0.133</t>
        </is>
      </c>
      <c r="O279" t="inlineStr">
        <is>
          <t>0.0100</t>
        </is>
      </c>
      <c r="P279" t="inlineStr">
        <is>
          <t>0.0200</t>
        </is>
      </c>
      <c r="Q279">
        <v>6</v>
      </c>
      <c r="R279">
        <v>33.5</v>
      </c>
      <c r="S279">
        <v>26.5</v>
      </c>
      <c r="T279">
        <v>25</v>
      </c>
      <c r="U279">
        <v>2.3</v>
      </c>
      <c r="V279" t="inlineStr">
        <is>
          <t>3.7</t>
        </is>
      </c>
      <c r="W279" t="inlineStr">
        <is>
          <t>3.7</t>
        </is>
      </c>
      <c r="X279" t="inlineStr">
        <is>
          <t>海运</t>
        </is>
      </c>
      <c r="Y279">
        <v>5.55136</v>
      </c>
      <c r="Z279">
        <v>13</v>
      </c>
      <c r="AA279" t="inlineStr">
        <is>
          <t>14.029</t>
        </is>
      </c>
      <c r="AB279" t="inlineStr">
        <is>
          <t>31.18%</t>
        </is>
      </c>
      <c r="AC279"/>
      <c r="AD279" t="inlineStr">
        <is>
          <t>12.87%</t>
        </is>
      </c>
      <c r="AE279" t="inlineStr">
        <is>
          <t>0.00%</t>
        </is>
      </c>
      <c r="AF279" t="inlineStr">
        <is>
          <t>3.61%</t>
        </is>
      </c>
      <c r="AG279">
        <v>0.15</v>
      </c>
      <c r="AH279" t="inlineStr">
        <is>
          <t>13.34%</t>
        </is>
      </c>
      <c r="AI279">
        <v>0.02</v>
      </c>
      <c r="AJ279">
        <v>0.05</v>
      </c>
    </row>
    <row r="280" ht="25.5" customHeight="1">
      <c r="A280" t="inlineStr">
        <is>
          <t>36-in-1螺丝批-（15%）coupon</t>
        </is>
      </c>
      <c r="B280">
        <v>8</v>
      </c>
      <c r="C280" t="inlineStr">
        <is>
          <t>法国</t>
        </is>
      </c>
      <c r="D280" t="inlineStr">
        <is>
          <t>FR</t>
        </is>
      </c>
      <c r="E280" t="inlineStr">
        <is>
          <t>有</t>
        </is>
      </c>
      <c r="F280" t="inlineStr">
        <is>
          <t>11.6</t>
        </is>
      </c>
      <c r="G280" t="inlineStr">
        <is>
          <t>18.1</t>
        </is>
      </c>
      <c r="H280"/>
      <c r="I280"/>
      <c r="J280">
        <v>5.79</v>
      </c>
      <c r="K280">
        <v>0.15</v>
      </c>
      <c r="L280">
        <v>0.16</v>
      </c>
      <c r="M280">
        <v>0.05</v>
      </c>
      <c r="N280"/>
      <c r="O280" t="inlineStr">
        <is>
          <t>0.0100</t>
        </is>
      </c>
      <c r="P280" t="inlineStr">
        <is>
          <t>0.0200</t>
        </is>
      </c>
      <c r="Q280">
        <v>6</v>
      </c>
      <c r="R280">
        <v>33.5</v>
      </c>
      <c r="S280">
        <v>26.5</v>
      </c>
      <c r="T280">
        <v>25</v>
      </c>
      <c r="U280">
        <v>2.3</v>
      </c>
      <c r="V280" t="inlineStr">
        <is>
          <t>3.7</t>
        </is>
      </c>
      <c r="W280" t="inlineStr">
        <is>
          <t>3.7</t>
        </is>
      </c>
      <c r="X280" t="inlineStr">
        <is>
          <t>海运</t>
        </is>
      </c>
      <c r="Y280">
        <v>5.55136</v>
      </c>
      <c r="Z280">
        <v>13</v>
      </c>
      <c r="AA280" t="inlineStr">
        <is>
          <t>-7.415</t>
        </is>
      </c>
      <c r="AB280"/>
      <c r="AC280"/>
      <c r="AD280"/>
      <c r="AE280"/>
      <c r="AF280"/>
      <c r="AG280">
        <v>0.15</v>
      </c>
      <c r="AH280"/>
      <c r="AI280">
        <v>0.02</v>
      </c>
      <c r="AJ280">
        <v>0.05</v>
      </c>
    </row>
    <row r="281" ht="25.5" customHeight="1">
      <c r="A281"/>
      <c r="B281"/>
      <c r="C281"/>
      <c r="D281"/>
      <c r="E281"/>
      <c r="F281"/>
      <c r="G281"/>
      <c r="H281"/>
      <c r="I281"/>
      <c r="J281"/>
      <c r="K281"/>
      <c r="L281"/>
      <c r="M281"/>
      <c r="N281"/>
      <c r="O281" t="inlineStr">
        <is>
          <t>0.0100</t>
        </is>
      </c>
      <c r="P281" t="inlineStr">
        <is>
          <t>0.0200</t>
        </is>
      </c>
      <c r="Q281"/>
      <c r="R281"/>
      <c r="S281"/>
      <c r="T281"/>
      <c r="U281"/>
      <c r="V281" t="inlineStr">
        <is>
          <t>0.0</t>
        </is>
      </c>
      <c r="W281" t="inlineStr">
        <is>
          <t>0.0</t>
        </is>
      </c>
      <c r="X281"/>
      <c r="Y281"/>
      <c r="Z281"/>
      <c r="AA281"/>
      <c r="AB281"/>
      <c r="AC281"/>
      <c r="AD281"/>
      <c r="AE281"/>
      <c r="AF281"/>
      <c r="AG281"/>
      <c r="AH281"/>
      <c r="AI281"/>
      <c r="AJ281"/>
    </row>
    <row r="282" ht="25.5" customHeight="1">
      <c r="A282" t="inlineStr">
        <is>
          <t>36-in-1螺丝批-（划线30%）</t>
        </is>
      </c>
      <c r="B282">
        <v>8</v>
      </c>
      <c r="C282" t="inlineStr">
        <is>
          <t>意大利</t>
        </is>
      </c>
      <c r="D282" t="inlineStr">
        <is>
          <t>IT</t>
        </is>
      </c>
      <c r="E282" t="inlineStr">
        <is>
          <t>有</t>
        </is>
      </c>
      <c r="F282" t="inlineStr">
        <is>
          <t>13.0</t>
        </is>
      </c>
      <c r="G282" t="inlineStr">
        <is>
          <t>23.8</t>
        </is>
      </c>
      <c r="H282">
        <v>44.99</v>
      </c>
      <c r="I282"/>
      <c r="J282">
        <v>4.95</v>
      </c>
      <c r="K282">
        <v>0.15</v>
      </c>
      <c r="L282">
        <v>0.16</v>
      </c>
      <c r="M282">
        <v>0.05</v>
      </c>
      <c r="N282" t="inlineStr">
        <is>
          <t>0.133</t>
        </is>
      </c>
      <c r="O282" t="inlineStr">
        <is>
          <t>0.0100</t>
        </is>
      </c>
      <c r="P282" t="inlineStr">
        <is>
          <t>0.0200</t>
        </is>
      </c>
      <c r="Q282">
        <v>6</v>
      </c>
      <c r="R282">
        <v>33.5</v>
      </c>
      <c r="S282">
        <v>26.5</v>
      </c>
      <c r="T282">
        <v>25</v>
      </c>
      <c r="U282">
        <v>2.3</v>
      </c>
      <c r="V282" t="inlineStr">
        <is>
          <t>3.7</t>
        </is>
      </c>
      <c r="W282" t="inlineStr">
        <is>
          <t>3.7</t>
        </is>
      </c>
      <c r="X282" t="inlineStr">
        <is>
          <t>海运</t>
        </is>
      </c>
      <c r="Y282">
        <v>5.55136</v>
      </c>
      <c r="Z282">
        <v>13</v>
      </c>
      <c r="AA282" t="inlineStr">
        <is>
          <t>14.869</t>
        </is>
      </c>
      <c r="AB282" t="inlineStr">
        <is>
          <t>33.05%</t>
        </is>
      </c>
      <c r="AC282"/>
      <c r="AD282" t="inlineStr">
        <is>
          <t>11.00%</t>
        </is>
      </c>
      <c r="AE282" t="inlineStr">
        <is>
          <t>0.00%</t>
        </is>
      </c>
      <c r="AF282" t="inlineStr">
        <is>
          <t>3.61%</t>
        </is>
      </c>
      <c r="AG282">
        <v>0.15</v>
      </c>
      <c r="AH282" t="inlineStr">
        <is>
          <t>13.34%</t>
        </is>
      </c>
      <c r="AI282">
        <v>0.02</v>
      </c>
      <c r="AJ282">
        <v>0.05</v>
      </c>
    </row>
    <row r="283" ht="25.5" customHeight="1">
      <c r="A283" t="inlineStr">
        <is>
          <t>36-in-1螺丝批-（15%）coupon</t>
        </is>
      </c>
      <c r="B283">
        <v>8</v>
      </c>
      <c r="C283" t="inlineStr">
        <is>
          <t>意大利</t>
        </is>
      </c>
      <c r="D283" t="inlineStr">
        <is>
          <t>IT</t>
        </is>
      </c>
      <c r="E283" t="inlineStr">
        <is>
          <t>有</t>
        </is>
      </c>
      <c r="F283" t="inlineStr">
        <is>
          <t>10.3</t>
        </is>
      </c>
      <c r="G283" t="inlineStr">
        <is>
          <t>16.0</t>
        </is>
      </c>
      <c r="H283"/>
      <c r="I283"/>
      <c r="J283">
        <v>4.95</v>
      </c>
      <c r="K283">
        <v>0.15</v>
      </c>
      <c r="L283">
        <v>0.16</v>
      </c>
      <c r="M283">
        <v>0.05</v>
      </c>
      <c r="N283"/>
      <c r="O283" t="inlineStr">
        <is>
          <t>0.0100</t>
        </is>
      </c>
      <c r="P283" t="inlineStr">
        <is>
          <t>0.0200</t>
        </is>
      </c>
      <c r="Q283">
        <v>6</v>
      </c>
      <c r="R283">
        <v>33.5</v>
      </c>
      <c r="S283">
        <v>26.5</v>
      </c>
      <c r="T283">
        <v>25</v>
      </c>
      <c r="U283">
        <v>2.3</v>
      </c>
      <c r="V283" t="inlineStr">
        <is>
          <t>3.7</t>
        </is>
      </c>
      <c r="W283" t="inlineStr">
        <is>
          <t>3.7</t>
        </is>
      </c>
      <c r="X283" t="inlineStr">
        <is>
          <t>海运</t>
        </is>
      </c>
      <c r="Y283">
        <v>5.55136</v>
      </c>
      <c r="Z283">
        <v>13</v>
      </c>
      <c r="AA283" t="inlineStr">
        <is>
          <t>-6.575</t>
        </is>
      </c>
      <c r="AB283"/>
      <c r="AC283"/>
      <c r="AD283"/>
      <c r="AE283"/>
      <c r="AF283"/>
      <c r="AG283">
        <v>0.15</v>
      </c>
      <c r="AH283"/>
      <c r="AI283">
        <v>0.02</v>
      </c>
      <c r="AJ283">
        <v>0.05</v>
      </c>
    </row>
    <row r="284" ht="25.5" customHeight="1">
      <c r="A284"/>
      <c r="B284"/>
      <c r="C284"/>
      <c r="D284"/>
      <c r="E284"/>
      <c r="F284"/>
      <c r="G284"/>
      <c r="H284"/>
      <c r="I284"/>
      <c r="J284"/>
      <c r="K284"/>
      <c r="L284"/>
      <c r="M284"/>
      <c r="N284"/>
      <c r="O284" t="inlineStr">
        <is>
          <t>0.0100</t>
        </is>
      </c>
      <c r="P284" t="inlineStr">
        <is>
          <t>0.0200</t>
        </is>
      </c>
      <c r="Q284"/>
      <c r="R284"/>
      <c r="S284"/>
      <c r="T284"/>
      <c r="U284"/>
      <c r="V284" t="inlineStr">
        <is>
          <t>0.0</t>
        </is>
      </c>
      <c r="W284" t="inlineStr">
        <is>
          <t>0.0</t>
        </is>
      </c>
      <c r="X284"/>
      <c r="Y284"/>
      <c r="Z284"/>
      <c r="AA284"/>
      <c r="AB284"/>
      <c r="AC284"/>
      <c r="AD284"/>
      <c r="AE284"/>
      <c r="AF284"/>
      <c r="AG284"/>
      <c r="AH284"/>
      <c r="AI284"/>
      <c r="AJ284"/>
    </row>
    <row r="285" ht="25.5" customHeight="1">
      <c r="A285" t="inlineStr">
        <is>
          <t>36-in-1螺丝批-（划线30%）</t>
        </is>
      </c>
      <c r="B285">
        <v>8</v>
      </c>
      <c r="C285" t="inlineStr">
        <is>
          <t>西班牙</t>
        </is>
      </c>
      <c r="D285" t="inlineStr">
        <is>
          <t>ES</t>
        </is>
      </c>
      <c r="E285" t="inlineStr">
        <is>
          <t>有</t>
        </is>
      </c>
      <c r="F285" t="inlineStr">
        <is>
          <t>11.0</t>
        </is>
      </c>
      <c r="G285" t="inlineStr">
        <is>
          <t>20.2</t>
        </is>
      </c>
      <c r="H285">
        <v>44.99</v>
      </c>
      <c r="I285"/>
      <c r="J285">
        <v>3.95</v>
      </c>
      <c r="K285">
        <v>0.15</v>
      </c>
      <c r="L285">
        <v>0.16</v>
      </c>
      <c r="M285">
        <v>0.05</v>
      </c>
      <c r="N285" t="inlineStr">
        <is>
          <t>0.133</t>
        </is>
      </c>
      <c r="O285" t="inlineStr">
        <is>
          <t>0.0100</t>
        </is>
      </c>
      <c r="P285" t="inlineStr">
        <is>
          <t>0.0200</t>
        </is>
      </c>
      <c r="Q285">
        <v>6</v>
      </c>
      <c r="R285">
        <v>33.5</v>
      </c>
      <c r="S285">
        <v>26.5</v>
      </c>
      <c r="T285">
        <v>25</v>
      </c>
      <c r="U285">
        <v>2.3</v>
      </c>
      <c r="V285" t="inlineStr">
        <is>
          <t>3.7</t>
        </is>
      </c>
      <c r="W285" t="inlineStr">
        <is>
          <t>3.7</t>
        </is>
      </c>
      <c r="X285" t="inlineStr">
        <is>
          <t>海运</t>
        </is>
      </c>
      <c r="Y285">
        <v>5.55136</v>
      </c>
      <c r="Z285">
        <v>13</v>
      </c>
      <c r="AA285" t="inlineStr">
        <is>
          <t>15.869</t>
        </is>
      </c>
      <c r="AB285" t="inlineStr">
        <is>
          <t>35.27%</t>
        </is>
      </c>
      <c r="AC285"/>
      <c r="AD285" t="inlineStr">
        <is>
          <t>8.78%</t>
        </is>
      </c>
      <c r="AE285" t="inlineStr">
        <is>
          <t>0.00%</t>
        </is>
      </c>
      <c r="AF285" t="inlineStr">
        <is>
          <t>3.61%</t>
        </is>
      </c>
      <c r="AG285">
        <v>0.15</v>
      </c>
      <c r="AH285" t="inlineStr">
        <is>
          <t>13.34%</t>
        </is>
      </c>
      <c r="AI285">
        <v>0.02</v>
      </c>
      <c r="AJ285">
        <v>0.05</v>
      </c>
    </row>
    <row r="286" ht="25.5" customHeight="1">
      <c r="A286" t="inlineStr">
        <is>
          <t>36-in-1螺丝批-（15%）coupon</t>
        </is>
      </c>
      <c r="B286">
        <v>8</v>
      </c>
      <c r="C286" t="inlineStr">
        <is>
          <t>西班牙</t>
        </is>
      </c>
      <c r="D286" t="inlineStr">
        <is>
          <t>ES</t>
        </is>
      </c>
      <c r="E286" t="inlineStr">
        <is>
          <t>有</t>
        </is>
      </c>
      <c r="F286" t="inlineStr">
        <is>
          <t>8.7</t>
        </is>
      </c>
      <c r="G286" t="inlineStr">
        <is>
          <t>13.6</t>
        </is>
      </c>
      <c r="H286"/>
      <c r="I286"/>
      <c r="J286">
        <v>3.95</v>
      </c>
      <c r="K286">
        <v>0.15</v>
      </c>
      <c r="L286">
        <v>0.16</v>
      </c>
      <c r="M286">
        <v>0.05</v>
      </c>
      <c r="N286"/>
      <c r="O286" t="inlineStr">
        <is>
          <t>0.0100</t>
        </is>
      </c>
      <c r="P286" t="inlineStr">
        <is>
          <t>0.0200</t>
        </is>
      </c>
      <c r="Q286">
        <v>6</v>
      </c>
      <c r="R286">
        <v>33.5</v>
      </c>
      <c r="S286">
        <v>26.5</v>
      </c>
      <c r="T286">
        <v>25</v>
      </c>
      <c r="U286">
        <v>2.3</v>
      </c>
      <c r="V286" t="inlineStr">
        <is>
          <t>3.7</t>
        </is>
      </c>
      <c r="W286" t="inlineStr">
        <is>
          <t>3.7</t>
        </is>
      </c>
      <c r="X286" t="inlineStr">
        <is>
          <t>海运</t>
        </is>
      </c>
      <c r="Y286">
        <v>5.55136</v>
      </c>
      <c r="Z286">
        <v>13</v>
      </c>
      <c r="AA286" t="inlineStr">
        <is>
          <t>-5.575</t>
        </is>
      </c>
      <c r="AB286"/>
      <c r="AC286"/>
      <c r="AD286"/>
      <c r="AE286"/>
      <c r="AF286"/>
      <c r="AG286">
        <v>0.15</v>
      </c>
      <c r="AH286"/>
      <c r="AI286">
        <v>0.02</v>
      </c>
      <c r="AJ286">
        <v>0.05</v>
      </c>
    </row>
    <row r="287" ht="25.5" customHeight="1">
      <c r="A287"/>
      <c r="B287"/>
      <c r="C287"/>
      <c r="D287"/>
      <c r="E287"/>
      <c r="F287"/>
      <c r="G287"/>
      <c r="H287"/>
      <c r="I287"/>
      <c r="J287"/>
      <c r="K287"/>
      <c r="L287"/>
      <c r="M287"/>
      <c r="N287"/>
      <c r="O287" t="inlineStr">
        <is>
          <t>0.0100</t>
        </is>
      </c>
      <c r="P287" t="inlineStr">
        <is>
          <t>0.0200</t>
        </is>
      </c>
      <c r="Q287"/>
      <c r="R287"/>
      <c r="S287"/>
      <c r="T287"/>
      <c r="U287"/>
      <c r="V287" t="inlineStr">
        <is>
          <t>0.0</t>
        </is>
      </c>
      <c r="W287" t="inlineStr">
        <is>
          <t>0.0</t>
        </is>
      </c>
      <c r="X287"/>
      <c r="Y287"/>
      <c r="Z287"/>
      <c r="AA287"/>
      <c r="AB287"/>
      <c r="AC287"/>
      <c r="AD287"/>
      <c r="AE287"/>
      <c r="AF287"/>
      <c r="AG287"/>
      <c r="AH287"/>
      <c r="AI287"/>
      <c r="AJ287"/>
    </row>
    <row r="288" ht="25.5" customHeight="1">
      <c r="A288" t="inlineStr">
        <is>
          <t>36-in-1螺丝批-（划线30%）</t>
        </is>
      </c>
      <c r="B288">
        <v>9</v>
      </c>
      <c r="C288" t="inlineStr">
        <is>
          <t>英国</t>
        </is>
      </c>
      <c r="D288" t="inlineStr">
        <is>
          <t>UK</t>
        </is>
      </c>
      <c r="E288" t="inlineStr">
        <is>
          <t>有</t>
        </is>
      </c>
      <c r="F288" t="inlineStr">
        <is>
          <t>9.2</t>
        </is>
      </c>
      <c r="G288" t="inlineStr">
        <is>
          <t>17.3</t>
        </is>
      </c>
      <c r="H288">
        <v>39.99</v>
      </c>
      <c r="I288"/>
      <c r="J288">
        <v>3.04</v>
      </c>
      <c r="K288">
        <v>0.15</v>
      </c>
      <c r="L288">
        <v>0.16</v>
      </c>
      <c r="M288">
        <v>0.05</v>
      </c>
      <c r="N288" t="inlineStr">
        <is>
          <t>0.150</t>
        </is>
      </c>
      <c r="O288" t="inlineStr">
        <is>
          <t>0.0100</t>
        </is>
      </c>
      <c r="P288" t="inlineStr">
        <is>
          <t>0.0200</t>
        </is>
      </c>
      <c r="Q288">
        <v>6</v>
      </c>
      <c r="R288">
        <v>33.5</v>
      </c>
      <c r="S288">
        <v>26.5</v>
      </c>
      <c r="T288">
        <v>25</v>
      </c>
      <c r="U288">
        <v>2.3</v>
      </c>
      <c r="V288" t="inlineStr">
        <is>
          <t>3.7</t>
        </is>
      </c>
      <c r="W288" t="inlineStr">
        <is>
          <t>3.7</t>
        </is>
      </c>
      <c r="X288" t="inlineStr">
        <is>
          <t>海运</t>
        </is>
      </c>
      <c r="Y288">
        <v>6.084</v>
      </c>
      <c r="Z288">
        <v>13</v>
      </c>
      <c r="AA288" t="inlineStr">
        <is>
          <t>13.909</t>
        </is>
      </c>
      <c r="AB288" t="inlineStr">
        <is>
          <t>34.78%</t>
        </is>
      </c>
      <c r="AC288"/>
      <c r="AD288" t="inlineStr">
        <is>
          <t>7.60%</t>
        </is>
      </c>
      <c r="AE288" t="inlineStr">
        <is>
          <t>0.00%</t>
        </is>
      </c>
      <c r="AF288" t="inlineStr">
        <is>
          <t>3.61%</t>
        </is>
      </c>
      <c r="AG288">
        <v>0.15</v>
      </c>
      <c r="AH288" t="inlineStr">
        <is>
          <t>15.00%</t>
        </is>
      </c>
      <c r="AI288">
        <v>0.02</v>
      </c>
      <c r="AJ288">
        <v>0.05</v>
      </c>
    </row>
    <row r="289" ht="25.5" customHeight="1">
      <c r="A289" t="inlineStr">
        <is>
          <t>36-in-1螺丝批-（15%）coupon</t>
        </is>
      </c>
      <c r="B289">
        <v>9</v>
      </c>
      <c r="C289" t="inlineStr">
        <is>
          <t>英国</t>
        </is>
      </c>
      <c r="D289" t="inlineStr">
        <is>
          <t>UK</t>
        </is>
      </c>
      <c r="E289" t="inlineStr">
        <is>
          <t>有</t>
        </is>
      </c>
      <c r="F289" t="inlineStr">
        <is>
          <t>7.0</t>
        </is>
      </c>
      <c r="G289" t="inlineStr">
        <is>
          <t>10.9</t>
        </is>
      </c>
      <c r="H289"/>
      <c r="I289"/>
      <c r="J289">
        <v>3.04</v>
      </c>
      <c r="K289">
        <v>0.15</v>
      </c>
      <c r="L289">
        <v>0.16</v>
      </c>
      <c r="M289">
        <v>0.05</v>
      </c>
      <c r="N289"/>
      <c r="O289" t="inlineStr">
        <is>
          <t>0.0100</t>
        </is>
      </c>
      <c r="P289" t="inlineStr">
        <is>
          <t>0.0200</t>
        </is>
      </c>
      <c r="Q289">
        <v>6</v>
      </c>
      <c r="R289">
        <v>33.5</v>
      </c>
      <c r="S289">
        <v>26.5</v>
      </c>
      <c r="T289">
        <v>25</v>
      </c>
      <c r="U289">
        <v>2.3</v>
      </c>
      <c r="V289" t="inlineStr">
        <is>
          <t>3.7</t>
        </is>
      </c>
      <c r="W289" t="inlineStr">
        <is>
          <t>3.7</t>
        </is>
      </c>
      <c r="X289" t="inlineStr">
        <is>
          <t>海运</t>
        </is>
      </c>
      <c r="Y289">
        <v>6.084</v>
      </c>
      <c r="Z289">
        <v>13</v>
      </c>
      <c r="AA289" t="inlineStr">
        <is>
          <t>-4.484</t>
        </is>
      </c>
      <c r="AB289"/>
      <c r="AC289"/>
      <c r="AD289"/>
      <c r="AE289"/>
      <c r="AF289"/>
      <c r="AG289">
        <v>0.15</v>
      </c>
      <c r="AH289"/>
      <c r="AI289">
        <v>0.02</v>
      </c>
      <c r="AJ289">
        <v>0.05</v>
      </c>
    </row>
    <row r="290" ht="25.5" customHeight="1">
      <c r="A290"/>
      <c r="B290"/>
      <c r="C290"/>
      <c r="D290"/>
      <c r="E290"/>
      <c r="F290"/>
      <c r="G290"/>
      <c r="H290"/>
      <c r="I290"/>
      <c r="J290"/>
      <c r="K290"/>
      <c r="L290"/>
      <c r="M290"/>
      <c r="N290"/>
      <c r="O290" t="inlineStr">
        <is>
          <t>0.0100</t>
        </is>
      </c>
      <c r="P290" t="inlineStr">
        <is>
          <t>0.0200</t>
        </is>
      </c>
      <c r="Q290"/>
      <c r="R290"/>
      <c r="S290"/>
      <c r="T290"/>
      <c r="U290"/>
      <c r="V290" t="inlineStr">
        <is>
          <t>0.0</t>
        </is>
      </c>
      <c r="W290" t="inlineStr">
        <is>
          <t>0.0</t>
        </is>
      </c>
      <c r="X290"/>
      <c r="Y290"/>
      <c r="Z290"/>
      <c r="AA290"/>
      <c r="AB290"/>
      <c r="AC290"/>
      <c r="AD290"/>
      <c r="AE290"/>
      <c r="AF290"/>
      <c r="AG290"/>
      <c r="AH290"/>
      <c r="AI290"/>
      <c r="AJ290"/>
    </row>
    <row r="291" ht="25.5" customHeight="1">
      <c r="A291" t="inlineStr">
        <is>
          <t>暴力风扇-（划线30%）</t>
        </is>
      </c>
      <c r="B291">
        <v>8</v>
      </c>
      <c r="C291" t="inlineStr">
        <is>
          <t>德国</t>
        </is>
      </c>
      <c r="D291" t="inlineStr">
        <is>
          <t>DE</t>
        </is>
      </c>
      <c r="E291" t="inlineStr">
        <is>
          <t>有</t>
        </is>
      </c>
      <c r="F291" t="inlineStr">
        <is>
          <t>7.9</t>
        </is>
      </c>
      <c r="G291" t="inlineStr">
        <is>
          <t>14.6</t>
        </is>
      </c>
      <c r="H291">
        <v>34.99</v>
      </c>
      <c r="I291"/>
      <c r="J291">
        <v>3.16</v>
      </c>
      <c r="K291">
        <v>0.15</v>
      </c>
      <c r="L291">
        <v>0.16</v>
      </c>
      <c r="M291">
        <v>0.05</v>
      </c>
      <c r="N291" t="inlineStr">
        <is>
          <t>0.143</t>
        </is>
      </c>
      <c r="O291" t="inlineStr">
        <is>
          <t>0.0100</t>
        </is>
      </c>
      <c r="P291" t="inlineStr">
        <is>
          <t>0.0200</t>
        </is>
      </c>
      <c r="Q291">
        <v>5</v>
      </c>
      <c r="R291">
        <v>33.5</v>
      </c>
      <c r="S291">
        <v>26.5</v>
      </c>
      <c r="T291">
        <v>25</v>
      </c>
      <c r="U291">
        <v>2.3</v>
      </c>
      <c r="V291" t="inlineStr">
        <is>
          <t>3.7</t>
        </is>
      </c>
      <c r="W291" t="inlineStr">
        <is>
          <t>3.7</t>
        </is>
      </c>
      <c r="X291" t="inlineStr">
        <is>
          <t>海运</t>
        </is>
      </c>
      <c r="Y291">
        <v>5.55136</v>
      </c>
      <c r="Z291">
        <v>6</v>
      </c>
      <c r="AA291" t="inlineStr">
        <is>
          <t>12.434</t>
        </is>
      </c>
      <c r="AB291" t="inlineStr">
        <is>
          <t>35.54%</t>
        </is>
      </c>
      <c r="AC291"/>
      <c r="AD291" t="inlineStr">
        <is>
          <t>9.03%</t>
        </is>
      </c>
      <c r="AE291" t="inlineStr">
        <is>
          <t>0.00%</t>
        </is>
      </c>
      <c r="AF291" t="inlineStr">
        <is>
          <t>2.14%</t>
        </is>
      </c>
      <c r="AG291">
        <v>0.15</v>
      </c>
      <c r="AH291" t="inlineStr">
        <is>
          <t>14.29%</t>
        </is>
      </c>
      <c r="AI291">
        <v>0.02</v>
      </c>
      <c r="AJ291">
        <v>0.05</v>
      </c>
    </row>
    <row r="292" ht="25.5" customHeight="1">
      <c r="A292" t="inlineStr">
        <is>
          <t>暴力风扇-（15%）coupon</t>
        </is>
      </c>
      <c r="B292">
        <v>8</v>
      </c>
      <c r="C292" t="inlineStr">
        <is>
          <t>德国</t>
        </is>
      </c>
      <c r="D292" t="inlineStr">
        <is>
          <t>DE</t>
        </is>
      </c>
      <c r="E292" t="inlineStr">
        <is>
          <t>有</t>
        </is>
      </c>
      <c r="F292" t="inlineStr">
        <is>
          <t>6.1</t>
        </is>
      </c>
      <c r="G292" t="inlineStr">
        <is>
          <t>9.5</t>
        </is>
      </c>
      <c r="H292"/>
      <c r="I292"/>
      <c r="J292">
        <v>3.16</v>
      </c>
      <c r="K292">
        <v>0.15</v>
      </c>
      <c r="L292">
        <v>0.16</v>
      </c>
      <c r="M292">
        <v>0.05</v>
      </c>
      <c r="N292"/>
      <c r="O292" t="inlineStr">
        <is>
          <t>0.0100</t>
        </is>
      </c>
      <c r="P292" t="inlineStr">
        <is>
          <t>0.0200</t>
        </is>
      </c>
      <c r="Q292">
        <v>5</v>
      </c>
      <c r="R292">
        <v>33.5</v>
      </c>
      <c r="S292">
        <v>26.5</v>
      </c>
      <c r="T292">
        <v>25</v>
      </c>
      <c r="U292">
        <v>2.3</v>
      </c>
      <c r="V292" t="inlineStr">
        <is>
          <t>3.7</t>
        </is>
      </c>
      <c r="W292" t="inlineStr">
        <is>
          <t>3.7</t>
        </is>
      </c>
      <c r="X292" t="inlineStr">
        <is>
          <t>海运</t>
        </is>
      </c>
      <c r="Y292">
        <v>5.55136</v>
      </c>
      <c r="Z292">
        <v>6</v>
      </c>
      <c r="AA292" t="inlineStr">
        <is>
          <t>-3.910</t>
        </is>
      </c>
      <c r="AB292"/>
      <c r="AC292"/>
      <c r="AD292"/>
      <c r="AE292"/>
      <c r="AF292"/>
      <c r="AG292">
        <v>0.15</v>
      </c>
      <c r="AH292"/>
      <c r="AI292">
        <v>0.02</v>
      </c>
      <c r="AJ292">
        <v>0.05</v>
      </c>
    </row>
    <row r="293" ht="25.5" customHeight="1">
      <c r="A293"/>
      <c r="B293"/>
      <c r="C293"/>
      <c r="D293"/>
      <c r="E293"/>
      <c r="F293"/>
      <c r="G293"/>
      <c r="H293"/>
      <c r="I293"/>
      <c r="J293"/>
      <c r="K293"/>
      <c r="L293"/>
      <c r="M293"/>
      <c r="N293"/>
      <c r="O293" t="inlineStr">
        <is>
          <t>0.0100</t>
        </is>
      </c>
      <c r="P293" t="inlineStr">
        <is>
          <t>0.0200</t>
        </is>
      </c>
      <c r="Q293"/>
      <c r="R293"/>
      <c r="S293"/>
      <c r="T293"/>
      <c r="U293"/>
      <c r="V293" t="inlineStr">
        <is>
          <t>0.0</t>
        </is>
      </c>
      <c r="W293" t="inlineStr">
        <is>
          <t>0.0</t>
        </is>
      </c>
      <c r="X293"/>
      <c r="Y293"/>
      <c r="Z293"/>
      <c r="AA293"/>
      <c r="AB293"/>
      <c r="AC293"/>
      <c r="AD293"/>
      <c r="AE293"/>
      <c r="AF293"/>
      <c r="AG293"/>
      <c r="AH293"/>
      <c r="AI293"/>
      <c r="AJ293"/>
    </row>
    <row r="294" ht="25.5" customHeight="1">
      <c r="A294" t="inlineStr">
        <is>
          <t>暴力风扇-（划线30%）</t>
        </is>
      </c>
      <c r="B294">
        <v>8</v>
      </c>
      <c r="C294" t="inlineStr">
        <is>
          <t>法国</t>
        </is>
      </c>
      <c r="D294" t="inlineStr">
        <is>
          <t>FR</t>
        </is>
      </c>
      <c r="E294" t="inlineStr">
        <is>
          <t>有</t>
        </is>
      </c>
      <c r="F294" t="inlineStr">
        <is>
          <t>11.0</t>
        </is>
      </c>
      <c r="G294" t="inlineStr">
        <is>
          <t>20.5</t>
        </is>
      </c>
      <c r="H294">
        <v>34.99</v>
      </c>
      <c r="I294"/>
      <c r="J294">
        <v>4.72</v>
      </c>
      <c r="K294">
        <v>0.15</v>
      </c>
      <c r="L294">
        <v>0.16</v>
      </c>
      <c r="M294">
        <v>0.05</v>
      </c>
      <c r="N294" t="inlineStr">
        <is>
          <t>0.143</t>
        </is>
      </c>
      <c r="O294" t="inlineStr">
        <is>
          <t>0.0100</t>
        </is>
      </c>
      <c r="P294" t="inlineStr">
        <is>
          <t>0.0200</t>
        </is>
      </c>
      <c r="Q294">
        <v>5</v>
      </c>
      <c r="R294">
        <v>33.5</v>
      </c>
      <c r="S294">
        <v>26.5</v>
      </c>
      <c r="T294">
        <v>25</v>
      </c>
      <c r="U294">
        <v>2.3</v>
      </c>
      <c r="V294" t="inlineStr">
        <is>
          <t>3.7</t>
        </is>
      </c>
      <c r="W294" t="inlineStr">
        <is>
          <t>3.7</t>
        </is>
      </c>
      <c r="X294" t="inlineStr">
        <is>
          <t>海运</t>
        </is>
      </c>
      <c r="Y294">
        <v>5.55136</v>
      </c>
      <c r="Z294">
        <v>6</v>
      </c>
      <c r="AA294" t="inlineStr">
        <is>
          <t>10.874</t>
        </is>
      </c>
      <c r="AB294" t="inlineStr">
        <is>
          <t>31.08%</t>
        </is>
      </c>
      <c r="AC294"/>
      <c r="AD294" t="inlineStr">
        <is>
          <t>13.49%</t>
        </is>
      </c>
      <c r="AE294" t="inlineStr">
        <is>
          <t>0.00%</t>
        </is>
      </c>
      <c r="AF294" t="inlineStr">
        <is>
          <t>2.14%</t>
        </is>
      </c>
      <c r="AG294">
        <v>0.15</v>
      </c>
      <c r="AH294" t="inlineStr">
        <is>
          <t>14.29%</t>
        </is>
      </c>
      <c r="AI294">
        <v>0.02</v>
      </c>
      <c r="AJ294">
        <v>0.05</v>
      </c>
    </row>
    <row r="295" ht="25.5" customHeight="1">
      <c r="A295" t="inlineStr">
        <is>
          <t>暴力风扇-（15%）coupon</t>
        </is>
      </c>
      <c r="B295">
        <v>8</v>
      </c>
      <c r="C295" t="inlineStr">
        <is>
          <t>法国</t>
        </is>
      </c>
      <c r="D295" t="inlineStr">
        <is>
          <t>FR</t>
        </is>
      </c>
      <c r="E295" t="inlineStr">
        <is>
          <t>有</t>
        </is>
      </c>
      <c r="F295" t="inlineStr">
        <is>
          <t>8.5</t>
        </is>
      </c>
      <c r="G295" t="inlineStr">
        <is>
          <t>13.3</t>
        </is>
      </c>
      <c r="H295"/>
      <c r="I295"/>
      <c r="J295">
        <v>4.72</v>
      </c>
      <c r="K295">
        <v>0.15</v>
      </c>
      <c r="L295">
        <v>0.16</v>
      </c>
      <c r="M295">
        <v>0.05</v>
      </c>
      <c r="N295"/>
      <c r="O295" t="inlineStr">
        <is>
          <t>0.0100</t>
        </is>
      </c>
      <c r="P295" t="inlineStr">
        <is>
          <t>0.0200</t>
        </is>
      </c>
      <c r="Q295">
        <v>5</v>
      </c>
      <c r="R295">
        <v>33.5</v>
      </c>
      <c r="S295">
        <v>26.5</v>
      </c>
      <c r="T295">
        <v>25</v>
      </c>
      <c r="U295">
        <v>2.3</v>
      </c>
      <c r="V295" t="inlineStr">
        <is>
          <t>3.7</t>
        </is>
      </c>
      <c r="W295" t="inlineStr">
        <is>
          <t>3.7</t>
        </is>
      </c>
      <c r="X295" t="inlineStr">
        <is>
          <t>海运</t>
        </is>
      </c>
      <c r="Y295">
        <v>5.55136</v>
      </c>
      <c r="Z295">
        <v>6</v>
      </c>
      <c r="AA295" t="inlineStr">
        <is>
          <t>-5.470</t>
        </is>
      </c>
      <c r="AB295"/>
      <c r="AC295"/>
      <c r="AD295"/>
      <c r="AE295"/>
      <c r="AF295"/>
      <c r="AG295">
        <v>0.15</v>
      </c>
      <c r="AH295"/>
      <c r="AI295">
        <v>0.02</v>
      </c>
      <c r="AJ295">
        <v>0.05</v>
      </c>
    </row>
    <row r="296" ht="25.5" customHeight="1">
      <c r="A296"/>
      <c r="B296"/>
      <c r="C296"/>
      <c r="D296"/>
      <c r="E296"/>
      <c r="F296"/>
      <c r="G296"/>
      <c r="H296"/>
      <c r="I296"/>
      <c r="J296"/>
      <c r="K296"/>
      <c r="L296"/>
      <c r="M296"/>
      <c r="N296"/>
      <c r="O296" t="inlineStr">
        <is>
          <t>0.0100</t>
        </is>
      </c>
      <c r="P296" t="inlineStr">
        <is>
          <t>0.0200</t>
        </is>
      </c>
      <c r="Q296"/>
      <c r="R296"/>
      <c r="S296"/>
      <c r="T296"/>
      <c r="U296"/>
      <c r="V296" t="inlineStr">
        <is>
          <t>0.0</t>
        </is>
      </c>
      <c r="W296" t="inlineStr">
        <is>
          <t>0.0</t>
        </is>
      </c>
      <c r="X296"/>
      <c r="Y296"/>
      <c r="Z296"/>
      <c r="AA296"/>
      <c r="AB296"/>
      <c r="AC296"/>
      <c r="AD296"/>
      <c r="AE296"/>
      <c r="AF296"/>
      <c r="AG296"/>
      <c r="AH296"/>
      <c r="AI296"/>
      <c r="AJ296"/>
    </row>
    <row r="297" ht="25.5" customHeight="1">
      <c r="A297" t="inlineStr">
        <is>
          <t>暴力风扇-（划线30%）</t>
        </is>
      </c>
      <c r="B297">
        <v>8</v>
      </c>
      <c r="C297" t="inlineStr">
        <is>
          <t>意大利</t>
        </is>
      </c>
      <c r="D297" t="inlineStr">
        <is>
          <t>IT</t>
        </is>
      </c>
      <c r="E297" t="inlineStr">
        <is>
          <t>有</t>
        </is>
      </c>
      <c r="F297" t="inlineStr">
        <is>
          <t>9.9</t>
        </is>
      </c>
      <c r="G297" t="inlineStr">
        <is>
          <t>18.4</t>
        </is>
      </c>
      <c r="H297">
        <v>34.99</v>
      </c>
      <c r="I297"/>
      <c r="J297">
        <v>4.17</v>
      </c>
      <c r="K297">
        <v>0.15</v>
      </c>
      <c r="L297">
        <v>0.16</v>
      </c>
      <c r="M297">
        <v>0.05</v>
      </c>
      <c r="N297" t="inlineStr">
        <is>
          <t>0.143</t>
        </is>
      </c>
      <c r="O297" t="inlineStr">
        <is>
          <t>0.0100</t>
        </is>
      </c>
      <c r="P297" t="inlineStr">
        <is>
          <t>0.0200</t>
        </is>
      </c>
      <c r="Q297">
        <v>5</v>
      </c>
      <c r="R297">
        <v>33.5</v>
      </c>
      <c r="S297">
        <v>26.5</v>
      </c>
      <c r="T297">
        <v>25</v>
      </c>
      <c r="U297">
        <v>2.3</v>
      </c>
      <c r="V297" t="inlineStr">
        <is>
          <t>3.7</t>
        </is>
      </c>
      <c r="W297" t="inlineStr">
        <is>
          <t>3.7</t>
        </is>
      </c>
      <c r="X297" t="inlineStr">
        <is>
          <t>海运</t>
        </is>
      </c>
      <c r="Y297">
        <v>5.55136</v>
      </c>
      <c r="Z297">
        <v>6</v>
      </c>
      <c r="AA297" t="inlineStr">
        <is>
          <t>11.424</t>
        </is>
      </c>
      <c r="AB297" t="inlineStr">
        <is>
          <t>32.65%</t>
        </is>
      </c>
      <c r="AC297"/>
      <c r="AD297" t="inlineStr">
        <is>
          <t>11.92%</t>
        </is>
      </c>
      <c r="AE297" t="inlineStr">
        <is>
          <t>0.00%</t>
        </is>
      </c>
      <c r="AF297" t="inlineStr">
        <is>
          <t>2.14%</t>
        </is>
      </c>
      <c r="AG297">
        <v>0.15</v>
      </c>
      <c r="AH297" t="inlineStr">
        <is>
          <t>14.29%</t>
        </is>
      </c>
      <c r="AI297">
        <v>0.02</v>
      </c>
      <c r="AJ297">
        <v>0.05</v>
      </c>
    </row>
    <row r="298" ht="25.5" customHeight="1">
      <c r="A298" t="inlineStr">
        <is>
          <t>暴力风扇-（15%）coupon</t>
        </is>
      </c>
      <c r="B298">
        <v>8</v>
      </c>
      <c r="C298" t="inlineStr">
        <is>
          <t>意大利</t>
        </is>
      </c>
      <c r="D298" t="inlineStr">
        <is>
          <t>IT</t>
        </is>
      </c>
      <c r="E298" t="inlineStr">
        <is>
          <t>有</t>
        </is>
      </c>
      <c r="F298" t="inlineStr">
        <is>
          <t>7.7</t>
        </is>
      </c>
      <c r="G298" t="inlineStr">
        <is>
          <t>12.0</t>
        </is>
      </c>
      <c r="H298"/>
      <c r="I298"/>
      <c r="J298">
        <v>4.17</v>
      </c>
      <c r="K298">
        <v>0.15</v>
      </c>
      <c r="L298">
        <v>0.16</v>
      </c>
      <c r="M298">
        <v>0.05</v>
      </c>
      <c r="N298"/>
      <c r="O298" t="inlineStr">
        <is>
          <t>0.0100</t>
        </is>
      </c>
      <c r="P298" t="inlineStr">
        <is>
          <t>0.0200</t>
        </is>
      </c>
      <c r="Q298">
        <v>5</v>
      </c>
      <c r="R298">
        <v>33.5</v>
      </c>
      <c r="S298">
        <v>26.5</v>
      </c>
      <c r="T298">
        <v>25</v>
      </c>
      <c r="U298">
        <v>2.3</v>
      </c>
      <c r="V298" t="inlineStr">
        <is>
          <t>3.7</t>
        </is>
      </c>
      <c r="W298" t="inlineStr">
        <is>
          <t>3.7</t>
        </is>
      </c>
      <c r="X298" t="inlineStr">
        <is>
          <t>海运</t>
        </is>
      </c>
      <c r="Y298">
        <v>5.55136</v>
      </c>
      <c r="Z298">
        <v>6</v>
      </c>
      <c r="AA298" t="inlineStr">
        <is>
          <t>-4.920</t>
        </is>
      </c>
      <c r="AB298"/>
      <c r="AC298"/>
      <c r="AD298"/>
      <c r="AE298"/>
      <c r="AF298"/>
      <c r="AG298">
        <v>0.15</v>
      </c>
      <c r="AH298"/>
      <c r="AI298">
        <v>0.02</v>
      </c>
      <c r="AJ298">
        <v>0.05</v>
      </c>
    </row>
    <row r="299" ht="25.5" customHeight="1">
      <c r="A299"/>
      <c r="B299"/>
      <c r="C299"/>
      <c r="D299"/>
      <c r="E299"/>
      <c r="F299"/>
      <c r="G299"/>
      <c r="H299"/>
      <c r="I299"/>
      <c r="J299"/>
      <c r="K299"/>
      <c r="L299"/>
      <c r="M299"/>
      <c r="N299"/>
      <c r="O299" t="inlineStr">
        <is>
          <t>0.0100</t>
        </is>
      </c>
      <c r="P299" t="inlineStr">
        <is>
          <t>0.0200</t>
        </is>
      </c>
      <c r="Q299"/>
      <c r="R299"/>
      <c r="S299"/>
      <c r="T299"/>
      <c r="U299"/>
      <c r="V299" t="inlineStr">
        <is>
          <t>0.0</t>
        </is>
      </c>
      <c r="W299" t="inlineStr">
        <is>
          <t>0.0</t>
        </is>
      </c>
      <c r="X299"/>
      <c r="Y299"/>
      <c r="Z299"/>
      <c r="AA299"/>
      <c r="AB299"/>
      <c r="AC299"/>
      <c r="AD299"/>
      <c r="AE299"/>
      <c r="AF299"/>
      <c r="AG299"/>
      <c r="AH299"/>
      <c r="AI299"/>
      <c r="AJ299"/>
    </row>
    <row r="300" ht="25.5" customHeight="1">
      <c r="A300" t="inlineStr">
        <is>
          <t>暴力风扇-（划线30%）</t>
        </is>
      </c>
      <c r="B300">
        <v>8</v>
      </c>
      <c r="C300" t="inlineStr">
        <is>
          <t>西班牙</t>
        </is>
      </c>
      <c r="D300" t="inlineStr">
        <is>
          <t>ES</t>
        </is>
      </c>
      <c r="E300" t="inlineStr">
        <is>
          <t>有</t>
        </is>
      </c>
      <c r="F300" t="inlineStr">
        <is>
          <t>9.3</t>
        </is>
      </c>
      <c r="G300" t="inlineStr">
        <is>
          <t>17.2</t>
        </is>
      </c>
      <c r="H300">
        <v>34.99</v>
      </c>
      <c r="I300"/>
      <c r="J300">
        <v>3.85</v>
      </c>
      <c r="K300">
        <v>0.15</v>
      </c>
      <c r="L300">
        <v>0.16</v>
      </c>
      <c r="M300">
        <v>0.05</v>
      </c>
      <c r="N300" t="inlineStr">
        <is>
          <t>0.143</t>
        </is>
      </c>
      <c r="O300" t="inlineStr">
        <is>
          <t>0.0100</t>
        </is>
      </c>
      <c r="P300" t="inlineStr">
        <is>
          <t>0.0200</t>
        </is>
      </c>
      <c r="Q300">
        <v>5</v>
      </c>
      <c r="R300">
        <v>33.5</v>
      </c>
      <c r="S300">
        <v>26.5</v>
      </c>
      <c r="T300">
        <v>25</v>
      </c>
      <c r="U300">
        <v>2.3</v>
      </c>
      <c r="V300" t="inlineStr">
        <is>
          <t>3.7</t>
        </is>
      </c>
      <c r="W300" t="inlineStr">
        <is>
          <t>3.7</t>
        </is>
      </c>
      <c r="X300" t="inlineStr">
        <is>
          <t>海运</t>
        </is>
      </c>
      <c r="Y300">
        <v>5.55136</v>
      </c>
      <c r="Z300">
        <v>6</v>
      </c>
      <c r="AA300" t="inlineStr">
        <is>
          <t>11.744</t>
        </is>
      </c>
      <c r="AB300" t="inlineStr">
        <is>
          <t>33.56%</t>
        </is>
      </c>
      <c r="AC300"/>
      <c r="AD300" t="inlineStr">
        <is>
          <t>11.00%</t>
        </is>
      </c>
      <c r="AE300" t="inlineStr">
        <is>
          <t>0.00%</t>
        </is>
      </c>
      <c r="AF300" t="inlineStr">
        <is>
          <t>2.14%</t>
        </is>
      </c>
      <c r="AG300">
        <v>0.15</v>
      </c>
      <c r="AH300" t="inlineStr">
        <is>
          <t>14.29%</t>
        </is>
      </c>
      <c r="AI300">
        <v>0.02</v>
      </c>
      <c r="AJ300">
        <v>0.05</v>
      </c>
    </row>
    <row r="301" ht="25.5" customHeight="1">
      <c r="A301" t="inlineStr">
        <is>
          <t>暴力风扇-（15%）coupon</t>
        </is>
      </c>
      <c r="B301">
        <v>8</v>
      </c>
      <c r="C301" t="inlineStr">
        <is>
          <t>西班牙</t>
        </is>
      </c>
      <c r="D301" t="inlineStr">
        <is>
          <t>ES</t>
        </is>
      </c>
      <c r="E301" t="inlineStr">
        <is>
          <t>有</t>
        </is>
      </c>
      <c r="F301" t="inlineStr">
        <is>
          <t>7.2</t>
        </is>
      </c>
      <c r="G301" t="inlineStr">
        <is>
          <t>11.2</t>
        </is>
      </c>
      <c r="H301"/>
      <c r="I301"/>
      <c r="J301">
        <v>3.85</v>
      </c>
      <c r="K301">
        <v>0.15</v>
      </c>
      <c r="L301">
        <v>0.16</v>
      </c>
      <c r="M301">
        <v>0.05</v>
      </c>
      <c r="N301"/>
      <c r="O301" t="inlineStr">
        <is>
          <t>0.0100</t>
        </is>
      </c>
      <c r="P301" t="inlineStr">
        <is>
          <t>0.0200</t>
        </is>
      </c>
      <c r="Q301">
        <v>5</v>
      </c>
      <c r="R301">
        <v>33.5</v>
      </c>
      <c r="S301">
        <v>26.5</v>
      </c>
      <c r="T301">
        <v>25</v>
      </c>
      <c r="U301">
        <v>2.3</v>
      </c>
      <c r="V301" t="inlineStr">
        <is>
          <t>3.7</t>
        </is>
      </c>
      <c r="W301" t="inlineStr">
        <is>
          <t>3.7</t>
        </is>
      </c>
      <c r="X301" t="inlineStr">
        <is>
          <t>海运</t>
        </is>
      </c>
      <c r="Y301">
        <v>5.55136</v>
      </c>
      <c r="Z301">
        <v>6</v>
      </c>
      <c r="AA301" t="inlineStr">
        <is>
          <t>-4.600</t>
        </is>
      </c>
      <c r="AB301"/>
      <c r="AC301"/>
      <c r="AD301"/>
      <c r="AE301"/>
      <c r="AF301"/>
      <c r="AG301">
        <v>0.15</v>
      </c>
      <c r="AH301"/>
      <c r="AI301">
        <v>0.02</v>
      </c>
      <c r="AJ301">
        <v>0.05</v>
      </c>
    </row>
    <row r="302" ht="25.5" customHeight="1">
      <c r="A302"/>
      <c r="B302"/>
      <c r="C302"/>
      <c r="D302"/>
      <c r="E302"/>
      <c r="F302"/>
      <c r="G302"/>
      <c r="H302"/>
      <c r="I302"/>
      <c r="J302"/>
      <c r="K302"/>
      <c r="L302"/>
      <c r="M302"/>
      <c r="N302"/>
      <c r="O302" t="inlineStr">
        <is>
          <t>0.0100</t>
        </is>
      </c>
      <c r="P302" t="inlineStr">
        <is>
          <t>0.0200</t>
        </is>
      </c>
      <c r="Q302"/>
      <c r="R302"/>
      <c r="S302"/>
      <c r="T302"/>
      <c r="U302"/>
      <c r="V302" t="inlineStr">
        <is>
          <t>0.0</t>
        </is>
      </c>
      <c r="W302" t="inlineStr">
        <is>
          <t>0.0</t>
        </is>
      </c>
      <c r="X302"/>
      <c r="Y302"/>
      <c r="Z302"/>
      <c r="AA302"/>
      <c r="AB302"/>
      <c r="AC302"/>
      <c r="AD302"/>
      <c r="AE302"/>
      <c r="AF302"/>
      <c r="AG302"/>
      <c r="AH302"/>
      <c r="AI302"/>
      <c r="AJ302"/>
    </row>
    <row r="303" ht="25.5" customHeight="1">
      <c r="A303" t="inlineStr">
        <is>
          <t>暴力风扇-（划线30%）</t>
        </is>
      </c>
      <c r="B303">
        <v>9</v>
      </c>
      <c r="C303" t="inlineStr">
        <is>
          <t>英国</t>
        </is>
      </c>
      <c r="D303" t="inlineStr">
        <is>
          <t>UK</t>
        </is>
      </c>
      <c r="E303" t="inlineStr">
        <is>
          <t>有</t>
        </is>
      </c>
      <c r="F303" t="inlineStr">
        <is>
          <t>7.6</t>
        </is>
      </c>
      <c r="G303" t="inlineStr">
        <is>
          <t>14.8</t>
        </is>
      </c>
      <c r="H303">
        <v>29.99</v>
      </c>
      <c r="I303"/>
      <c r="J303">
        <v>2.94</v>
      </c>
      <c r="K303">
        <v>0.15</v>
      </c>
      <c r="L303">
        <v>0.16</v>
      </c>
      <c r="M303">
        <v>0.05</v>
      </c>
      <c r="N303" t="inlineStr">
        <is>
          <t>0.167</t>
        </is>
      </c>
      <c r="O303" t="inlineStr">
        <is>
          <t>0.0100</t>
        </is>
      </c>
      <c r="P303" t="inlineStr">
        <is>
          <t>0.0200</t>
        </is>
      </c>
      <c r="Q303">
        <v>5</v>
      </c>
      <c r="R303">
        <v>33.5</v>
      </c>
      <c r="S303">
        <v>26.5</v>
      </c>
      <c r="T303">
        <v>25</v>
      </c>
      <c r="U303">
        <v>2.3</v>
      </c>
      <c r="V303" t="inlineStr">
        <is>
          <t>3.7</t>
        </is>
      </c>
      <c r="W303" t="inlineStr">
        <is>
          <t>3.7</t>
        </is>
      </c>
      <c r="X303" t="inlineStr">
        <is>
          <t>海运</t>
        </is>
      </c>
      <c r="Y303">
        <v>6.084</v>
      </c>
      <c r="Z303">
        <v>6</v>
      </c>
      <c r="AA303" t="inlineStr">
        <is>
          <t>9.687</t>
        </is>
      </c>
      <c r="AB303" t="inlineStr">
        <is>
          <t>32.30%</t>
        </is>
      </c>
      <c r="AC303"/>
      <c r="AD303" t="inlineStr">
        <is>
          <t>9.80%</t>
        </is>
      </c>
      <c r="AE303" t="inlineStr">
        <is>
          <t>0.00%</t>
        </is>
      </c>
      <c r="AF303" t="inlineStr">
        <is>
          <t>2.22%</t>
        </is>
      </c>
      <c r="AG303">
        <v>0.15</v>
      </c>
      <c r="AH303" t="inlineStr">
        <is>
          <t>16.67%</t>
        </is>
      </c>
      <c r="AI303">
        <v>0.02</v>
      </c>
      <c r="AJ303">
        <v>0.05</v>
      </c>
    </row>
    <row r="304" ht="25.5" customHeight="1">
      <c r="A304" t="inlineStr">
        <is>
          <t>暴力风扇-（15%）coupon</t>
        </is>
      </c>
      <c r="B304">
        <v>9</v>
      </c>
      <c r="C304" t="inlineStr">
        <is>
          <t>英国</t>
        </is>
      </c>
      <c r="D304" t="inlineStr">
        <is>
          <t>UK</t>
        </is>
      </c>
      <c r="E304" t="inlineStr">
        <is>
          <t>有</t>
        </is>
      </c>
      <c r="F304" t="inlineStr">
        <is>
          <t>5.6</t>
        </is>
      </c>
      <c r="G304" t="inlineStr">
        <is>
          <t>8.8</t>
        </is>
      </c>
      <c r="H304"/>
      <c r="I304"/>
      <c r="J304">
        <v>2.94</v>
      </c>
      <c r="K304">
        <v>0.15</v>
      </c>
      <c r="L304">
        <v>0.16</v>
      </c>
      <c r="M304">
        <v>0.05</v>
      </c>
      <c r="N304"/>
      <c r="O304" t="inlineStr">
        <is>
          <t>0.0100</t>
        </is>
      </c>
      <c r="P304" t="inlineStr">
        <is>
          <t>0.0200</t>
        </is>
      </c>
      <c r="Q304">
        <v>5</v>
      </c>
      <c r="R304">
        <v>33.5</v>
      </c>
      <c r="S304">
        <v>26.5</v>
      </c>
      <c r="T304">
        <v>25</v>
      </c>
      <c r="U304">
        <v>2.3</v>
      </c>
      <c r="V304" t="inlineStr">
        <is>
          <t>3.7</t>
        </is>
      </c>
      <c r="W304" t="inlineStr">
        <is>
          <t>3.7</t>
        </is>
      </c>
      <c r="X304" t="inlineStr">
        <is>
          <t>海运</t>
        </is>
      </c>
      <c r="Y304">
        <v>6.084</v>
      </c>
      <c r="Z304">
        <v>6</v>
      </c>
      <c r="AA304" t="inlineStr">
        <is>
          <t>-3.607</t>
        </is>
      </c>
      <c r="AB304"/>
      <c r="AC304"/>
      <c r="AD304"/>
      <c r="AE304"/>
      <c r="AF304"/>
      <c r="AG304">
        <v>0.15</v>
      </c>
      <c r="AH304"/>
      <c r="AI304">
        <v>0.02</v>
      </c>
      <c r="AJ304">
        <v>0.05</v>
      </c>
    </row>
    <row r="305" ht="25.5" customHeight="1">
      <c r="A305"/>
      <c r="B305"/>
      <c r="C305"/>
      <c r="D305"/>
      <c r="E305"/>
      <c r="F305"/>
      <c r="G305"/>
      <c r="H305"/>
      <c r="I305"/>
      <c r="J305"/>
      <c r="K305"/>
      <c r="L305"/>
      <c r="M305"/>
      <c r="N305"/>
      <c r="O305" t="inlineStr">
        <is>
          <t>0.0100</t>
        </is>
      </c>
      <c r="P305" t="inlineStr">
        <is>
          <t>0.0200</t>
        </is>
      </c>
      <c r="Q305"/>
      <c r="R305"/>
      <c r="S305"/>
      <c r="T305"/>
      <c r="U305"/>
      <c r="V305" t="inlineStr">
        <is>
          <t>0.0</t>
        </is>
      </c>
      <c r="W305" t="inlineStr">
        <is>
          <t>0.0</t>
        </is>
      </c>
      <c r="X305"/>
      <c r="Y305"/>
      <c r="Z305"/>
      <c r="AA305"/>
      <c r="AB305"/>
      <c r="AC305"/>
      <c r="AD305"/>
      <c r="AE305"/>
      <c r="AF305"/>
      <c r="AG305"/>
      <c r="AH305"/>
      <c r="AI305"/>
      <c r="AJ305"/>
    </row>
    <row r="306" ht="25.5" customHeight="1">
      <c r="A306"/>
      <c r="B306"/>
      <c r="C306"/>
      <c r="D306"/>
      <c r="E306"/>
      <c r="F306"/>
      <c r="G306"/>
      <c r="H306"/>
      <c r="I306"/>
      <c r="J306"/>
      <c r="K306"/>
      <c r="L306"/>
      <c r="M306"/>
      <c r="N306"/>
      <c r="O306" t="inlineStr">
        <is>
          <t>0.0100</t>
        </is>
      </c>
      <c r="P306" t="inlineStr">
        <is>
          <t>0.0200</t>
        </is>
      </c>
      <c r="Q306"/>
      <c r="R306"/>
      <c r="S306"/>
      <c r="T306"/>
      <c r="U306"/>
      <c r="V306" t="inlineStr">
        <is>
          <t>0.0</t>
        </is>
      </c>
      <c r="W306" t="inlineStr">
        <is>
          <t>0.0</t>
        </is>
      </c>
      <c r="X306"/>
      <c r="Y306"/>
      <c r="Z306"/>
      <c r="AA306"/>
      <c r="AB306"/>
      <c r="AC306"/>
      <c r="AD306"/>
      <c r="AE306"/>
      <c r="AF306"/>
      <c r="AG306"/>
      <c r="AH306"/>
      <c r="AI306"/>
      <c r="AJ306"/>
    </row>
  </sheetData>
  <dataValidations count="3">
    <dataValidation allowBlank="false" sqref="C2:C305" type="list">
      <formula1>"德国,法国,意大利,西班牙,英国,美国"</formula1>
    </dataValidation>
    <dataValidation allowBlank="false" sqref="D2:D305" type="list">
      <formula1>"DE,FR,IT,ES,UK,US"</formula1>
    </dataValidation>
    <dataValidation allowBlank="false" sqref="E2:E305" type="list">
      <formula1>"有,无"</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s>
  <sheetData>
    <row r="1" ht="13" customHeight="1">
      <c r="A1" s="1" t="inlineStr">
        <is>
          <t>站点</t>
        </is>
      </c>
      <c r="B1" s="1" t="inlineStr">
        <is>
          <t>SKU</t>
        </is>
      </c>
      <c r="C1" s="1" t="inlineStr">
        <is>
          <t>ASIN</t>
        </is>
      </c>
      <c r="D1" s="1" t="inlineStr">
        <is>
          <t>产品名称</t>
        </is>
      </c>
      <c r="E1" s="1" t="inlineStr">
        <is>
          <t>PO售价
外币</t>
        </is>
      </c>
      <c r="F1" s="1" t="inlineStr">
        <is>
          <t>建议售价(含税)
亚马逊售价-外币</t>
        </is>
      </c>
      <c r="G1" s="1" t="inlineStr">
        <is>
          <t>成交价
(含税）</t>
        </is>
      </c>
      <c r="H1" s="1" t="inlineStr">
        <is>
          <t>成交价
(不含税）</t>
        </is>
      </c>
      <c r="I1" s="1" t="inlineStr">
        <is>
          <t>毛利
外币</t>
        </is>
      </c>
      <c r="J1" s="1" t="inlineStr">
        <is>
          <t>毛利率</t>
        </is>
      </c>
      <c r="K1" s="1" t="inlineStr">
        <is>
          <t>建议售价
不含税外币</t>
        </is>
      </c>
      <c r="L1" s="1" t="inlineStr">
        <is>
          <t>Profit Margin (%)</t>
        </is>
      </c>
      <c r="M1" s="1" t="inlineStr">
        <is>
          <t>亚马逊毛利
外币</t>
        </is>
      </c>
      <c r="N1" s="1" t="inlineStr">
        <is>
          <t>成本</t>
        </is>
      </c>
      <c r="O1" s="1" t="inlineStr">
        <is>
          <t>二程外币</t>
        </is>
      </c>
      <c r="P1" s="1" t="inlineStr">
        <is>
          <t>装箱数</t>
        </is>
      </c>
      <c r="Q1" s="1" t="inlineStr">
        <is>
          <t>汇率</t>
        </is>
      </c>
      <c r="R1" s="1" t="inlineStr">
        <is>
          <t>广告
占比</t>
        </is>
      </c>
      <c r="S1" s="1" t="inlineStr">
        <is>
          <t>前台广告
占比</t>
        </is>
      </c>
      <c r="T1" s="1" t="inlineStr">
        <is>
          <t>促销
占比</t>
        </is>
      </c>
      <c r="U1" s="1" t="inlineStr">
        <is>
          <t>其他
占比</t>
        </is>
      </c>
      <c r="V1" s="1" t="inlineStr">
        <is>
          <t>成本
占比</t>
        </is>
      </c>
      <c r="W1" s="1" t="inlineStr">
        <is>
          <t>尾程
占比</t>
        </is>
      </c>
      <c r="X1" s="1" t="inlineStr">
        <is>
          <t>佣金
占比</t>
        </is>
      </c>
      <c r="Y1" s="1" t="inlineStr">
        <is>
          <t>广告
外币</t>
        </is>
      </c>
      <c r="Z1" s="1" t="inlineStr">
        <is>
          <t>促销
外币</t>
        </is>
      </c>
      <c r="AA1" s="1" t="inlineStr">
        <is>
          <t>其它
外币</t>
        </is>
      </c>
      <c r="AB1" s="1" t="inlineStr">
        <is>
          <t>佣金
外币</t>
        </is>
      </c>
      <c r="AC1" s="1" t="inlineStr">
        <is>
          <t>采购成本
 ¥含税</t>
        </is>
      </c>
      <c r="AD1" s="1" t="inlineStr">
        <is>
          <t>采购成本
 ¥不含税</t>
        </is>
      </c>
      <c r="AE1" s="1" t="inlineStr">
        <is>
          <t>头程
外币</t>
        </is>
      </c>
      <c r="AF1" s="1" t="inlineStr">
        <is>
          <t>采购占比</t>
        </is>
      </c>
      <c r="AG1" s="1" t="inlineStr">
        <is>
          <t>头程占比</t>
        </is>
      </c>
      <c r="AH1" s="1" t="inlineStr">
        <is>
          <t>头程 
RMB</t>
        </is>
      </c>
      <c r="AI1" s="1" t="inlineStr">
        <is>
          <t>NET PPM</t>
        </is>
      </c>
      <c r="AJ1" s="1" t="inlineStr">
        <is>
          <t>2025年
3月</t>
        </is>
      </c>
      <c r="AK1" s="1" t="inlineStr">
        <is>
          <t>4月（2）</t>
        </is>
      </c>
      <c r="AL1" s="1" t="inlineStr">
        <is>
          <t>5月（2）</t>
        </is>
      </c>
      <c r="AM1" s="1" t="inlineStr">
        <is>
          <t>6月（2）</t>
        </is>
      </c>
      <c r="AN1" s="1" t="inlineStr">
        <is>
          <t>7月（2）</t>
        </is>
      </c>
      <c r="AO1" s="1" t="inlineStr">
        <is>
          <t>8月</t>
        </is>
      </c>
      <c r="AP1" s="1" t="inlineStr">
        <is>
          <t>9月（2）</t>
        </is>
      </c>
      <c r="AQ1" s="1" t="inlineStr">
        <is>
          <t>10月（2）</t>
        </is>
      </c>
      <c r="AR1" s="1" t="inlineStr">
        <is>
          <t>11月（2）</t>
        </is>
      </c>
      <c r="AS1" s="1" t="inlineStr">
        <is>
          <t>12月（1）</t>
        </is>
      </c>
      <c r="AT1" s="1" t="inlineStr">
        <is>
          <t>24年
1月</t>
        </is>
      </c>
      <c r="AU1" s="1" t="inlineStr">
        <is>
          <t>2月</t>
        </is>
      </c>
      <c r="AV1" s="1" t="inlineStr">
        <is>
          <t>3月</t>
        </is>
      </c>
      <c r="AW1" s="1" t="inlineStr">
        <is>
          <t>4月（1）</t>
        </is>
      </c>
      <c r="AX1" s="1" t="inlineStr">
        <is>
          <t>5月（1）</t>
        </is>
      </c>
      <c r="AY1" s="1" t="inlineStr">
        <is>
          <t>6月（1）</t>
        </is>
      </c>
      <c r="AZ1" s="1" t="inlineStr">
        <is>
          <t>7月（1）</t>
        </is>
      </c>
      <c r="BA1" s="1" t="inlineStr">
        <is>
          <t>8月（2）</t>
        </is>
      </c>
      <c r="BB1" s="1" t="inlineStr">
        <is>
          <t>9月（1）</t>
        </is>
      </c>
      <c r="BC1" s="1" t="inlineStr">
        <is>
          <t>10月（1）</t>
        </is>
      </c>
      <c r="BD1" s="1" t="inlineStr">
        <is>
          <t>11月（1）</t>
        </is>
      </c>
      <c r="BE1" s="1" t="inlineStr">
        <is>
          <t>12月</t>
        </is>
      </c>
      <c r="BF1" s="1" t="inlineStr">
        <is>
          <t>25年
1月</t>
        </is>
      </c>
      <c r="BG1" s="1" t="inlineStr">
        <is>
          <t>2月（1）</t>
        </is>
      </c>
      <c r="BH1" s="1" t="inlineStr">
        <is>
          <t>3月（1）</t>
        </is>
      </c>
      <c r="BI1" s="1" t="inlineStr">
        <is>
          <t>4月</t>
        </is>
      </c>
      <c r="BJ1" s="1" t="inlineStr">
        <is>
          <t>5月</t>
        </is>
      </c>
      <c r="BK1" s="1" t="inlineStr">
        <is>
          <t>6月</t>
        </is>
      </c>
      <c r="BL1" s="1" t="inlineStr">
        <is>
          <t>7月</t>
        </is>
      </c>
      <c r="BM1" s="1" t="inlineStr">
        <is>
          <t>8月（1）</t>
        </is>
      </c>
      <c r="BN1" s="1" t="inlineStr">
        <is>
          <t>9月</t>
        </is>
      </c>
      <c r="BO1" s="1" t="inlineStr">
        <is>
          <t>10月</t>
        </is>
      </c>
      <c r="BP1" s="1" t="inlineStr">
        <is>
          <t>11月</t>
        </is>
      </c>
      <c r="BQ1" s="1" t="inlineStr">
        <is>
          <t>12月（2）</t>
        </is>
      </c>
      <c r="BR1" s="1" t="inlineStr">
        <is>
          <t>PO价
监控</t>
        </is>
      </c>
      <c r="BS1" s="1" t="inlineStr">
        <is>
          <t>运营</t>
        </is>
      </c>
    </row>
    <row r="2" ht="25.5" customHeight="1">
      <c r="A2" t="inlineStr">
        <is>
          <t>UK</t>
        </is>
      </c>
      <c r="B2" t="inlineStr">
        <is>
          <t>R0001UK</t>
        </is>
      </c>
      <c r="C2" t="inlineStr">
        <is>
          <t>asin001</t>
        </is>
      </c>
      <c r="D2" t="inlineStr">
        <is>
          <t>XXX仪（coupon-0%）</t>
        </is>
      </c>
      <c r="E2">
        <v>48.3</v>
      </c>
      <c r="F2">
        <v>69.99</v>
      </c>
      <c r="G2"/>
      <c r="H2"/>
      <c r="I2"/>
      <c r="J2"/>
      <c r="K2"/>
      <c r="L2"/>
      <c r="M2"/>
      <c r="N2"/>
      <c r="O2"/>
      <c r="P2">
        <v>4</v>
      </c>
      <c r="Q2">
        <v>9</v>
      </c>
      <c r="R2"/>
      <c r="S2"/>
      <c r="T2"/>
      <c r="U2">
        <v>0.01</v>
      </c>
      <c r="V2"/>
      <c r="W2"/>
      <c r="X2">
        <v>0.178</v>
      </c>
      <c r="Y2">
        <v>8</v>
      </c>
      <c r="Z2"/>
      <c r="AA2"/>
      <c r="AB2"/>
      <c r="AC2">
        <v>138.5</v>
      </c>
      <c r="AD2"/>
      <c r="AE2"/>
      <c r="AF2"/>
      <c r="AG2"/>
      <c r="AH2">
        <v>20</v>
      </c>
      <c r="AI2"/>
      <c r="AJ2"/>
      <c r="AK2"/>
      <c r="AL2"/>
      <c r="AM2"/>
      <c r="AN2"/>
      <c r="AO2"/>
      <c r="AP2"/>
      <c r="AQ2"/>
      <c r="AR2"/>
      <c r="AS2"/>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c r="BS2" t="inlineStr">
        <is>
          <t>#VALUE!</t>
        </is>
      </c>
    </row>
    <row r="3" ht="25.5" customHeight="1">
      <c r="A3" t="inlineStr">
        <is>
          <t>UK</t>
        </is>
      </c>
      <c r="B3" t="inlineStr">
        <is>
          <t>R0001UK</t>
        </is>
      </c>
      <c r="C3" t="inlineStr">
        <is>
          <t>asin001</t>
        </is>
      </c>
      <c r="D3" t="inlineStr">
        <is>
          <t>XXX仪（coupon-5%）</t>
        </is>
      </c>
      <c r="E3">
        <v>48.3</v>
      </c>
      <c r="F3">
        <v>69.99</v>
      </c>
      <c r="G3"/>
      <c r="H3"/>
      <c r="I3"/>
      <c r="J3"/>
      <c r="K3"/>
      <c r="L3"/>
      <c r="M3"/>
      <c r="N3"/>
      <c r="O3"/>
      <c r="P3">
        <v>4</v>
      </c>
      <c r="Q3">
        <v>9</v>
      </c>
      <c r="R3"/>
      <c r="S3"/>
      <c r="T3"/>
      <c r="U3">
        <v>0.01</v>
      </c>
      <c r="V3"/>
      <c r="W3"/>
      <c r="X3">
        <v>0.178</v>
      </c>
      <c r="Y3">
        <v>8</v>
      </c>
      <c r="Z3"/>
      <c r="AA3"/>
      <c r="AB3"/>
      <c r="AC3">
        <v>138.5</v>
      </c>
      <c r="AD3"/>
      <c r="AE3"/>
      <c r="AF3"/>
      <c r="AG3"/>
      <c r="AH3">
        <v>20</v>
      </c>
      <c r="AI3"/>
      <c r="AJ3"/>
      <c r="AK3"/>
      <c r="AL3"/>
      <c r="AM3"/>
      <c r="AN3"/>
      <c r="AO3"/>
      <c r="AP3"/>
      <c r="AQ3"/>
      <c r="AR3"/>
      <c r="AS3"/>
      <c r="AT3" t="inlineStr">
        <is>
          <t>☆</t>
        </is>
      </c>
      <c r="AU3" t="inlineStr">
        <is>
          <t>☆</t>
        </is>
      </c>
      <c r="AV3" t="inlineStr">
        <is>
          <t>☆</t>
        </is>
      </c>
      <c r="AW3" t="inlineStr">
        <is>
          <t>☆</t>
        </is>
      </c>
      <c r="AX3" t="inlineStr">
        <is>
          <t>☆</t>
        </is>
      </c>
      <c r="AY3" t="inlineStr">
        <is>
          <t>☆</t>
        </is>
      </c>
      <c r="AZ3" t="inlineStr">
        <is>
          <t>☆</t>
        </is>
      </c>
      <c r="BA3" t="inlineStr">
        <is>
          <t>☆</t>
        </is>
      </c>
      <c r="BB3" t="inlineStr">
        <is>
          <t>☆</t>
        </is>
      </c>
      <c r="BC3" t="inlineStr">
        <is>
          <t>☆</t>
        </is>
      </c>
      <c r="BD3" t="inlineStr">
        <is>
          <t>☆</t>
        </is>
      </c>
      <c r="BE3" t="inlineStr">
        <is>
          <t>☆</t>
        </is>
      </c>
      <c r="BF3" t="inlineStr">
        <is>
          <t>☆</t>
        </is>
      </c>
      <c r="BG3" t="inlineStr">
        <is>
          <t>☆</t>
        </is>
      </c>
      <c r="BH3" t="inlineStr">
        <is>
          <t>☆</t>
        </is>
      </c>
      <c r="BI3" t="inlineStr">
        <is>
          <t>☆</t>
        </is>
      </c>
      <c r="BJ3" t="inlineStr">
        <is>
          <t>☆</t>
        </is>
      </c>
      <c r="BK3" t="inlineStr">
        <is>
          <t>☆</t>
        </is>
      </c>
      <c r="BL3" t="inlineStr">
        <is>
          <t>☆</t>
        </is>
      </c>
      <c r="BM3" t="inlineStr">
        <is>
          <t>☆</t>
        </is>
      </c>
      <c r="BN3" t="inlineStr">
        <is>
          <t>☆</t>
        </is>
      </c>
      <c r="BO3" t="inlineStr">
        <is>
          <t>☆</t>
        </is>
      </c>
      <c r="BP3" t="inlineStr">
        <is>
          <t>☆</t>
        </is>
      </c>
      <c r="BQ3" t="inlineStr">
        <is>
          <t>☆</t>
        </is>
      </c>
      <c r="BR3"/>
      <c r="BS3" t="inlineStr">
        <is>
          <t>#VALUE!</t>
        </is>
      </c>
    </row>
    <row r="4" ht="25.5" customHeight="1">
      <c r="A4" t="inlineStr">
        <is>
          <t>UK</t>
        </is>
      </c>
      <c r="B4" t="inlineStr">
        <is>
          <t>R0001UK</t>
        </is>
      </c>
      <c r="C4" t="inlineStr">
        <is>
          <t>asin001</t>
        </is>
      </c>
      <c r="D4" t="inlineStr">
        <is>
          <t>XXX仪（coupon-10%）</t>
        </is>
      </c>
      <c r="E4">
        <v>48.3</v>
      </c>
      <c r="F4">
        <v>69.99</v>
      </c>
      <c r="G4"/>
      <c r="H4"/>
      <c r="I4"/>
      <c r="J4"/>
      <c r="K4"/>
      <c r="L4"/>
      <c r="M4"/>
      <c r="N4"/>
      <c r="O4"/>
      <c r="P4">
        <v>4</v>
      </c>
      <c r="Q4">
        <v>9</v>
      </c>
      <c r="R4"/>
      <c r="S4"/>
      <c r="T4"/>
      <c r="U4">
        <v>0.01</v>
      </c>
      <c r="V4"/>
      <c r="W4"/>
      <c r="X4">
        <v>0.178</v>
      </c>
      <c r="Y4">
        <v>8</v>
      </c>
      <c r="Z4">
        <v>8.75</v>
      </c>
      <c r="AA4"/>
      <c r="AB4"/>
      <c r="AC4">
        <v>138.5</v>
      </c>
      <c r="AD4"/>
      <c r="AE4"/>
      <c r="AF4"/>
      <c r="AG4"/>
      <c r="AH4">
        <v>20</v>
      </c>
      <c r="AI4"/>
      <c r="AJ4"/>
      <c r="AK4"/>
      <c r="AL4"/>
      <c r="AM4"/>
      <c r="AN4"/>
      <c r="AO4"/>
      <c r="AP4"/>
      <c r="AQ4"/>
      <c r="AR4"/>
      <c r="AS4"/>
      <c r="AT4" t="inlineStr">
        <is>
          <t>☆</t>
        </is>
      </c>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t>
        </is>
      </c>
      <c r="BJ4" t="inlineStr">
        <is>
          <t>☆</t>
        </is>
      </c>
      <c r="BK4" t="inlineStr">
        <is>
          <t>☆</t>
        </is>
      </c>
      <c r="BL4" t="inlineStr">
        <is>
          <t>☆</t>
        </is>
      </c>
      <c r="BM4" t="inlineStr">
        <is>
          <t>☆</t>
        </is>
      </c>
      <c r="BN4" t="inlineStr">
        <is>
          <t>☆</t>
        </is>
      </c>
      <c r="BO4" t="inlineStr">
        <is>
          <t>☆</t>
        </is>
      </c>
      <c r="BP4" t="inlineStr">
        <is>
          <t>☆</t>
        </is>
      </c>
      <c r="BQ4" t="inlineStr">
        <is>
          <t>☆</t>
        </is>
      </c>
      <c r="BR4"/>
      <c r="BS4" t="inlineStr">
        <is>
          <t>#VALUE!</t>
        </is>
      </c>
    </row>
    <row r="5" ht="25.5" customHeight="1">
      <c r="A5" t="inlineStr">
        <is>
          <t>UK</t>
        </is>
      </c>
      <c r="B5" t="inlineStr">
        <is>
          <t>R0001UK</t>
        </is>
      </c>
      <c r="C5" t="inlineStr">
        <is>
          <t>asin001</t>
        </is>
      </c>
      <c r="D5" t="inlineStr">
        <is>
          <t>XXX仪（coupon-15%）</t>
        </is>
      </c>
      <c r="E5">
        <v>48.3</v>
      </c>
      <c r="F5">
        <v>69.99</v>
      </c>
      <c r="G5"/>
      <c r="H5"/>
      <c r="I5"/>
      <c r="J5"/>
      <c r="K5"/>
      <c r="L5"/>
      <c r="M5"/>
      <c r="N5"/>
      <c r="O5"/>
      <c r="P5">
        <v>4</v>
      </c>
      <c r="Q5">
        <v>9</v>
      </c>
      <c r="R5"/>
      <c r="S5"/>
      <c r="T5"/>
      <c r="U5">
        <v>0.01</v>
      </c>
      <c r="V5"/>
      <c r="W5"/>
      <c r="X5">
        <v>0.178</v>
      </c>
      <c r="Y5">
        <v>8</v>
      </c>
      <c r="Z5"/>
      <c r="AA5"/>
      <c r="AB5"/>
      <c r="AC5">
        <v>138.5</v>
      </c>
      <c r="AD5"/>
      <c r="AE5"/>
      <c r="AF5"/>
      <c r="AG5"/>
      <c r="AH5">
        <v>20</v>
      </c>
      <c r="AI5"/>
      <c r="AJ5"/>
      <c r="AK5"/>
      <c r="AL5"/>
      <c r="AM5"/>
      <c r="AN5"/>
      <c r="AO5"/>
      <c r="AP5"/>
      <c r="AQ5"/>
      <c r="AR5"/>
      <c r="AS5"/>
      <c r="AT5" t="inlineStr">
        <is>
          <t>☆</t>
        </is>
      </c>
      <c r="AU5" t="inlineStr">
        <is>
          <t>☆</t>
        </is>
      </c>
      <c r="AV5" t="inlineStr">
        <is>
          <t>☆</t>
        </is>
      </c>
      <c r="AW5" t="inlineStr">
        <is>
          <t>☆</t>
        </is>
      </c>
      <c r="AX5" t="inlineStr">
        <is>
          <t>☆</t>
        </is>
      </c>
      <c r="AY5" t="inlineStr">
        <is>
          <t>☆</t>
        </is>
      </c>
      <c r="AZ5" t="inlineStr">
        <is>
          <t>☆</t>
        </is>
      </c>
      <c r="BA5" t="inlineStr">
        <is>
          <t>☆</t>
        </is>
      </c>
      <c r="BB5" t="inlineStr">
        <is>
          <t>☆</t>
        </is>
      </c>
      <c r="BC5" t="inlineStr">
        <is>
          <t>☆</t>
        </is>
      </c>
      <c r="BD5" t="inlineStr">
        <is>
          <t>☆</t>
        </is>
      </c>
      <c r="BE5" t="inlineStr">
        <is>
          <t>☆</t>
        </is>
      </c>
      <c r="BF5" t="inlineStr">
        <is>
          <t>☆</t>
        </is>
      </c>
      <c r="BG5" t="inlineStr">
        <is>
          <t>☆</t>
        </is>
      </c>
      <c r="BH5" t="inlineStr">
        <is>
          <t>☆</t>
        </is>
      </c>
      <c r="BI5" t="inlineStr">
        <is>
          <t>☆</t>
        </is>
      </c>
      <c r="BJ5" t="inlineStr">
        <is>
          <t>☆</t>
        </is>
      </c>
      <c r="BK5" t="inlineStr">
        <is>
          <t>☆</t>
        </is>
      </c>
      <c r="BL5" t="inlineStr">
        <is>
          <t>☆</t>
        </is>
      </c>
      <c r="BM5" t="inlineStr">
        <is>
          <t>☆</t>
        </is>
      </c>
      <c r="BN5" t="inlineStr">
        <is>
          <t>☆</t>
        </is>
      </c>
      <c r="BO5" t="inlineStr">
        <is>
          <t>☆</t>
        </is>
      </c>
      <c r="BP5" t="inlineStr">
        <is>
          <t>☆</t>
        </is>
      </c>
      <c r="BQ5" t="inlineStr">
        <is>
          <t>☆</t>
        </is>
      </c>
      <c r="BR5"/>
      <c r="BS5" t="inlineStr">
        <is>
          <t>#VALUE!</t>
        </is>
      </c>
    </row>
    <row r="6" ht="25.5" customHeight="1">
      <c r="A6" t="inlineStr">
        <is>
          <t>DE</t>
        </is>
      </c>
      <c r="B6" t="inlineStr">
        <is>
          <t>R0001EU</t>
        </is>
      </c>
      <c r="C6" t="inlineStr">
        <is>
          <t>asin001</t>
        </is>
      </c>
      <c r="D6" t="inlineStr">
        <is>
          <t>XXX仪（coupon-0%）</t>
        </is>
      </c>
      <c r="E6">
        <v>53.3</v>
      </c>
      <c r="F6">
        <v>76.99</v>
      </c>
      <c r="G6"/>
      <c r="H6"/>
      <c r="I6"/>
      <c r="J6"/>
      <c r="K6"/>
      <c r="L6"/>
      <c r="M6"/>
      <c r="N6"/>
      <c r="O6"/>
      <c r="P6">
        <v>4</v>
      </c>
      <c r="Q6">
        <v>8</v>
      </c>
      <c r="R6"/>
      <c r="S6"/>
      <c r="T6"/>
      <c r="U6">
        <v>0.01</v>
      </c>
      <c r="V6"/>
      <c r="W6"/>
      <c r="X6">
        <v>0.188</v>
      </c>
      <c r="Y6">
        <v>8</v>
      </c>
      <c r="Z6">
        <v>0</v>
      </c>
      <c r="AA6"/>
      <c r="AB6"/>
      <c r="AC6">
        <v>138.5</v>
      </c>
      <c r="AD6"/>
      <c r="AE6"/>
      <c r="AF6"/>
      <c r="AG6"/>
      <c r="AH6">
        <v>20</v>
      </c>
      <c r="AI6"/>
      <c r="AJ6"/>
      <c r="AK6"/>
      <c r="AL6"/>
      <c r="AM6"/>
      <c r="AN6"/>
      <c r="AO6"/>
      <c r="AP6"/>
      <c r="AQ6"/>
      <c r="AR6"/>
      <c r="AS6"/>
      <c r="AT6" t="inlineStr">
        <is>
          <t>☆</t>
        </is>
      </c>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c r="BS6" t="inlineStr">
        <is>
          <t>#VALUE!</t>
        </is>
      </c>
    </row>
    <row r="7" ht="25.5" customHeight="1">
      <c r="A7" t="inlineStr">
        <is>
          <t>DE</t>
        </is>
      </c>
      <c r="B7" t="inlineStr">
        <is>
          <t>R0001EU</t>
        </is>
      </c>
      <c r="C7" t="inlineStr">
        <is>
          <t>asin001</t>
        </is>
      </c>
      <c r="D7" t="inlineStr">
        <is>
          <t>XXX仪（coupon-5%）</t>
        </is>
      </c>
      <c r="E7">
        <v>55.85</v>
      </c>
      <c r="F7">
        <v>79.99</v>
      </c>
      <c r="G7"/>
      <c r="H7"/>
      <c r="I7"/>
      <c r="J7"/>
      <c r="K7"/>
      <c r="L7"/>
      <c r="M7"/>
      <c r="N7"/>
      <c r="O7"/>
      <c r="P7">
        <v>4</v>
      </c>
      <c r="Q7">
        <v>8</v>
      </c>
      <c r="R7"/>
      <c r="S7"/>
      <c r="T7"/>
      <c r="U7">
        <v>0.01</v>
      </c>
      <c r="V7"/>
      <c r="W7"/>
      <c r="X7">
        <v>0.188</v>
      </c>
      <c r="Y7">
        <v>8</v>
      </c>
      <c r="Z7"/>
      <c r="AA7"/>
      <c r="AB7"/>
      <c r="AC7">
        <v>138.5</v>
      </c>
      <c r="AD7"/>
      <c r="AE7"/>
      <c r="AF7"/>
      <c r="AG7"/>
      <c r="AH7">
        <v>20</v>
      </c>
      <c r="AI7"/>
      <c r="AJ7"/>
      <c r="AK7"/>
      <c r="AL7"/>
      <c r="AM7"/>
      <c r="AN7"/>
      <c r="AO7"/>
      <c r="AP7"/>
      <c r="AQ7"/>
      <c r="AR7"/>
      <c r="AS7"/>
      <c r="AT7" t="inlineStr">
        <is>
          <t>☆</t>
        </is>
      </c>
      <c r="AU7" t="inlineStr">
        <is>
          <t>☆</t>
        </is>
      </c>
      <c r="AV7" t="inlineStr">
        <is>
          <t>☆</t>
        </is>
      </c>
      <c r="AW7" t="inlineStr">
        <is>
          <t>☆</t>
        </is>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t>
        </is>
      </c>
      <c r="BJ7" t="inlineStr">
        <is>
          <t>☆</t>
        </is>
      </c>
      <c r="BK7" t="inlineStr">
        <is>
          <t>☆</t>
        </is>
      </c>
      <c r="BL7" t="inlineStr">
        <is>
          <t>☆</t>
        </is>
      </c>
      <c r="BM7" t="inlineStr">
        <is>
          <t>☆</t>
        </is>
      </c>
      <c r="BN7" t="inlineStr">
        <is>
          <t>☆</t>
        </is>
      </c>
      <c r="BO7" t="inlineStr">
        <is>
          <t>☆</t>
        </is>
      </c>
      <c r="BP7" t="inlineStr">
        <is>
          <t>☆</t>
        </is>
      </c>
      <c r="BQ7" t="inlineStr">
        <is>
          <t>☆</t>
        </is>
      </c>
      <c r="BR7"/>
      <c r="BS7" t="inlineStr">
        <is>
          <t>#VALUE!</t>
        </is>
      </c>
    </row>
    <row r="8" ht="25.5" customHeight="1">
      <c r="A8" t="inlineStr">
        <is>
          <t>DE</t>
        </is>
      </c>
      <c r="B8" t="inlineStr">
        <is>
          <t>R0001EU</t>
        </is>
      </c>
      <c r="C8" t="inlineStr">
        <is>
          <t>asin001</t>
        </is>
      </c>
      <c r="D8" t="inlineStr">
        <is>
          <t>XXX仪（coupon-10%）</t>
        </is>
      </c>
      <c r="E8">
        <v>55.85</v>
      </c>
      <c r="F8">
        <v>79.99</v>
      </c>
      <c r="G8"/>
      <c r="H8"/>
      <c r="I8"/>
      <c r="J8"/>
      <c r="K8"/>
      <c r="L8"/>
      <c r="M8"/>
      <c r="N8"/>
      <c r="O8"/>
      <c r="P8">
        <v>4</v>
      </c>
      <c r="Q8">
        <v>8</v>
      </c>
      <c r="R8"/>
      <c r="S8"/>
      <c r="T8"/>
      <c r="U8">
        <v>0.01</v>
      </c>
      <c r="V8"/>
      <c r="W8"/>
      <c r="X8">
        <v>0.188</v>
      </c>
      <c r="Y8">
        <v>8</v>
      </c>
      <c r="Z8"/>
      <c r="AA8"/>
      <c r="AB8"/>
      <c r="AC8">
        <v>138.5</v>
      </c>
      <c r="AD8"/>
      <c r="AE8"/>
      <c r="AF8"/>
      <c r="AG8"/>
      <c r="AH8">
        <v>20</v>
      </c>
      <c r="AI8"/>
      <c r="AJ8"/>
      <c r="AK8"/>
      <c r="AL8"/>
      <c r="AM8"/>
      <c r="AN8"/>
      <c r="AO8"/>
      <c r="AP8"/>
      <c r="AQ8"/>
      <c r="AR8"/>
      <c r="AS8"/>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c r="BS8" t="inlineStr">
        <is>
          <t>#VALUE!</t>
        </is>
      </c>
    </row>
    <row r="9" ht="25.5" customHeight="1">
      <c r="A9" t="inlineStr">
        <is>
          <t>DE</t>
        </is>
      </c>
      <c r="B9" t="inlineStr">
        <is>
          <t>R0001EU</t>
        </is>
      </c>
      <c r="C9" t="inlineStr">
        <is>
          <t>asin001</t>
        </is>
      </c>
      <c r="D9" t="inlineStr">
        <is>
          <t>XXX仪（coupon-15%）</t>
        </is>
      </c>
      <c r="E9">
        <v>55.85</v>
      </c>
      <c r="F9">
        <v>79.99</v>
      </c>
      <c r="G9"/>
      <c r="H9"/>
      <c r="I9"/>
      <c r="J9"/>
      <c r="K9"/>
      <c r="L9"/>
      <c r="M9"/>
      <c r="N9"/>
      <c r="O9"/>
      <c r="P9">
        <v>4</v>
      </c>
      <c r="Q9">
        <v>8</v>
      </c>
      <c r="R9"/>
      <c r="S9"/>
      <c r="T9"/>
      <c r="U9">
        <v>0.01</v>
      </c>
      <c r="V9"/>
      <c r="W9"/>
      <c r="X9">
        <v>0.188</v>
      </c>
      <c r="Y9">
        <v>8</v>
      </c>
      <c r="Z9"/>
      <c r="AA9"/>
      <c r="AB9"/>
      <c r="AC9">
        <v>138.5</v>
      </c>
      <c r="AD9"/>
      <c r="AE9"/>
      <c r="AF9"/>
      <c r="AG9"/>
      <c r="AH9">
        <v>20</v>
      </c>
      <c r="AI9"/>
      <c r="AJ9"/>
      <c r="AK9"/>
      <c r="AL9"/>
      <c r="AM9"/>
      <c r="AN9"/>
      <c r="AO9"/>
      <c r="AP9"/>
      <c r="AQ9"/>
      <c r="AR9"/>
      <c r="AS9"/>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c r="BS9" t="inlineStr">
        <is>
          <t>#VALUE!</t>
        </is>
      </c>
    </row>
    <row r="10" ht="25.5" customHeight="1">
      <c r="A10" t="inlineStr">
        <is>
          <t>FR</t>
        </is>
      </c>
      <c r="B10" t="inlineStr">
        <is>
          <t>R0001EU</t>
        </is>
      </c>
      <c r="C10" t="inlineStr">
        <is>
          <t>asin001</t>
        </is>
      </c>
      <c r="D10" t="inlineStr">
        <is>
          <t>XXX仪（coupon-0%）</t>
        </is>
      </c>
      <c r="E10">
        <v>55.35</v>
      </c>
      <c r="F10">
        <v>79.99</v>
      </c>
      <c r="G10"/>
      <c r="H10"/>
      <c r="I10"/>
      <c r="J10"/>
      <c r="K10"/>
      <c r="L10"/>
      <c r="M10"/>
      <c r="N10"/>
      <c r="O10"/>
      <c r="P10">
        <v>4</v>
      </c>
      <c r="Q10">
        <v>8</v>
      </c>
      <c r="R10"/>
      <c r="S10"/>
      <c r="T10"/>
      <c r="U10">
        <v>0.01</v>
      </c>
      <c r="V10"/>
      <c r="W10"/>
      <c r="X10">
        <v>0.188</v>
      </c>
      <c r="Y10">
        <v>8</v>
      </c>
      <c r="Z10">
        <v>0</v>
      </c>
      <c r="AA10"/>
      <c r="AB10"/>
      <c r="AC10">
        <v>138.5</v>
      </c>
      <c r="AD10"/>
      <c r="AE10"/>
      <c r="AF10"/>
      <c r="AG10"/>
      <c r="AH10">
        <v>20</v>
      </c>
      <c r="AI10"/>
      <c r="AJ10"/>
      <c r="AK10"/>
      <c r="AL10"/>
      <c r="AM10"/>
      <c r="AN10"/>
      <c r="AO10"/>
      <c r="AP10"/>
      <c r="AQ10"/>
      <c r="AR10"/>
      <c r="AS10"/>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c r="BS10" t="inlineStr">
        <is>
          <t>#VALUE!</t>
        </is>
      </c>
    </row>
    <row r="11" ht="25.5" customHeight="1">
      <c r="A11" t="inlineStr">
        <is>
          <t>FR</t>
        </is>
      </c>
      <c r="B11" t="inlineStr">
        <is>
          <t>R0001EU</t>
        </is>
      </c>
      <c r="C11"/>
      <c r="D11" t="inlineStr">
        <is>
          <t>XXX仪（coupon-5%）</t>
        </is>
      </c>
      <c r="E11">
        <v>55.35</v>
      </c>
      <c r="F11">
        <v>79.99</v>
      </c>
      <c r="G11"/>
      <c r="H11"/>
      <c r="I11"/>
      <c r="J11"/>
      <c r="K11"/>
      <c r="L11"/>
      <c r="M11"/>
      <c r="N11"/>
      <c r="O11"/>
      <c r="P11">
        <v>4</v>
      </c>
      <c r="Q11">
        <v>8</v>
      </c>
      <c r="R11"/>
      <c r="S11"/>
      <c r="T11"/>
      <c r="U11">
        <v>0.01</v>
      </c>
      <c r="V11"/>
      <c r="W11"/>
      <c r="X11">
        <v>0.188</v>
      </c>
      <c r="Y11">
        <v>8</v>
      </c>
      <c r="Z11"/>
      <c r="AA11"/>
      <c r="AB11"/>
      <c r="AC11">
        <v>138.5</v>
      </c>
      <c r="AD11"/>
      <c r="AE11"/>
      <c r="AF11"/>
      <c r="AG11"/>
      <c r="AH11">
        <v>20</v>
      </c>
      <c r="AI11"/>
      <c r="AJ11"/>
      <c r="AK11"/>
      <c r="AL11"/>
      <c r="AM11"/>
      <c r="AN11"/>
      <c r="AO11"/>
      <c r="AP11"/>
      <c r="AQ11"/>
      <c r="AR11"/>
      <c r="AS11"/>
      <c r="AT11" t="inlineStr">
        <is>
          <t>☆</t>
        </is>
      </c>
      <c r="AU11" t="inlineStr">
        <is>
          <t>☆</t>
        </is>
      </c>
      <c r="AV11" t="inlineStr">
        <is>
          <t>☆</t>
        </is>
      </c>
      <c r="AW11" t="inlineStr">
        <is>
          <t>☆</t>
        </is>
      </c>
      <c r="AX11" t="inlineStr">
        <is>
          <t>☆</t>
        </is>
      </c>
      <c r="AY11" t="inlineStr">
        <is>
          <t>☆</t>
        </is>
      </c>
      <c r="AZ11" t="inlineStr">
        <is>
          <t>☆</t>
        </is>
      </c>
      <c r="BA11" t="inlineStr">
        <is>
          <t>☆</t>
        </is>
      </c>
      <c r="BB11" t="inlineStr">
        <is>
          <t>☆</t>
        </is>
      </c>
      <c r="BC11" t="inlineStr">
        <is>
          <t>☆</t>
        </is>
      </c>
      <c r="BD11" t="inlineStr">
        <is>
          <t>☆</t>
        </is>
      </c>
      <c r="BE11" t="inlineStr">
        <is>
          <t>☆</t>
        </is>
      </c>
      <c r="BF11" t="inlineStr">
        <is>
          <t>☆</t>
        </is>
      </c>
      <c r="BG11" t="inlineStr">
        <is>
          <t>☆</t>
        </is>
      </c>
      <c r="BH11" t="inlineStr">
        <is>
          <t>☆</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c r="BS11" t="inlineStr">
        <is>
          <t>#VALUE!</t>
        </is>
      </c>
    </row>
    <row r="12" ht="25.5" customHeight="1">
      <c r="A12" t="inlineStr">
        <is>
          <t>FR</t>
        </is>
      </c>
      <c r="B12" t="inlineStr">
        <is>
          <t>R0001EU</t>
        </is>
      </c>
      <c r="C12"/>
      <c r="D12" t="inlineStr">
        <is>
          <t>XXX仪（coupon-10%）</t>
        </is>
      </c>
      <c r="E12">
        <v>55.35</v>
      </c>
      <c r="F12">
        <v>79.99</v>
      </c>
      <c r="G12"/>
      <c r="H12"/>
      <c r="I12"/>
      <c r="J12"/>
      <c r="K12"/>
      <c r="L12"/>
      <c r="M12"/>
      <c r="N12"/>
      <c r="O12"/>
      <c r="P12">
        <v>4</v>
      </c>
      <c r="Q12">
        <v>8</v>
      </c>
      <c r="R12"/>
      <c r="S12"/>
      <c r="T12"/>
      <c r="U12">
        <v>0.01</v>
      </c>
      <c r="V12"/>
      <c r="W12"/>
      <c r="X12">
        <v>0.188</v>
      </c>
      <c r="Y12">
        <v>8</v>
      </c>
      <c r="Z12"/>
      <c r="AA12"/>
      <c r="AB12"/>
      <c r="AC12">
        <v>138.5</v>
      </c>
      <c r="AD12"/>
      <c r="AE12"/>
      <c r="AF12"/>
      <c r="AG12"/>
      <c r="AH12">
        <v>20</v>
      </c>
      <c r="AI12"/>
      <c r="AJ12"/>
      <c r="AK12"/>
      <c r="AL12"/>
      <c r="AM12"/>
      <c r="AN12"/>
      <c r="AO12"/>
      <c r="AP12"/>
      <c r="AQ12"/>
      <c r="AR12"/>
      <c r="AS12"/>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c r="BS12" t="inlineStr">
        <is>
          <t>#VALUE!</t>
        </is>
      </c>
    </row>
    <row r="13" ht="25.5" customHeight="1">
      <c r="A13" t="inlineStr">
        <is>
          <t>FR</t>
        </is>
      </c>
      <c r="B13" t="inlineStr">
        <is>
          <t>R0001EU</t>
        </is>
      </c>
      <c r="C13"/>
      <c r="D13" t="inlineStr">
        <is>
          <t>XXX仪（coupon-15%）</t>
        </is>
      </c>
      <c r="E13">
        <v>55.35</v>
      </c>
      <c r="F13">
        <v>79.99</v>
      </c>
      <c r="G13"/>
      <c r="H13"/>
      <c r="I13"/>
      <c r="J13"/>
      <c r="K13"/>
      <c r="L13"/>
      <c r="M13"/>
      <c r="N13"/>
      <c r="O13"/>
      <c r="P13">
        <v>4</v>
      </c>
      <c r="Q13">
        <v>8</v>
      </c>
      <c r="R13"/>
      <c r="S13"/>
      <c r="T13"/>
      <c r="U13">
        <v>0.01</v>
      </c>
      <c r="V13"/>
      <c r="W13"/>
      <c r="X13">
        <v>0.188</v>
      </c>
      <c r="Y13">
        <v>8</v>
      </c>
      <c r="Z13"/>
      <c r="AA13"/>
      <c r="AB13"/>
      <c r="AC13">
        <v>138.5</v>
      </c>
      <c r="AD13"/>
      <c r="AE13"/>
      <c r="AF13"/>
      <c r="AG13"/>
      <c r="AH13">
        <v>20</v>
      </c>
      <c r="AI13"/>
      <c r="AJ13"/>
      <c r="AK13"/>
      <c r="AL13"/>
      <c r="AM13"/>
      <c r="AN13"/>
      <c r="AO13"/>
      <c r="AP13"/>
      <c r="AQ13"/>
      <c r="AR13"/>
      <c r="AS13"/>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c r="BS13" t="inlineStr">
        <is>
          <t>#VALUE!</t>
        </is>
      </c>
    </row>
    <row r="14" ht="25.5" customHeight="1">
      <c r="A14" t="inlineStr">
        <is>
          <t>IT</t>
        </is>
      </c>
      <c r="B14" t="inlineStr">
        <is>
          <t>R0001EU</t>
        </is>
      </c>
      <c r="C14"/>
      <c r="D14" t="inlineStr">
        <is>
          <t>XXX仪（coupon-0%）</t>
        </is>
      </c>
      <c r="E14">
        <v>55.35</v>
      </c>
      <c r="F14">
        <v>79.99</v>
      </c>
      <c r="G14"/>
      <c r="H14"/>
      <c r="I14"/>
      <c r="J14"/>
      <c r="K14"/>
      <c r="L14"/>
      <c r="M14"/>
      <c r="N14"/>
      <c r="O14"/>
      <c r="P14">
        <v>4</v>
      </c>
      <c r="Q14">
        <v>8</v>
      </c>
      <c r="R14"/>
      <c r="S14"/>
      <c r="T14"/>
      <c r="U14">
        <v>0.01</v>
      </c>
      <c r="V14"/>
      <c r="W14"/>
      <c r="X14">
        <v>0.188</v>
      </c>
      <c r="Y14">
        <v>8</v>
      </c>
      <c r="Z14">
        <v>0</v>
      </c>
      <c r="AA14"/>
      <c r="AB14"/>
      <c r="AC14">
        <v>138.5</v>
      </c>
      <c r="AD14"/>
      <c r="AE14"/>
      <c r="AF14"/>
      <c r="AG14"/>
      <c r="AH14">
        <v>20</v>
      </c>
      <c r="AI14"/>
      <c r="AJ14"/>
      <c r="AK14"/>
      <c r="AL14"/>
      <c r="AM14"/>
      <c r="AN14"/>
      <c r="AO14"/>
      <c r="AP14"/>
      <c r="AQ14"/>
      <c r="AR14"/>
      <c r="AS14"/>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t>
        </is>
      </c>
      <c r="BJ14" t="inlineStr">
        <is>
          <t>☆</t>
        </is>
      </c>
      <c r="BK14" t="inlineStr">
        <is>
          <t>☆</t>
        </is>
      </c>
      <c r="BL14" t="inlineStr">
        <is>
          <t>☆</t>
        </is>
      </c>
      <c r="BM14" t="inlineStr">
        <is>
          <t>☆</t>
        </is>
      </c>
      <c r="BN14" t="inlineStr">
        <is>
          <t>☆</t>
        </is>
      </c>
      <c r="BO14" t="inlineStr">
        <is>
          <t>☆</t>
        </is>
      </c>
      <c r="BP14" t="inlineStr">
        <is>
          <t>☆</t>
        </is>
      </c>
      <c r="BQ14" t="inlineStr">
        <is>
          <t>☆</t>
        </is>
      </c>
      <c r="BR14"/>
      <c r="BS14" t="inlineStr">
        <is>
          <t>#VALUE!</t>
        </is>
      </c>
    </row>
    <row r="15" ht="25.5" customHeight="1">
      <c r="A15" t="inlineStr">
        <is>
          <t>IT</t>
        </is>
      </c>
      <c r="B15" t="inlineStr">
        <is>
          <t>R0001EU</t>
        </is>
      </c>
      <c r="C15"/>
      <c r="D15" t="inlineStr">
        <is>
          <t>XXX仪（coupon-5%）</t>
        </is>
      </c>
      <c r="E15">
        <v>55.35</v>
      </c>
      <c r="F15">
        <v>79.99</v>
      </c>
      <c r="G15"/>
      <c r="H15"/>
      <c r="I15"/>
      <c r="J15"/>
      <c r="K15"/>
      <c r="L15"/>
      <c r="M15"/>
      <c r="N15"/>
      <c r="O15"/>
      <c r="P15">
        <v>4</v>
      </c>
      <c r="Q15">
        <v>8</v>
      </c>
      <c r="R15"/>
      <c r="S15"/>
      <c r="T15"/>
      <c r="U15">
        <v>0.01</v>
      </c>
      <c r="V15"/>
      <c r="W15"/>
      <c r="X15">
        <v>0.188</v>
      </c>
      <c r="Y15">
        <v>8</v>
      </c>
      <c r="Z15"/>
      <c r="AA15"/>
      <c r="AB15"/>
      <c r="AC15">
        <v>138.5</v>
      </c>
      <c r="AD15"/>
      <c r="AE15"/>
      <c r="AF15"/>
      <c r="AG15"/>
      <c r="AH15">
        <v>20</v>
      </c>
      <c r="AI15"/>
      <c r="AJ15"/>
      <c r="AK15"/>
      <c r="AL15"/>
      <c r="AM15"/>
      <c r="AN15"/>
      <c r="AO15"/>
      <c r="AP15"/>
      <c r="AQ15"/>
      <c r="AR15"/>
      <c r="AS15"/>
      <c r="AT15" t="inlineStr">
        <is>
          <t>☆</t>
        </is>
      </c>
      <c r="AU15" t="inlineStr">
        <is>
          <t>☆</t>
        </is>
      </c>
      <c r="AV15" t="inlineStr">
        <is>
          <t>☆</t>
        </is>
      </c>
      <c r="AW15" t="inlineStr">
        <is>
          <t>☆</t>
        </is>
      </c>
      <c r="AX15" t="inlineStr">
        <is>
          <t>☆</t>
        </is>
      </c>
      <c r="AY15" t="inlineStr">
        <is>
          <t>☆</t>
        </is>
      </c>
      <c r="AZ15" t="inlineStr">
        <is>
          <t>☆</t>
        </is>
      </c>
      <c r="BA15" t="inlineStr">
        <is>
          <t>☆</t>
        </is>
      </c>
      <c r="BB15" t="inlineStr">
        <is>
          <t>☆</t>
        </is>
      </c>
      <c r="BC15" t="inlineStr">
        <is>
          <t>☆</t>
        </is>
      </c>
      <c r="BD15" t="inlineStr">
        <is>
          <t>☆</t>
        </is>
      </c>
      <c r="BE15" t="inlineStr">
        <is>
          <t>☆</t>
        </is>
      </c>
      <c r="BF15" t="inlineStr">
        <is>
          <t>☆</t>
        </is>
      </c>
      <c r="BG15" t="inlineStr">
        <is>
          <t>☆</t>
        </is>
      </c>
      <c r="BH15" t="inlineStr">
        <is>
          <t>☆</t>
        </is>
      </c>
      <c r="BI15" t="inlineStr">
        <is>
          <t>☆</t>
        </is>
      </c>
      <c r="BJ15" t="inlineStr">
        <is>
          <t>☆</t>
        </is>
      </c>
      <c r="BK15" t="inlineStr">
        <is>
          <t>☆</t>
        </is>
      </c>
      <c r="BL15" t="inlineStr">
        <is>
          <t>☆</t>
        </is>
      </c>
      <c r="BM15" t="inlineStr">
        <is>
          <t>☆</t>
        </is>
      </c>
      <c r="BN15" t="inlineStr">
        <is>
          <t>☆</t>
        </is>
      </c>
      <c r="BO15" t="inlineStr">
        <is>
          <t>☆</t>
        </is>
      </c>
      <c r="BP15" t="inlineStr">
        <is>
          <t>☆</t>
        </is>
      </c>
      <c r="BQ15" t="inlineStr">
        <is>
          <t>☆</t>
        </is>
      </c>
      <c r="BR15"/>
      <c r="BS15" t="inlineStr">
        <is>
          <t>#VALUE!</t>
        </is>
      </c>
    </row>
    <row r="16" ht="25.5" customHeight="1">
      <c r="A16" t="inlineStr">
        <is>
          <t>IT</t>
        </is>
      </c>
      <c r="B16" t="inlineStr">
        <is>
          <t>R0001EU</t>
        </is>
      </c>
      <c r="C16"/>
      <c r="D16" t="inlineStr">
        <is>
          <t>XXX仪（coupon-10%）</t>
        </is>
      </c>
      <c r="E16">
        <v>55.35</v>
      </c>
      <c r="F16">
        <v>79.99</v>
      </c>
      <c r="G16"/>
      <c r="H16"/>
      <c r="I16"/>
      <c r="J16"/>
      <c r="K16"/>
      <c r="L16"/>
      <c r="M16"/>
      <c r="N16"/>
      <c r="O16"/>
      <c r="P16">
        <v>4</v>
      </c>
      <c r="Q16">
        <v>8</v>
      </c>
      <c r="R16"/>
      <c r="S16"/>
      <c r="T16"/>
      <c r="U16">
        <v>0.01</v>
      </c>
      <c r="V16"/>
      <c r="W16"/>
      <c r="X16">
        <v>0.188</v>
      </c>
      <c r="Y16">
        <v>8</v>
      </c>
      <c r="Z16"/>
      <c r="AA16"/>
      <c r="AB16"/>
      <c r="AC16">
        <v>138.5</v>
      </c>
      <c r="AD16"/>
      <c r="AE16"/>
      <c r="AF16"/>
      <c r="AG16"/>
      <c r="AH16">
        <v>20</v>
      </c>
      <c r="AI16"/>
      <c r="AJ16"/>
      <c r="AK16"/>
      <c r="AL16"/>
      <c r="AM16"/>
      <c r="AN16"/>
      <c r="AO16"/>
      <c r="AP16"/>
      <c r="AQ16"/>
      <c r="AR16"/>
      <c r="AS16"/>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c r="BS16" t="inlineStr">
        <is>
          <t>#VALUE!</t>
        </is>
      </c>
    </row>
    <row r="17" ht="25.5" customHeight="1">
      <c r="A17" t="inlineStr">
        <is>
          <t>IT</t>
        </is>
      </c>
      <c r="B17" t="inlineStr">
        <is>
          <t>R0001EU</t>
        </is>
      </c>
      <c r="C17"/>
      <c r="D17" t="inlineStr">
        <is>
          <t>XXX仪（coupon-15%）</t>
        </is>
      </c>
      <c r="E17">
        <v>55.35</v>
      </c>
      <c r="F17">
        <v>79.99</v>
      </c>
      <c r="G17"/>
      <c r="H17"/>
      <c r="I17"/>
      <c r="J17"/>
      <c r="K17"/>
      <c r="L17"/>
      <c r="M17"/>
      <c r="N17"/>
      <c r="O17"/>
      <c r="P17">
        <v>4</v>
      </c>
      <c r="Q17">
        <v>8</v>
      </c>
      <c r="R17"/>
      <c r="S17"/>
      <c r="T17"/>
      <c r="U17">
        <v>0.01</v>
      </c>
      <c r="V17"/>
      <c r="W17"/>
      <c r="X17">
        <v>0.188</v>
      </c>
      <c r="Y17">
        <v>8</v>
      </c>
      <c r="Z17"/>
      <c r="AA17"/>
      <c r="AB17"/>
      <c r="AC17">
        <v>138.5</v>
      </c>
      <c r="AD17"/>
      <c r="AE17"/>
      <c r="AF17"/>
      <c r="AG17"/>
      <c r="AH17">
        <v>20</v>
      </c>
      <c r="AI17"/>
      <c r="AJ17"/>
      <c r="AK17"/>
      <c r="AL17"/>
      <c r="AM17"/>
      <c r="AN17"/>
      <c r="AO17"/>
      <c r="AP17"/>
      <c r="AQ17"/>
      <c r="AR17"/>
      <c r="AS17"/>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c r="BS17" t="inlineStr">
        <is>
          <t>#VALUE!</t>
        </is>
      </c>
    </row>
    <row r="18" ht="25.5" customHeight="1">
      <c r="A18" t="inlineStr">
        <is>
          <t>ES</t>
        </is>
      </c>
      <c r="B18" t="inlineStr">
        <is>
          <t>R0001EU</t>
        </is>
      </c>
      <c r="C18"/>
      <c r="D18" t="inlineStr">
        <is>
          <t>XXX仪（coupon-0%）</t>
        </is>
      </c>
      <c r="E18">
        <v>55.35</v>
      </c>
      <c r="F18">
        <v>79.99</v>
      </c>
      <c r="G18"/>
      <c r="H18"/>
      <c r="I18"/>
      <c r="J18"/>
      <c r="K18"/>
      <c r="L18"/>
      <c r="M18"/>
      <c r="N18"/>
      <c r="O18"/>
      <c r="P18">
        <v>4</v>
      </c>
      <c r="Q18">
        <v>8</v>
      </c>
      <c r="R18"/>
      <c r="S18"/>
      <c r="T18"/>
      <c r="U18">
        <v>0.01</v>
      </c>
      <c r="V18"/>
      <c r="W18"/>
      <c r="X18">
        <v>0.188</v>
      </c>
      <c r="Y18">
        <v>8</v>
      </c>
      <c r="Z18">
        <v>0</v>
      </c>
      <c r="AA18"/>
      <c r="AB18"/>
      <c r="AC18">
        <v>138.5</v>
      </c>
      <c r="AD18"/>
      <c r="AE18"/>
      <c r="AF18"/>
      <c r="AG18"/>
      <c r="AH18">
        <v>20</v>
      </c>
      <c r="AI18"/>
      <c r="AJ18"/>
      <c r="AK18"/>
      <c r="AL18"/>
      <c r="AM18"/>
      <c r="AN18"/>
      <c r="AO18"/>
      <c r="AP18"/>
      <c r="AQ18"/>
      <c r="AR18"/>
      <c r="AS18"/>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c r="BS18" t="inlineStr">
        <is>
          <t>#VALUE!</t>
        </is>
      </c>
    </row>
    <row r="19" ht="25.5" customHeight="1">
      <c r="A19" t="inlineStr">
        <is>
          <t>ES</t>
        </is>
      </c>
      <c r="B19" t="inlineStr">
        <is>
          <t>R0001EU</t>
        </is>
      </c>
      <c r="C19"/>
      <c r="D19" t="inlineStr">
        <is>
          <t>XXX仪（coupon-5%）</t>
        </is>
      </c>
      <c r="E19">
        <v>55.35</v>
      </c>
      <c r="F19">
        <v>79.99</v>
      </c>
      <c r="G19"/>
      <c r="H19"/>
      <c r="I19"/>
      <c r="J19"/>
      <c r="K19"/>
      <c r="L19"/>
      <c r="M19"/>
      <c r="N19"/>
      <c r="O19"/>
      <c r="P19">
        <v>4</v>
      </c>
      <c r="Q19">
        <v>8</v>
      </c>
      <c r="R19"/>
      <c r="S19"/>
      <c r="T19"/>
      <c r="U19">
        <v>0.01</v>
      </c>
      <c r="V19"/>
      <c r="W19"/>
      <c r="X19">
        <v>0.188</v>
      </c>
      <c r="Y19">
        <v>8</v>
      </c>
      <c r="Z19"/>
      <c r="AA19"/>
      <c r="AB19"/>
      <c r="AC19">
        <v>138.5</v>
      </c>
      <c r="AD19"/>
      <c r="AE19"/>
      <c r="AF19"/>
      <c r="AG19"/>
      <c r="AH19">
        <v>20</v>
      </c>
      <c r="AI19"/>
      <c r="AJ19"/>
      <c r="AK19"/>
      <c r="AL19"/>
      <c r="AM19"/>
      <c r="AN19"/>
      <c r="AO19"/>
      <c r="AP19"/>
      <c r="AQ19"/>
      <c r="AR19"/>
      <c r="AS19"/>
      <c r="AT19" t="inlineStr">
        <is>
          <t>☆</t>
        </is>
      </c>
      <c r="AU19" t="inlineStr">
        <is>
          <t>☆</t>
        </is>
      </c>
      <c r="AV19" t="inlineStr">
        <is>
          <t>☆</t>
        </is>
      </c>
      <c r="AW19" t="inlineStr">
        <is>
          <t>☆</t>
        </is>
      </c>
      <c r="AX19" t="inlineStr">
        <is>
          <t>☆</t>
        </is>
      </c>
      <c r="AY19" t="inlineStr">
        <is>
          <t>☆</t>
        </is>
      </c>
      <c r="AZ19" t="inlineStr">
        <is>
          <t>☆</t>
        </is>
      </c>
      <c r="BA19" t="inlineStr">
        <is>
          <t>☆</t>
        </is>
      </c>
      <c r="BB19" t="inlineStr">
        <is>
          <t>☆</t>
        </is>
      </c>
      <c r="BC19" t="inlineStr">
        <is>
          <t>☆</t>
        </is>
      </c>
      <c r="BD19" t="inlineStr">
        <is>
          <t>☆</t>
        </is>
      </c>
      <c r="BE19" t="inlineStr">
        <is>
          <t>☆</t>
        </is>
      </c>
      <c r="BF19" t="inlineStr">
        <is>
          <t>☆</t>
        </is>
      </c>
      <c r="BG19" t="inlineStr">
        <is>
          <t>☆</t>
        </is>
      </c>
      <c r="BH19" t="inlineStr">
        <is>
          <t>☆</t>
        </is>
      </c>
      <c r="BI19" t="inlineStr">
        <is>
          <t>☆</t>
        </is>
      </c>
      <c r="BJ19" t="inlineStr">
        <is>
          <t>☆</t>
        </is>
      </c>
      <c r="BK19" t="inlineStr">
        <is>
          <t>☆</t>
        </is>
      </c>
      <c r="BL19" t="inlineStr">
        <is>
          <t>☆</t>
        </is>
      </c>
      <c r="BM19" t="inlineStr">
        <is>
          <t>☆</t>
        </is>
      </c>
      <c r="BN19" t="inlineStr">
        <is>
          <t>☆</t>
        </is>
      </c>
      <c r="BO19" t="inlineStr">
        <is>
          <t>☆</t>
        </is>
      </c>
      <c r="BP19" t="inlineStr">
        <is>
          <t>☆</t>
        </is>
      </c>
      <c r="BQ19" t="inlineStr">
        <is>
          <t>☆</t>
        </is>
      </c>
      <c r="BR19"/>
      <c r="BS19" t="inlineStr">
        <is>
          <t>#VALUE!</t>
        </is>
      </c>
    </row>
    <row r="20" ht="25.5" customHeight="1">
      <c r="A20" t="inlineStr">
        <is>
          <t>ES</t>
        </is>
      </c>
      <c r="B20" t="inlineStr">
        <is>
          <t>R0001EU</t>
        </is>
      </c>
      <c r="C20"/>
      <c r="D20" t="inlineStr">
        <is>
          <t>XXX仪（coupon-10%）</t>
        </is>
      </c>
      <c r="E20">
        <v>55.35</v>
      </c>
      <c r="F20">
        <v>79.99</v>
      </c>
      <c r="G20"/>
      <c r="H20"/>
      <c r="I20"/>
      <c r="J20"/>
      <c r="K20"/>
      <c r="L20"/>
      <c r="M20"/>
      <c r="N20"/>
      <c r="O20"/>
      <c r="P20">
        <v>4</v>
      </c>
      <c r="Q20">
        <v>8</v>
      </c>
      <c r="R20"/>
      <c r="S20"/>
      <c r="T20"/>
      <c r="U20">
        <v>0.01</v>
      </c>
      <c r="V20"/>
      <c r="W20"/>
      <c r="X20">
        <v>0.188</v>
      </c>
      <c r="Y20">
        <v>8</v>
      </c>
      <c r="Z20"/>
      <c r="AA20"/>
      <c r="AB20"/>
      <c r="AC20">
        <v>138.5</v>
      </c>
      <c r="AD20"/>
      <c r="AE20"/>
      <c r="AF20"/>
      <c r="AG20"/>
      <c r="AH20">
        <v>20</v>
      </c>
      <c r="AI20"/>
      <c r="AJ20"/>
      <c r="AK20"/>
      <c r="AL20"/>
      <c r="AM20"/>
      <c r="AN20"/>
      <c r="AO20"/>
      <c r="AP20"/>
      <c r="AQ20"/>
      <c r="AR20"/>
      <c r="AS20"/>
      <c r="AT20" t="inlineStr">
        <is>
          <t>☆</t>
        </is>
      </c>
      <c r="AU20" t="inlineStr">
        <is>
          <t>☆</t>
        </is>
      </c>
      <c r="AV20" t="inlineStr">
        <is>
          <t>☆</t>
        </is>
      </c>
      <c r="AW20" t="inlineStr">
        <is>
          <t>☆</t>
        </is>
      </c>
      <c r="AX20" t="inlineStr">
        <is>
          <t>☆</t>
        </is>
      </c>
      <c r="AY20" t="inlineStr">
        <is>
          <t>☆</t>
        </is>
      </c>
      <c r="AZ20" t="inlineStr">
        <is>
          <t>☆</t>
        </is>
      </c>
      <c r="BA20" t="inlineStr">
        <is>
          <t>☆</t>
        </is>
      </c>
      <c r="BB20" t="inlineStr">
        <is>
          <t>☆</t>
        </is>
      </c>
      <c r="BC20" t="inlineStr">
        <is>
          <t>☆</t>
        </is>
      </c>
      <c r="BD20" t="inlineStr">
        <is>
          <t>☆</t>
        </is>
      </c>
      <c r="BE20" t="inlineStr">
        <is>
          <t>☆</t>
        </is>
      </c>
      <c r="BF20" t="inlineStr">
        <is>
          <t>☆</t>
        </is>
      </c>
      <c r="BG20" t="inlineStr">
        <is>
          <t>☆</t>
        </is>
      </c>
      <c r="BH20" t="inlineStr">
        <is>
          <t>☆</t>
        </is>
      </c>
      <c r="BI20" t="inlineStr">
        <is>
          <t>☆</t>
        </is>
      </c>
      <c r="BJ20" t="inlineStr">
        <is>
          <t>☆</t>
        </is>
      </c>
      <c r="BK20" t="inlineStr">
        <is>
          <t>☆</t>
        </is>
      </c>
      <c r="BL20" t="inlineStr">
        <is>
          <t>☆</t>
        </is>
      </c>
      <c r="BM20" t="inlineStr">
        <is>
          <t>☆</t>
        </is>
      </c>
      <c r="BN20" t="inlineStr">
        <is>
          <t>☆</t>
        </is>
      </c>
      <c r="BO20" t="inlineStr">
        <is>
          <t>☆</t>
        </is>
      </c>
      <c r="BP20" t="inlineStr">
        <is>
          <t>☆</t>
        </is>
      </c>
      <c r="BQ20" t="inlineStr">
        <is>
          <t>☆</t>
        </is>
      </c>
      <c r="BR20"/>
      <c r="BS20" t="inlineStr">
        <is>
          <t>#VALUE!</t>
        </is>
      </c>
    </row>
    <row r="21" ht="25.5" customHeight="1">
      <c r="A21" t="inlineStr">
        <is>
          <t>ES</t>
        </is>
      </c>
      <c r="B21" t="inlineStr">
        <is>
          <t>R0001EU</t>
        </is>
      </c>
      <c r="C21"/>
      <c r="D21" t="inlineStr">
        <is>
          <t>XXX仪（coupon-15%）</t>
        </is>
      </c>
      <c r="E21">
        <v>55.35</v>
      </c>
      <c r="F21">
        <v>79.99</v>
      </c>
      <c r="G21"/>
      <c r="H21"/>
      <c r="I21"/>
      <c r="J21"/>
      <c r="K21"/>
      <c r="L21"/>
      <c r="M21"/>
      <c r="N21"/>
      <c r="O21"/>
      <c r="P21">
        <v>4</v>
      </c>
      <c r="Q21">
        <v>8</v>
      </c>
      <c r="R21"/>
      <c r="S21"/>
      <c r="T21"/>
      <c r="U21">
        <v>0.01</v>
      </c>
      <c r="V21"/>
      <c r="W21"/>
      <c r="X21">
        <v>0.188</v>
      </c>
      <c r="Y21">
        <v>8</v>
      </c>
      <c r="Z21"/>
      <c r="AA21"/>
      <c r="AB21"/>
      <c r="AC21">
        <v>138.5</v>
      </c>
      <c r="AD21"/>
      <c r="AE21"/>
      <c r="AF21"/>
      <c r="AG21"/>
      <c r="AH21">
        <v>20</v>
      </c>
      <c r="AI21"/>
      <c r="AJ21"/>
      <c r="AK21"/>
      <c r="AL21"/>
      <c r="AM21"/>
      <c r="AN21"/>
      <c r="AO21"/>
      <c r="AP21"/>
      <c r="AQ21"/>
      <c r="AR21"/>
      <c r="AS21"/>
      <c r="AT21" t="inlineStr">
        <is>
          <t>☆</t>
        </is>
      </c>
      <c r="AU21" t="inlineStr">
        <is>
          <t>☆</t>
        </is>
      </c>
      <c r="AV21" t="inlineStr">
        <is>
          <t>☆</t>
        </is>
      </c>
      <c r="AW21" t="inlineStr">
        <is>
          <t>☆</t>
        </is>
      </c>
      <c r="AX21" t="inlineStr">
        <is>
          <t>☆</t>
        </is>
      </c>
      <c r="AY21" t="inlineStr">
        <is>
          <t>☆</t>
        </is>
      </c>
      <c r="AZ21" t="inlineStr">
        <is>
          <t>☆</t>
        </is>
      </c>
      <c r="BA21" t="inlineStr">
        <is>
          <t>☆</t>
        </is>
      </c>
      <c r="BB21" t="inlineStr">
        <is>
          <t>☆</t>
        </is>
      </c>
      <c r="BC21" t="inlineStr">
        <is>
          <t>☆</t>
        </is>
      </c>
      <c r="BD21" t="inlineStr">
        <is>
          <t>☆</t>
        </is>
      </c>
      <c r="BE21" t="inlineStr">
        <is>
          <t>☆</t>
        </is>
      </c>
      <c r="BF21" t="inlineStr">
        <is>
          <t>☆</t>
        </is>
      </c>
      <c r="BG21" t="inlineStr">
        <is>
          <t>☆</t>
        </is>
      </c>
      <c r="BH21" t="inlineStr">
        <is>
          <t>☆</t>
        </is>
      </c>
      <c r="BI21" t="inlineStr">
        <is>
          <t>☆</t>
        </is>
      </c>
      <c r="BJ21" t="inlineStr">
        <is>
          <t>☆</t>
        </is>
      </c>
      <c r="BK21" t="inlineStr">
        <is>
          <t>☆</t>
        </is>
      </c>
      <c r="BL21" t="inlineStr">
        <is>
          <t>☆</t>
        </is>
      </c>
      <c r="BM21" t="inlineStr">
        <is>
          <t>☆</t>
        </is>
      </c>
      <c r="BN21" t="inlineStr">
        <is>
          <t>☆</t>
        </is>
      </c>
      <c r="BO21" t="inlineStr">
        <is>
          <t>☆</t>
        </is>
      </c>
      <c r="BP21" t="inlineStr">
        <is>
          <t>☆</t>
        </is>
      </c>
      <c r="BQ21" t="inlineStr">
        <is>
          <t>☆</t>
        </is>
      </c>
      <c r="BR21"/>
      <c r="BS21" t="inlineStr">
        <is>
          <t>#VALUE!</t>
        </is>
      </c>
    </row>
    <row r="22" ht="25.5" customHeight="1">
      <c r="A22" t="inlineStr">
        <is>
          <t>NL</t>
        </is>
      </c>
      <c r="B22" t="inlineStr">
        <is>
          <t>R0001EU</t>
        </is>
      </c>
      <c r="C22"/>
      <c r="D22" t="inlineStr">
        <is>
          <t>XX仪荷兰</t>
        </is>
      </c>
      <c r="E22">
        <v>60</v>
      </c>
      <c r="F22">
        <v>89.99</v>
      </c>
      <c r="G22"/>
      <c r="H22"/>
      <c r="I22"/>
      <c r="J22"/>
      <c r="K22"/>
      <c r="L22"/>
      <c r="M22"/>
      <c r="N22"/>
      <c r="O22"/>
      <c r="P22">
        <v>4</v>
      </c>
      <c r="Q22">
        <v>8</v>
      </c>
      <c r="R22"/>
      <c r="S22"/>
      <c r="T22"/>
      <c r="U22">
        <v>0.01</v>
      </c>
      <c r="V22"/>
      <c r="W22"/>
      <c r="X22">
        <v>0.188</v>
      </c>
      <c r="Y22">
        <v>8</v>
      </c>
      <c r="Z22"/>
      <c r="AA22"/>
      <c r="AB22"/>
      <c r="AC22">
        <v>138.5</v>
      </c>
      <c r="AD22"/>
      <c r="AE22"/>
      <c r="AF22"/>
      <c r="AG22"/>
      <c r="AH22">
        <v>20</v>
      </c>
      <c r="AI22"/>
      <c r="AJ22"/>
      <c r="AK22"/>
      <c r="AL22"/>
      <c r="AM22"/>
      <c r="AN22"/>
      <c r="AO22"/>
      <c r="AP22"/>
      <c r="AQ22"/>
      <c r="AR22"/>
      <c r="AS22"/>
      <c r="AT22" t="inlineStr">
        <is>
          <t>☆</t>
        </is>
      </c>
      <c r="AU22" t="inlineStr">
        <is>
          <t>☆</t>
        </is>
      </c>
      <c r="AV22" t="inlineStr">
        <is>
          <t>☆</t>
        </is>
      </c>
      <c r="AW22" t="inlineStr">
        <is>
          <t>☆</t>
        </is>
      </c>
      <c r="AX22" t="inlineStr">
        <is>
          <t>☆</t>
        </is>
      </c>
      <c r="AY22" t="inlineStr">
        <is>
          <t>☆</t>
        </is>
      </c>
      <c r="AZ22" t="inlineStr">
        <is>
          <t>☆</t>
        </is>
      </c>
      <c r="BA22" t="inlineStr">
        <is>
          <t>☆</t>
        </is>
      </c>
      <c r="BB22" t="inlineStr">
        <is>
          <t>☆</t>
        </is>
      </c>
      <c r="BC22" t="inlineStr">
        <is>
          <t>☆</t>
        </is>
      </c>
      <c r="BD22" t="inlineStr">
        <is>
          <t>☆</t>
        </is>
      </c>
      <c r="BE22" t="inlineStr">
        <is>
          <t>☆</t>
        </is>
      </c>
      <c r="BF22" t="inlineStr">
        <is>
          <t>☆</t>
        </is>
      </c>
      <c r="BG22" t="inlineStr">
        <is>
          <t>☆</t>
        </is>
      </c>
      <c r="BH22" t="inlineStr">
        <is>
          <t>☆</t>
        </is>
      </c>
      <c r="BI22" t="inlineStr">
        <is>
          <t>☆</t>
        </is>
      </c>
      <c r="BJ22" t="inlineStr">
        <is>
          <t>☆</t>
        </is>
      </c>
      <c r="BK22" t="inlineStr">
        <is>
          <t>☆</t>
        </is>
      </c>
      <c r="BL22" t="inlineStr">
        <is>
          <t>☆</t>
        </is>
      </c>
      <c r="BM22" t="inlineStr">
        <is>
          <t>☆</t>
        </is>
      </c>
      <c r="BN22" t="inlineStr">
        <is>
          <t>☆</t>
        </is>
      </c>
      <c r="BO22" t="inlineStr">
        <is>
          <t>☆</t>
        </is>
      </c>
      <c r="BP22" t="inlineStr">
        <is>
          <t>☆</t>
        </is>
      </c>
      <c r="BQ22" t="inlineStr">
        <is>
          <t>☆</t>
        </is>
      </c>
      <c r="BR22"/>
      <c r="BS22" t="inlineStr">
        <is>
          <t>#VALUE!</t>
        </is>
      </c>
    </row>
    <row r="23" ht="25.5" customHeight="1">
      <c r="A23" t="inlineStr">
        <is>
          <t>PL</t>
        </is>
      </c>
      <c r="B23" t="inlineStr">
        <is>
          <t>R0001EU</t>
        </is>
      </c>
      <c r="C23"/>
      <c r="D23" t="inlineStr">
        <is>
          <t>XX仪波兰</t>
        </is>
      </c>
      <c r="E23">
        <v>60</v>
      </c>
      <c r="F23">
        <v>89.99</v>
      </c>
      <c r="G23"/>
      <c r="H23"/>
      <c r="I23"/>
      <c r="J23"/>
      <c r="K23"/>
      <c r="L23"/>
      <c r="M23"/>
      <c r="N23"/>
      <c r="O23"/>
      <c r="P23">
        <v>4</v>
      </c>
      <c r="Q23">
        <v>8</v>
      </c>
      <c r="R23"/>
      <c r="S23"/>
      <c r="T23"/>
      <c r="U23">
        <v>0.01</v>
      </c>
      <c r="V23"/>
      <c r="W23"/>
      <c r="X23">
        <v>0.188</v>
      </c>
      <c r="Y23">
        <v>8</v>
      </c>
      <c r="Z23"/>
      <c r="AA23"/>
      <c r="AB23"/>
      <c r="AC23">
        <v>138.5</v>
      </c>
      <c r="AD23"/>
      <c r="AE23"/>
      <c r="AF23"/>
      <c r="AG23"/>
      <c r="AH23">
        <v>20</v>
      </c>
      <c r="AI23"/>
      <c r="AJ23"/>
      <c r="AK23"/>
      <c r="AL23"/>
      <c r="AM23"/>
      <c r="AN23"/>
      <c r="AO23"/>
      <c r="AP23"/>
      <c r="AQ23"/>
      <c r="AR23"/>
      <c r="AS23"/>
      <c r="AT23" t="inlineStr">
        <is>
          <t>☆</t>
        </is>
      </c>
      <c r="AU23" t="inlineStr">
        <is>
          <t>☆</t>
        </is>
      </c>
      <c r="AV23" t="inlineStr">
        <is>
          <t>☆</t>
        </is>
      </c>
      <c r="AW23" t="inlineStr">
        <is>
          <t>☆</t>
        </is>
      </c>
      <c r="AX23" t="inlineStr">
        <is>
          <t>☆</t>
        </is>
      </c>
      <c r="AY23" t="inlineStr">
        <is>
          <t>☆</t>
        </is>
      </c>
      <c r="AZ23" t="inlineStr">
        <is>
          <t>☆</t>
        </is>
      </c>
      <c r="BA23" t="inlineStr">
        <is>
          <t>☆</t>
        </is>
      </c>
      <c r="BB23" t="inlineStr">
        <is>
          <t>☆</t>
        </is>
      </c>
      <c r="BC23" t="inlineStr">
        <is>
          <t>☆</t>
        </is>
      </c>
      <c r="BD23" t="inlineStr">
        <is>
          <t>☆</t>
        </is>
      </c>
      <c r="BE23" t="inlineStr">
        <is>
          <t>☆</t>
        </is>
      </c>
      <c r="BF23" t="inlineStr">
        <is>
          <t>☆</t>
        </is>
      </c>
      <c r="BG23" t="inlineStr">
        <is>
          <t>☆</t>
        </is>
      </c>
      <c r="BH23" t="inlineStr">
        <is>
          <t>☆</t>
        </is>
      </c>
      <c r="BI23" t="inlineStr">
        <is>
          <t>☆</t>
        </is>
      </c>
      <c r="BJ23" t="inlineStr">
        <is>
          <t>☆</t>
        </is>
      </c>
      <c r="BK23" t="inlineStr">
        <is>
          <t>☆</t>
        </is>
      </c>
      <c r="BL23" t="inlineStr">
        <is>
          <t>☆</t>
        </is>
      </c>
      <c r="BM23" t="inlineStr">
        <is>
          <t>☆</t>
        </is>
      </c>
      <c r="BN23" t="inlineStr">
        <is>
          <t>☆</t>
        </is>
      </c>
      <c r="BO23" t="inlineStr">
        <is>
          <t>☆</t>
        </is>
      </c>
      <c r="BP23" t="inlineStr">
        <is>
          <t>☆</t>
        </is>
      </c>
      <c r="BQ23" t="inlineStr">
        <is>
          <t>☆</t>
        </is>
      </c>
      <c r="BR23"/>
      <c r="BS23" t="inlineStr">
        <is>
          <t>#VALUE!</t>
        </is>
      </c>
    </row>
    <row r="24" ht="25.5" customHeight="1">
      <c r="A24" t="inlineStr">
        <is>
          <t>SE</t>
        </is>
      </c>
      <c r="B24" t="inlineStr">
        <is>
          <t>R0001EU</t>
        </is>
      </c>
      <c r="C24"/>
      <c r="D24" t="inlineStr">
        <is>
          <t>XX仪瑞典</t>
        </is>
      </c>
      <c r="E24">
        <v>60</v>
      </c>
      <c r="F24">
        <v>89.99</v>
      </c>
      <c r="G24"/>
      <c r="H24"/>
      <c r="I24"/>
      <c r="J24"/>
      <c r="K24"/>
      <c r="L24"/>
      <c r="M24"/>
      <c r="N24"/>
      <c r="O24"/>
      <c r="P24">
        <v>4</v>
      </c>
      <c r="Q24">
        <v>8</v>
      </c>
      <c r="R24"/>
      <c r="S24"/>
      <c r="T24"/>
      <c r="U24">
        <v>0.01</v>
      </c>
      <c r="V24"/>
      <c r="W24"/>
      <c r="X24">
        <v>0.188</v>
      </c>
      <c r="Y24">
        <v>8</v>
      </c>
      <c r="Z24"/>
      <c r="AA24"/>
      <c r="AB24"/>
      <c r="AC24">
        <v>138.5</v>
      </c>
      <c r="AD24"/>
      <c r="AE24"/>
      <c r="AF24"/>
      <c r="AG24"/>
      <c r="AH24">
        <v>20</v>
      </c>
      <c r="AI24"/>
      <c r="AJ24"/>
      <c r="AK24"/>
      <c r="AL24"/>
      <c r="AM24"/>
      <c r="AN24"/>
      <c r="AO24"/>
      <c r="AP24"/>
      <c r="AQ24"/>
      <c r="AR24"/>
      <c r="AS24"/>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t>
        </is>
      </c>
      <c r="BQ24" t="inlineStr">
        <is>
          <t>☆</t>
        </is>
      </c>
      <c r="BR24"/>
      <c r="BS24" t="inlineStr">
        <is>
          <t>#VALUE!</t>
        </is>
      </c>
    </row>
    <row r="25" ht="25.5" customHeight="1">
      <c r="A25" t="inlineStr">
        <is>
          <t>BE</t>
        </is>
      </c>
      <c r="B25" t="inlineStr">
        <is>
          <t>R0001EU</t>
        </is>
      </c>
      <c r="C25"/>
      <c r="D25" t="inlineStr">
        <is>
          <t>XX仪比利时</t>
        </is>
      </c>
      <c r="E25">
        <v>60</v>
      </c>
      <c r="F25">
        <v>89.99</v>
      </c>
      <c r="G25"/>
      <c r="H25"/>
      <c r="I25"/>
      <c r="J25"/>
      <c r="K25"/>
      <c r="L25"/>
      <c r="M25"/>
      <c r="N25"/>
      <c r="O25"/>
      <c r="P25">
        <v>4</v>
      </c>
      <c r="Q25">
        <v>8</v>
      </c>
      <c r="R25"/>
      <c r="S25"/>
      <c r="T25"/>
      <c r="U25">
        <v>0.01</v>
      </c>
      <c r="V25"/>
      <c r="W25"/>
      <c r="X25">
        <v>0.188</v>
      </c>
      <c r="Y25">
        <v>8</v>
      </c>
      <c r="Z25"/>
      <c r="AA25"/>
      <c r="AB25"/>
      <c r="AC25">
        <v>138.5</v>
      </c>
      <c r="AD25"/>
      <c r="AE25"/>
      <c r="AF25"/>
      <c r="AG25"/>
      <c r="AH25">
        <v>20</v>
      </c>
      <c r="AI25"/>
      <c r="AJ25"/>
      <c r="AK25"/>
      <c r="AL25"/>
      <c r="AM25"/>
      <c r="AN25"/>
      <c r="AO25"/>
      <c r="AP25"/>
      <c r="AQ25"/>
      <c r="AR25"/>
      <c r="AS25"/>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t>
        </is>
      </c>
      <c r="BJ25" t="inlineStr">
        <is>
          <t>☆</t>
        </is>
      </c>
      <c r="BK25" t="inlineStr">
        <is>
          <t>☆</t>
        </is>
      </c>
      <c r="BL25" t="inlineStr">
        <is>
          <t>☆</t>
        </is>
      </c>
      <c r="BM25" t="inlineStr">
        <is>
          <t>☆</t>
        </is>
      </c>
      <c r="BN25" t="inlineStr">
        <is>
          <t>☆</t>
        </is>
      </c>
      <c r="BO25" t="inlineStr">
        <is>
          <t>☆</t>
        </is>
      </c>
      <c r="BP25" t="inlineStr">
        <is>
          <t>☆</t>
        </is>
      </c>
      <c r="BQ25" t="inlineStr">
        <is>
          <t>☆</t>
        </is>
      </c>
      <c r="BR25"/>
      <c r="BS25" t="inlineStr">
        <is>
          <t>#VALUE!</t>
        </is>
      </c>
    </row>
    <row r="26" ht="25.5" customHeight="1">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row>
    <row r="27" ht="25.5" customHeight="1">
      <c r="A27" t="inlineStr">
        <is>
          <t>UK</t>
        </is>
      </c>
      <c r="B27"/>
      <c r="C27"/>
      <c r="D27" t="inlineStr">
        <is>
          <t>空净AP100A（coupon-0%）</t>
        </is>
      </c>
      <c r="E27">
        <v>27.5</v>
      </c>
      <c r="F27">
        <v>39.99</v>
      </c>
      <c r="G27"/>
      <c r="H27"/>
      <c r="I27"/>
      <c r="J27"/>
      <c r="K27"/>
      <c r="L27"/>
      <c r="M27"/>
      <c r="N27"/>
      <c r="O27"/>
      <c r="P27">
        <v>9</v>
      </c>
      <c r="Q27">
        <v>9</v>
      </c>
      <c r="R27"/>
      <c r="S27"/>
      <c r="T27">
        <v>0.05</v>
      </c>
      <c r="U27">
        <v>0.01</v>
      </c>
      <c r="V27"/>
      <c r="W27"/>
      <c r="X27">
        <v>0.178</v>
      </c>
      <c r="Y27">
        <v>5</v>
      </c>
      <c r="Z27">
        <v>0</v>
      </c>
      <c r="AA27"/>
      <c r="AB27"/>
      <c r="AC27">
        <v>94.4</v>
      </c>
      <c r="AD27"/>
      <c r="AE27"/>
      <c r="AF27"/>
      <c r="AG27"/>
      <c r="AH27">
        <v>10</v>
      </c>
      <c r="AI27"/>
      <c r="AJ27"/>
      <c r="AK27"/>
      <c r="AL27"/>
      <c r="AM27"/>
      <c r="AN27"/>
      <c r="AO27"/>
      <c r="AP27"/>
      <c r="AQ27"/>
      <c r="AR27"/>
      <c r="AS27"/>
      <c r="AT27" t="inlineStr">
        <is>
          <t>☆</t>
        </is>
      </c>
      <c r="AU27" t="inlineStr">
        <is>
          <t>☆</t>
        </is>
      </c>
      <c r="AV27" t="inlineStr">
        <is>
          <t>☆</t>
        </is>
      </c>
      <c r="AW27" t="inlineStr">
        <is>
          <t>☆</t>
        </is>
      </c>
      <c r="AX27" t="inlineStr">
        <is>
          <t>☆</t>
        </is>
      </c>
      <c r="AY27" t="inlineStr">
        <is>
          <t>☆</t>
        </is>
      </c>
      <c r="AZ27" t="inlineStr">
        <is>
          <t>☆</t>
        </is>
      </c>
      <c r="BA27" t="inlineStr">
        <is>
          <t>☆</t>
        </is>
      </c>
      <c r="BB27" t="inlineStr">
        <is>
          <t>☆</t>
        </is>
      </c>
      <c r="BC27" t="inlineStr">
        <is>
          <t>☆</t>
        </is>
      </c>
      <c r="BD27" t="inlineStr">
        <is>
          <t>☆</t>
        </is>
      </c>
      <c r="BE27" t="inlineStr">
        <is>
          <t>☆</t>
        </is>
      </c>
      <c r="BF27" t="inlineStr">
        <is>
          <t>☆</t>
        </is>
      </c>
      <c r="BG27" t="inlineStr">
        <is>
          <t>☆</t>
        </is>
      </c>
      <c r="BH27" t="inlineStr">
        <is>
          <t>☆</t>
        </is>
      </c>
      <c r="BI27" t="inlineStr">
        <is>
          <t>☆</t>
        </is>
      </c>
      <c r="BJ27" t="inlineStr">
        <is>
          <t>☆</t>
        </is>
      </c>
      <c r="BK27" t="inlineStr">
        <is>
          <t>☆</t>
        </is>
      </c>
      <c r="BL27" t="inlineStr">
        <is>
          <t>☆</t>
        </is>
      </c>
      <c r="BM27" t="inlineStr">
        <is>
          <t>☆</t>
        </is>
      </c>
      <c r="BN27" t="inlineStr">
        <is>
          <t>☆</t>
        </is>
      </c>
      <c r="BO27" t="inlineStr">
        <is>
          <t>☆</t>
        </is>
      </c>
      <c r="BP27" t="inlineStr">
        <is>
          <t>☆</t>
        </is>
      </c>
      <c r="BQ27" t="inlineStr">
        <is>
          <t>☆</t>
        </is>
      </c>
      <c r="BR27"/>
      <c r="BS27" t="inlineStr">
        <is>
          <t>#VALUE!</t>
        </is>
      </c>
    </row>
    <row r="28" ht="25.5" customHeight="1">
      <c r="A28" t="inlineStr">
        <is>
          <t>UK</t>
        </is>
      </c>
      <c r="B28"/>
      <c r="C28"/>
      <c r="D28" t="inlineStr">
        <is>
          <t>空净AP100A（coupon-5%）</t>
        </is>
      </c>
      <c r="E28">
        <v>27.5</v>
      </c>
      <c r="F28">
        <v>39.99</v>
      </c>
      <c r="G28"/>
      <c r="H28"/>
      <c r="I28"/>
      <c r="J28"/>
      <c r="K28"/>
      <c r="L28"/>
      <c r="M28"/>
      <c r="N28"/>
      <c r="O28"/>
      <c r="P28">
        <v>9</v>
      </c>
      <c r="Q28">
        <v>9</v>
      </c>
      <c r="R28"/>
      <c r="S28"/>
      <c r="T28">
        <v>0.05</v>
      </c>
      <c r="U28">
        <v>0.01</v>
      </c>
      <c r="V28"/>
      <c r="W28"/>
      <c r="X28">
        <v>0.178</v>
      </c>
      <c r="Y28">
        <v>5</v>
      </c>
      <c r="Z28"/>
      <c r="AA28"/>
      <c r="AB28"/>
      <c r="AC28">
        <v>94.4</v>
      </c>
      <c r="AD28"/>
      <c r="AE28"/>
      <c r="AF28"/>
      <c r="AG28"/>
      <c r="AH28">
        <v>10</v>
      </c>
      <c r="AI28"/>
      <c r="AJ28"/>
      <c r="AK28"/>
      <c r="AL28"/>
      <c r="AM28"/>
      <c r="AN28"/>
      <c r="AO28"/>
      <c r="AP28"/>
      <c r="AQ28"/>
      <c r="AR28"/>
      <c r="AS28"/>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c r="BS28" t="inlineStr">
        <is>
          <t>#VALUE!</t>
        </is>
      </c>
    </row>
    <row r="29" ht="25.5" customHeight="1">
      <c r="A29" t="inlineStr">
        <is>
          <t>UK</t>
        </is>
      </c>
      <c r="B29"/>
      <c r="C29"/>
      <c r="D29" t="inlineStr">
        <is>
          <t>空净AP100A（coupon-10%）</t>
        </is>
      </c>
      <c r="E29">
        <v>27.5</v>
      </c>
      <c r="F29">
        <v>39.99</v>
      </c>
      <c r="G29"/>
      <c r="H29"/>
      <c r="I29"/>
      <c r="J29"/>
      <c r="K29"/>
      <c r="L29"/>
      <c r="M29"/>
      <c r="N29"/>
      <c r="O29"/>
      <c r="P29">
        <v>9</v>
      </c>
      <c r="Q29">
        <v>9</v>
      </c>
      <c r="R29"/>
      <c r="S29"/>
      <c r="T29">
        <v>0.05</v>
      </c>
      <c r="U29">
        <v>0.01</v>
      </c>
      <c r="V29"/>
      <c r="W29"/>
      <c r="X29">
        <v>0.178</v>
      </c>
      <c r="Y29">
        <v>5</v>
      </c>
      <c r="Z29"/>
      <c r="AA29"/>
      <c r="AB29"/>
      <c r="AC29">
        <v>94.4</v>
      </c>
      <c r="AD29"/>
      <c r="AE29"/>
      <c r="AF29"/>
      <c r="AG29"/>
      <c r="AH29">
        <v>10</v>
      </c>
      <c r="AI29"/>
      <c r="AJ29"/>
      <c r="AK29"/>
      <c r="AL29"/>
      <c r="AM29"/>
      <c r="AN29"/>
      <c r="AO29"/>
      <c r="AP29"/>
      <c r="AQ29"/>
      <c r="AR29"/>
      <c r="AS29"/>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c r="BS29" t="inlineStr">
        <is>
          <t>#VALUE!</t>
        </is>
      </c>
    </row>
    <row r="30" ht="25.5" customHeight="1">
      <c r="A30" t="inlineStr">
        <is>
          <t>UK</t>
        </is>
      </c>
      <c r="B30"/>
      <c r="C30"/>
      <c r="D30" t="inlineStr">
        <is>
          <t>空净AP100A（coupon-15%）</t>
        </is>
      </c>
      <c r="E30">
        <v>27.5</v>
      </c>
      <c r="F30">
        <v>39.99</v>
      </c>
      <c r="G30"/>
      <c r="H30"/>
      <c r="I30"/>
      <c r="J30"/>
      <c r="K30"/>
      <c r="L30"/>
      <c r="M30"/>
      <c r="N30"/>
      <c r="O30"/>
      <c r="P30">
        <v>9</v>
      </c>
      <c r="Q30">
        <v>9</v>
      </c>
      <c r="R30"/>
      <c r="S30"/>
      <c r="T30">
        <v>0.05</v>
      </c>
      <c r="U30">
        <v>0.01</v>
      </c>
      <c r="V30"/>
      <c r="W30"/>
      <c r="X30">
        <v>0.178</v>
      </c>
      <c r="Y30">
        <v>5</v>
      </c>
      <c r="Z30"/>
      <c r="AA30"/>
      <c r="AB30"/>
      <c r="AC30">
        <v>94.4</v>
      </c>
      <c r="AD30"/>
      <c r="AE30"/>
      <c r="AF30"/>
      <c r="AG30"/>
      <c r="AH30">
        <v>10</v>
      </c>
      <c r="AI30"/>
      <c r="AJ30"/>
      <c r="AK30"/>
      <c r="AL30"/>
      <c r="AM30"/>
      <c r="AN30"/>
      <c r="AO30"/>
      <c r="AP30"/>
      <c r="AQ30"/>
      <c r="AR30"/>
      <c r="AS30"/>
      <c r="AT30" t="inlineStr">
        <is>
          <t>☆</t>
        </is>
      </c>
      <c r="AU30" t="inlineStr">
        <is>
          <t>☆</t>
        </is>
      </c>
      <c r="AV30" t="inlineStr">
        <is>
          <t>☆</t>
        </is>
      </c>
      <c r="AW30" t="inlineStr">
        <is>
          <t>☆</t>
        </is>
      </c>
      <c r="AX30" t="inlineStr">
        <is>
          <t>☆</t>
        </is>
      </c>
      <c r="AY30" t="inlineStr">
        <is>
          <t>☆</t>
        </is>
      </c>
      <c r="AZ30" t="inlineStr">
        <is>
          <t>☆</t>
        </is>
      </c>
      <c r="BA30" t="inlineStr">
        <is>
          <t>☆</t>
        </is>
      </c>
      <c r="BB30" t="inlineStr">
        <is>
          <t>☆</t>
        </is>
      </c>
      <c r="BC30" t="inlineStr">
        <is>
          <t>☆</t>
        </is>
      </c>
      <c r="BD30" t="inlineStr">
        <is>
          <t>☆</t>
        </is>
      </c>
      <c r="BE30" t="inlineStr">
        <is>
          <t>☆</t>
        </is>
      </c>
      <c r="BF30" t="inlineStr">
        <is>
          <t>☆</t>
        </is>
      </c>
      <c r="BG30" t="inlineStr">
        <is>
          <t>☆</t>
        </is>
      </c>
      <c r="BH30" t="inlineStr">
        <is>
          <t>☆</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c r="BS30" t="inlineStr">
        <is>
          <t>#VALUE!</t>
        </is>
      </c>
    </row>
    <row r="31" ht="25.5" customHeight="1">
      <c r="A31" t="inlineStr">
        <is>
          <t>DE</t>
        </is>
      </c>
      <c r="B31"/>
      <c r="C31"/>
      <c r="D31" t="inlineStr">
        <is>
          <t>空净AP100A（coupon-0%）</t>
        </is>
      </c>
      <c r="E31">
        <v>34.5</v>
      </c>
      <c r="F31">
        <v>49.99</v>
      </c>
      <c r="G31"/>
      <c r="H31"/>
      <c r="I31"/>
      <c r="J31"/>
      <c r="K31"/>
      <c r="L31"/>
      <c r="M31"/>
      <c r="N31"/>
      <c r="O31"/>
      <c r="P31">
        <v>9</v>
      </c>
      <c r="Q31">
        <v>8</v>
      </c>
      <c r="R31"/>
      <c r="S31"/>
      <c r="T31">
        <v>0.05</v>
      </c>
      <c r="U31">
        <v>0.01</v>
      </c>
      <c r="V31"/>
      <c r="W31"/>
      <c r="X31">
        <v>0.188</v>
      </c>
      <c r="Y31">
        <v>5</v>
      </c>
      <c r="Z31">
        <v>0</v>
      </c>
      <c r="AA31"/>
      <c r="AB31"/>
      <c r="AC31">
        <v>94.4</v>
      </c>
      <c r="AD31"/>
      <c r="AE31"/>
      <c r="AF31"/>
      <c r="AG31"/>
      <c r="AH31">
        <v>15</v>
      </c>
      <c r="AI31"/>
      <c r="AJ31"/>
      <c r="AK31"/>
      <c r="AL31"/>
      <c r="AM31"/>
      <c r="AN31"/>
      <c r="AO31"/>
      <c r="AP31"/>
      <c r="AQ31"/>
      <c r="AR31"/>
      <c r="AS31"/>
      <c r="AT31" t="inlineStr">
        <is>
          <t>☆</t>
        </is>
      </c>
      <c r="AU31" t="inlineStr">
        <is>
          <t>☆</t>
        </is>
      </c>
      <c r="AV31" t="inlineStr">
        <is>
          <t>☆</t>
        </is>
      </c>
      <c r="AW31" t="inlineStr">
        <is>
          <t>☆</t>
        </is>
      </c>
      <c r="AX31" t="inlineStr">
        <is>
          <t>☆</t>
        </is>
      </c>
      <c r="AY31" t="inlineStr">
        <is>
          <t>☆</t>
        </is>
      </c>
      <c r="AZ31" t="inlineStr">
        <is>
          <t>☆</t>
        </is>
      </c>
      <c r="BA31" t="inlineStr">
        <is>
          <t>☆</t>
        </is>
      </c>
      <c r="BB31" t="inlineStr">
        <is>
          <t>☆</t>
        </is>
      </c>
      <c r="BC31" t="inlineStr">
        <is>
          <t>☆</t>
        </is>
      </c>
      <c r="BD31" t="inlineStr">
        <is>
          <t>☆</t>
        </is>
      </c>
      <c r="BE31" t="inlineStr">
        <is>
          <t>☆</t>
        </is>
      </c>
      <c r="BF31" t="inlineStr">
        <is>
          <t>☆</t>
        </is>
      </c>
      <c r="BG31" t="inlineStr">
        <is>
          <t>☆</t>
        </is>
      </c>
      <c r="BH31" t="inlineStr">
        <is>
          <t>☆</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c r="BS31" t="inlineStr">
        <is>
          <t>#VALUE!</t>
        </is>
      </c>
    </row>
    <row r="32" ht="25.5" customHeight="1">
      <c r="A32" t="inlineStr">
        <is>
          <t>DE</t>
        </is>
      </c>
      <c r="B32"/>
      <c r="C32"/>
      <c r="D32" t="inlineStr">
        <is>
          <t>空净AP100A（coupon-5%）</t>
        </is>
      </c>
      <c r="E32">
        <v>34.5</v>
      </c>
      <c r="F32">
        <v>49.99</v>
      </c>
      <c r="G32"/>
      <c r="H32"/>
      <c r="I32"/>
      <c r="J32"/>
      <c r="K32"/>
      <c r="L32"/>
      <c r="M32"/>
      <c r="N32"/>
      <c r="O32"/>
      <c r="P32">
        <v>9</v>
      </c>
      <c r="Q32">
        <v>8</v>
      </c>
      <c r="R32"/>
      <c r="S32"/>
      <c r="T32">
        <v>0.05</v>
      </c>
      <c r="U32">
        <v>0.01</v>
      </c>
      <c r="V32"/>
      <c r="W32"/>
      <c r="X32">
        <v>0.188</v>
      </c>
      <c r="Y32">
        <v>5</v>
      </c>
      <c r="Z32"/>
      <c r="AA32"/>
      <c r="AB32"/>
      <c r="AC32">
        <v>94.4</v>
      </c>
      <c r="AD32"/>
      <c r="AE32"/>
      <c r="AF32"/>
      <c r="AG32"/>
      <c r="AH32">
        <v>15</v>
      </c>
      <c r="AI32"/>
      <c r="AJ32"/>
      <c r="AK32"/>
      <c r="AL32"/>
      <c r="AM32"/>
      <c r="AN32"/>
      <c r="AO32"/>
      <c r="AP32"/>
      <c r="AQ32"/>
      <c r="AR32"/>
      <c r="AS32"/>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c r="BS32" t="inlineStr">
        <is>
          <t>#VALUE!</t>
        </is>
      </c>
    </row>
    <row r="33" ht="25.5" customHeight="1">
      <c r="A33" t="inlineStr">
        <is>
          <t>DE</t>
        </is>
      </c>
      <c r="B33"/>
      <c r="C33"/>
      <c r="D33" t="inlineStr">
        <is>
          <t>空净AP100A（coupon-10%）</t>
        </is>
      </c>
      <c r="E33">
        <v>34.5</v>
      </c>
      <c r="F33">
        <v>49.99</v>
      </c>
      <c r="G33"/>
      <c r="H33"/>
      <c r="I33"/>
      <c r="J33"/>
      <c r="K33"/>
      <c r="L33"/>
      <c r="M33"/>
      <c r="N33"/>
      <c r="O33"/>
      <c r="P33">
        <v>9</v>
      </c>
      <c r="Q33">
        <v>8</v>
      </c>
      <c r="R33"/>
      <c r="S33"/>
      <c r="T33">
        <v>0.05</v>
      </c>
      <c r="U33">
        <v>0.01</v>
      </c>
      <c r="V33"/>
      <c r="W33"/>
      <c r="X33">
        <v>0.188</v>
      </c>
      <c r="Y33">
        <v>5</v>
      </c>
      <c r="Z33"/>
      <c r="AA33"/>
      <c r="AB33"/>
      <c r="AC33">
        <v>94.4</v>
      </c>
      <c r="AD33"/>
      <c r="AE33"/>
      <c r="AF33"/>
      <c r="AG33"/>
      <c r="AH33">
        <v>15</v>
      </c>
      <c r="AI33"/>
      <c r="AJ33"/>
      <c r="AK33"/>
      <c r="AL33"/>
      <c r="AM33"/>
      <c r="AN33"/>
      <c r="AO33"/>
      <c r="AP33"/>
      <c r="AQ33"/>
      <c r="AR33"/>
      <c r="AS33"/>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c r="BS33" t="inlineStr">
        <is>
          <t>#VALUE!</t>
        </is>
      </c>
    </row>
    <row r="34" ht="25.5" customHeight="1">
      <c r="A34" t="inlineStr">
        <is>
          <t>DE</t>
        </is>
      </c>
      <c r="B34"/>
      <c r="C34"/>
      <c r="D34" t="inlineStr">
        <is>
          <t>空净AP100A（coupon-15%）</t>
        </is>
      </c>
      <c r="E34">
        <v>34.5</v>
      </c>
      <c r="F34">
        <v>49.99</v>
      </c>
      <c r="G34"/>
      <c r="H34"/>
      <c r="I34"/>
      <c r="J34"/>
      <c r="K34"/>
      <c r="L34"/>
      <c r="M34"/>
      <c r="N34"/>
      <c r="O34"/>
      <c r="P34">
        <v>9</v>
      </c>
      <c r="Q34">
        <v>8</v>
      </c>
      <c r="R34"/>
      <c r="S34"/>
      <c r="T34">
        <v>0.05</v>
      </c>
      <c r="U34">
        <v>0.01</v>
      </c>
      <c r="V34"/>
      <c r="W34"/>
      <c r="X34">
        <v>0.188</v>
      </c>
      <c r="Y34">
        <v>5</v>
      </c>
      <c r="Z34"/>
      <c r="AA34"/>
      <c r="AB34"/>
      <c r="AC34">
        <v>94.4</v>
      </c>
      <c r="AD34"/>
      <c r="AE34"/>
      <c r="AF34"/>
      <c r="AG34"/>
      <c r="AH34">
        <v>15</v>
      </c>
      <c r="AI34"/>
      <c r="AJ34"/>
      <c r="AK34"/>
      <c r="AL34"/>
      <c r="AM34"/>
      <c r="AN34"/>
      <c r="AO34"/>
      <c r="AP34"/>
      <c r="AQ34"/>
      <c r="AR34"/>
      <c r="AS34"/>
      <c r="AT34" t="inlineStr">
        <is>
          <t>☆</t>
        </is>
      </c>
      <c r="AU34" t="inlineStr">
        <is>
          <t>☆</t>
        </is>
      </c>
      <c r="AV34" t="inlineStr">
        <is>
          <t>☆</t>
        </is>
      </c>
      <c r="AW34" t="inlineStr">
        <is>
          <t>☆</t>
        </is>
      </c>
      <c r="AX34" t="inlineStr">
        <is>
          <t>☆</t>
        </is>
      </c>
      <c r="AY34" t="inlineStr">
        <is>
          <t>☆</t>
        </is>
      </c>
      <c r="AZ34" t="inlineStr">
        <is>
          <t>☆</t>
        </is>
      </c>
      <c r="BA34" t="inlineStr">
        <is>
          <t>☆</t>
        </is>
      </c>
      <c r="BB34" t="inlineStr">
        <is>
          <t>☆</t>
        </is>
      </c>
      <c r="BC34" t="inlineStr">
        <is>
          <t>☆</t>
        </is>
      </c>
      <c r="BD34" t="inlineStr">
        <is>
          <t>☆</t>
        </is>
      </c>
      <c r="BE34" t="inlineStr">
        <is>
          <t>☆</t>
        </is>
      </c>
      <c r="BF34" t="inlineStr">
        <is>
          <t>☆</t>
        </is>
      </c>
      <c r="BG34" t="inlineStr">
        <is>
          <t>☆</t>
        </is>
      </c>
      <c r="BH34" t="inlineStr">
        <is>
          <t>☆</t>
        </is>
      </c>
      <c r="BI34" t="inlineStr">
        <is>
          <t>☆</t>
        </is>
      </c>
      <c r="BJ34" t="inlineStr">
        <is>
          <t>☆</t>
        </is>
      </c>
      <c r="BK34" t="inlineStr">
        <is>
          <t>☆</t>
        </is>
      </c>
      <c r="BL34" t="inlineStr">
        <is>
          <t>☆</t>
        </is>
      </c>
      <c r="BM34" t="inlineStr">
        <is>
          <t>☆</t>
        </is>
      </c>
      <c r="BN34" t="inlineStr">
        <is>
          <t>☆</t>
        </is>
      </c>
      <c r="BO34" t="inlineStr">
        <is>
          <t>☆</t>
        </is>
      </c>
      <c r="BP34" t="inlineStr">
        <is>
          <t>☆</t>
        </is>
      </c>
      <c r="BQ34" t="inlineStr">
        <is>
          <t>☆</t>
        </is>
      </c>
      <c r="BR34"/>
      <c r="BS34" t="inlineStr">
        <is>
          <t>#VALUE!</t>
        </is>
      </c>
    </row>
    <row r="35" ht="25.5" customHeight="1">
      <c r="A35" t="inlineStr">
        <is>
          <t>FR</t>
        </is>
      </c>
      <c r="B35"/>
      <c r="C35"/>
      <c r="D35" t="inlineStr">
        <is>
          <t>空净AP100A（coupon-0%）</t>
        </is>
      </c>
      <c r="E35">
        <v>34.5</v>
      </c>
      <c r="F35">
        <v>49.99</v>
      </c>
      <c r="G35"/>
      <c r="H35"/>
      <c r="I35"/>
      <c r="J35"/>
      <c r="K35"/>
      <c r="L35"/>
      <c r="M35"/>
      <c r="N35"/>
      <c r="O35"/>
      <c r="P35">
        <v>9</v>
      </c>
      <c r="Q35">
        <v>8</v>
      </c>
      <c r="R35"/>
      <c r="S35"/>
      <c r="T35">
        <v>0.05</v>
      </c>
      <c r="U35">
        <v>0.01</v>
      </c>
      <c r="V35"/>
      <c r="W35"/>
      <c r="X35">
        <v>0.188</v>
      </c>
      <c r="Y35">
        <v>5</v>
      </c>
      <c r="Z35">
        <v>0</v>
      </c>
      <c r="AA35"/>
      <c r="AB35"/>
      <c r="AC35">
        <v>94.4</v>
      </c>
      <c r="AD35"/>
      <c r="AE35"/>
      <c r="AF35"/>
      <c r="AG35"/>
      <c r="AH35">
        <v>15</v>
      </c>
      <c r="AI35"/>
      <c r="AJ35"/>
      <c r="AK35"/>
      <c r="AL35"/>
      <c r="AM35"/>
      <c r="AN35"/>
      <c r="AO35"/>
      <c r="AP35"/>
      <c r="AQ35"/>
      <c r="AR35"/>
      <c r="AS35"/>
      <c r="AT35" t="inlineStr">
        <is>
          <t>☆</t>
        </is>
      </c>
      <c r="AU35" t="inlineStr">
        <is>
          <t>☆</t>
        </is>
      </c>
      <c r="AV35" t="inlineStr">
        <is>
          <t>☆</t>
        </is>
      </c>
      <c r="AW35" t="inlineStr">
        <is>
          <t>☆</t>
        </is>
      </c>
      <c r="AX35" t="inlineStr">
        <is>
          <t>☆</t>
        </is>
      </c>
      <c r="AY35" t="inlineStr">
        <is>
          <t>☆</t>
        </is>
      </c>
      <c r="AZ35" t="inlineStr">
        <is>
          <t>☆</t>
        </is>
      </c>
      <c r="BA35" t="inlineStr">
        <is>
          <t>☆</t>
        </is>
      </c>
      <c r="BB35" t="inlineStr">
        <is>
          <t>☆</t>
        </is>
      </c>
      <c r="BC35" t="inlineStr">
        <is>
          <t>☆</t>
        </is>
      </c>
      <c r="BD35" t="inlineStr">
        <is>
          <t>☆</t>
        </is>
      </c>
      <c r="BE35" t="inlineStr">
        <is>
          <t>☆</t>
        </is>
      </c>
      <c r="BF35" t="inlineStr">
        <is>
          <t>☆</t>
        </is>
      </c>
      <c r="BG35" t="inlineStr">
        <is>
          <t>☆</t>
        </is>
      </c>
      <c r="BH35" t="inlineStr">
        <is>
          <t>☆</t>
        </is>
      </c>
      <c r="BI35" t="inlineStr">
        <is>
          <t>☆</t>
        </is>
      </c>
      <c r="BJ35" t="inlineStr">
        <is>
          <t>☆</t>
        </is>
      </c>
      <c r="BK35" t="inlineStr">
        <is>
          <t>☆</t>
        </is>
      </c>
      <c r="BL35" t="inlineStr">
        <is>
          <t>☆</t>
        </is>
      </c>
      <c r="BM35" t="inlineStr">
        <is>
          <t>☆</t>
        </is>
      </c>
      <c r="BN35" t="inlineStr">
        <is>
          <t>☆</t>
        </is>
      </c>
      <c r="BO35" t="inlineStr">
        <is>
          <t>☆</t>
        </is>
      </c>
      <c r="BP35" t="inlineStr">
        <is>
          <t>☆</t>
        </is>
      </c>
      <c r="BQ35" t="inlineStr">
        <is>
          <t>☆</t>
        </is>
      </c>
      <c r="BR35"/>
      <c r="BS35" t="inlineStr">
        <is>
          <t>#VALUE!</t>
        </is>
      </c>
    </row>
    <row r="36" ht="25.5" customHeight="1">
      <c r="A36" t="inlineStr">
        <is>
          <t>FR</t>
        </is>
      </c>
      <c r="B36"/>
      <c r="C36"/>
      <c r="D36" t="inlineStr">
        <is>
          <t>空净AP100A（coupon-5%）</t>
        </is>
      </c>
      <c r="E36">
        <v>34.5</v>
      </c>
      <c r="F36">
        <v>49.99</v>
      </c>
      <c r="G36"/>
      <c r="H36"/>
      <c r="I36"/>
      <c r="J36"/>
      <c r="K36"/>
      <c r="L36"/>
      <c r="M36"/>
      <c r="N36"/>
      <c r="O36"/>
      <c r="P36">
        <v>9</v>
      </c>
      <c r="Q36">
        <v>8</v>
      </c>
      <c r="R36"/>
      <c r="S36"/>
      <c r="T36">
        <v>0.05</v>
      </c>
      <c r="U36">
        <v>0.01</v>
      </c>
      <c r="V36"/>
      <c r="W36"/>
      <c r="X36">
        <v>0.188</v>
      </c>
      <c r="Y36">
        <v>5</v>
      </c>
      <c r="Z36"/>
      <c r="AA36"/>
      <c r="AB36"/>
      <c r="AC36">
        <v>94.4</v>
      </c>
      <c r="AD36"/>
      <c r="AE36"/>
      <c r="AF36"/>
      <c r="AG36"/>
      <c r="AH36">
        <v>15</v>
      </c>
      <c r="AI36"/>
      <c r="AJ36"/>
      <c r="AK36"/>
      <c r="AL36"/>
      <c r="AM36"/>
      <c r="AN36"/>
      <c r="AO36"/>
      <c r="AP36"/>
      <c r="AQ36"/>
      <c r="AR36"/>
      <c r="AS36"/>
      <c r="AT36" t="inlineStr">
        <is>
          <t>☆</t>
        </is>
      </c>
      <c r="AU36" t="inlineStr">
        <is>
          <t>☆</t>
        </is>
      </c>
      <c r="AV36" t="inlineStr">
        <is>
          <t>☆</t>
        </is>
      </c>
      <c r="AW36" t="inlineStr">
        <is>
          <t>☆</t>
        </is>
      </c>
      <c r="AX36" t="inlineStr">
        <is>
          <t>☆</t>
        </is>
      </c>
      <c r="AY36" t="inlineStr">
        <is>
          <t>☆</t>
        </is>
      </c>
      <c r="AZ36" t="inlineStr">
        <is>
          <t>☆</t>
        </is>
      </c>
      <c r="BA36" t="inlineStr">
        <is>
          <t>☆</t>
        </is>
      </c>
      <c r="BB36" t="inlineStr">
        <is>
          <t>☆</t>
        </is>
      </c>
      <c r="BC36" t="inlineStr">
        <is>
          <t>☆</t>
        </is>
      </c>
      <c r="BD36" t="inlineStr">
        <is>
          <t>☆</t>
        </is>
      </c>
      <c r="BE36" t="inlineStr">
        <is>
          <t>☆</t>
        </is>
      </c>
      <c r="BF36" t="inlineStr">
        <is>
          <t>☆</t>
        </is>
      </c>
      <c r="BG36" t="inlineStr">
        <is>
          <t>☆</t>
        </is>
      </c>
      <c r="BH36" t="inlineStr">
        <is>
          <t>☆</t>
        </is>
      </c>
      <c r="BI36" t="inlineStr">
        <is>
          <t>☆</t>
        </is>
      </c>
      <c r="BJ36" t="inlineStr">
        <is>
          <t>☆</t>
        </is>
      </c>
      <c r="BK36" t="inlineStr">
        <is>
          <t>☆</t>
        </is>
      </c>
      <c r="BL36" t="inlineStr">
        <is>
          <t>☆</t>
        </is>
      </c>
      <c r="BM36" t="inlineStr">
        <is>
          <t>☆</t>
        </is>
      </c>
      <c r="BN36" t="inlineStr">
        <is>
          <t>☆</t>
        </is>
      </c>
      <c r="BO36" t="inlineStr">
        <is>
          <t>☆</t>
        </is>
      </c>
      <c r="BP36" t="inlineStr">
        <is>
          <t>☆</t>
        </is>
      </c>
      <c r="BQ36" t="inlineStr">
        <is>
          <t>☆</t>
        </is>
      </c>
      <c r="BR36"/>
      <c r="BS36" t="inlineStr">
        <is>
          <t>#VALUE!</t>
        </is>
      </c>
    </row>
    <row r="37" ht="25.5" customHeight="1">
      <c r="A37" t="inlineStr">
        <is>
          <t>FR</t>
        </is>
      </c>
      <c r="B37"/>
      <c r="C37"/>
      <c r="D37" t="inlineStr">
        <is>
          <t>空净AP100A（coupon-10%）</t>
        </is>
      </c>
      <c r="E37">
        <v>34.5</v>
      </c>
      <c r="F37">
        <v>49.99</v>
      </c>
      <c r="G37"/>
      <c r="H37"/>
      <c r="I37"/>
      <c r="J37"/>
      <c r="K37"/>
      <c r="L37"/>
      <c r="M37"/>
      <c r="N37"/>
      <c r="O37"/>
      <c r="P37">
        <v>9</v>
      </c>
      <c r="Q37">
        <v>8</v>
      </c>
      <c r="R37"/>
      <c r="S37"/>
      <c r="T37">
        <v>0.05</v>
      </c>
      <c r="U37">
        <v>0.01</v>
      </c>
      <c r="V37"/>
      <c r="W37"/>
      <c r="X37">
        <v>0.188</v>
      </c>
      <c r="Y37">
        <v>5</v>
      </c>
      <c r="Z37"/>
      <c r="AA37"/>
      <c r="AB37"/>
      <c r="AC37">
        <v>94.4</v>
      </c>
      <c r="AD37"/>
      <c r="AE37"/>
      <c r="AF37"/>
      <c r="AG37"/>
      <c r="AH37">
        <v>15</v>
      </c>
      <c r="AI37"/>
      <c r="AJ37"/>
      <c r="AK37"/>
      <c r="AL37"/>
      <c r="AM37"/>
      <c r="AN37"/>
      <c r="AO37"/>
      <c r="AP37"/>
      <c r="AQ37"/>
      <c r="AR37"/>
      <c r="AS37"/>
      <c r="AT37" t="inlineStr">
        <is>
          <t>☆</t>
        </is>
      </c>
      <c r="AU37" t="inlineStr">
        <is>
          <t>☆</t>
        </is>
      </c>
      <c r="AV37" t="inlineStr">
        <is>
          <t>☆</t>
        </is>
      </c>
      <c r="AW37" t="inlineStr">
        <is>
          <t>☆</t>
        </is>
      </c>
      <c r="AX37" t="inlineStr">
        <is>
          <t>☆</t>
        </is>
      </c>
      <c r="AY37" t="inlineStr">
        <is>
          <t>☆</t>
        </is>
      </c>
      <c r="AZ37" t="inlineStr">
        <is>
          <t>☆</t>
        </is>
      </c>
      <c r="BA37" t="inlineStr">
        <is>
          <t>☆</t>
        </is>
      </c>
      <c r="BB37" t="inlineStr">
        <is>
          <t>☆</t>
        </is>
      </c>
      <c r="BC37" t="inlineStr">
        <is>
          <t>☆</t>
        </is>
      </c>
      <c r="BD37" t="inlineStr">
        <is>
          <t>☆</t>
        </is>
      </c>
      <c r="BE37" t="inlineStr">
        <is>
          <t>☆</t>
        </is>
      </c>
      <c r="BF37" t="inlineStr">
        <is>
          <t>☆</t>
        </is>
      </c>
      <c r="BG37" t="inlineStr">
        <is>
          <t>☆</t>
        </is>
      </c>
      <c r="BH37" t="inlineStr">
        <is>
          <t>☆</t>
        </is>
      </c>
      <c r="BI37" t="inlineStr">
        <is>
          <t>☆</t>
        </is>
      </c>
      <c r="BJ37" t="inlineStr">
        <is>
          <t>☆</t>
        </is>
      </c>
      <c r="BK37" t="inlineStr">
        <is>
          <t>☆</t>
        </is>
      </c>
      <c r="BL37" t="inlineStr">
        <is>
          <t>☆</t>
        </is>
      </c>
      <c r="BM37" t="inlineStr">
        <is>
          <t>☆</t>
        </is>
      </c>
      <c r="BN37" t="inlineStr">
        <is>
          <t>☆</t>
        </is>
      </c>
      <c r="BO37" t="inlineStr">
        <is>
          <t>☆</t>
        </is>
      </c>
      <c r="BP37" t="inlineStr">
        <is>
          <t>☆</t>
        </is>
      </c>
      <c r="BQ37" t="inlineStr">
        <is>
          <t>☆</t>
        </is>
      </c>
      <c r="BR37"/>
      <c r="BS37" t="inlineStr">
        <is>
          <t>#VALUE!</t>
        </is>
      </c>
    </row>
    <row r="38" ht="25.5" customHeight="1">
      <c r="A38" t="inlineStr">
        <is>
          <t>FR</t>
        </is>
      </c>
      <c r="B38"/>
      <c r="C38"/>
      <c r="D38" t="inlineStr">
        <is>
          <t>空净AP100A（coupon-15%）</t>
        </is>
      </c>
      <c r="E38">
        <v>34.5</v>
      </c>
      <c r="F38">
        <v>49.99</v>
      </c>
      <c r="G38"/>
      <c r="H38"/>
      <c r="I38"/>
      <c r="J38"/>
      <c r="K38"/>
      <c r="L38"/>
      <c r="M38"/>
      <c r="N38"/>
      <c r="O38"/>
      <c r="P38">
        <v>9</v>
      </c>
      <c r="Q38">
        <v>8</v>
      </c>
      <c r="R38"/>
      <c r="S38"/>
      <c r="T38">
        <v>0.05</v>
      </c>
      <c r="U38">
        <v>0.01</v>
      </c>
      <c r="V38"/>
      <c r="W38"/>
      <c r="X38">
        <v>0.188</v>
      </c>
      <c r="Y38">
        <v>5</v>
      </c>
      <c r="Z38"/>
      <c r="AA38"/>
      <c r="AB38"/>
      <c r="AC38">
        <v>94.4</v>
      </c>
      <c r="AD38"/>
      <c r="AE38"/>
      <c r="AF38"/>
      <c r="AG38"/>
      <c r="AH38">
        <v>15</v>
      </c>
      <c r="AI38"/>
      <c r="AJ38"/>
      <c r="AK38"/>
      <c r="AL38"/>
      <c r="AM38"/>
      <c r="AN38"/>
      <c r="AO38"/>
      <c r="AP38"/>
      <c r="AQ38"/>
      <c r="AR38"/>
      <c r="AS38"/>
      <c r="AT38" t="inlineStr">
        <is>
          <t>☆</t>
        </is>
      </c>
      <c r="AU38" t="inlineStr">
        <is>
          <t>☆</t>
        </is>
      </c>
      <c r="AV38" t="inlineStr">
        <is>
          <t>☆</t>
        </is>
      </c>
      <c r="AW38" t="inlineStr">
        <is>
          <t>☆</t>
        </is>
      </c>
      <c r="AX38" t="inlineStr">
        <is>
          <t>☆</t>
        </is>
      </c>
      <c r="AY38" t="inlineStr">
        <is>
          <t>☆</t>
        </is>
      </c>
      <c r="AZ38" t="inlineStr">
        <is>
          <t>☆</t>
        </is>
      </c>
      <c r="BA38" t="inlineStr">
        <is>
          <t>☆</t>
        </is>
      </c>
      <c r="BB38" t="inlineStr">
        <is>
          <t>☆</t>
        </is>
      </c>
      <c r="BC38" t="inlineStr">
        <is>
          <t>☆</t>
        </is>
      </c>
      <c r="BD38" t="inlineStr">
        <is>
          <t>☆</t>
        </is>
      </c>
      <c r="BE38" t="inlineStr">
        <is>
          <t>☆</t>
        </is>
      </c>
      <c r="BF38" t="inlineStr">
        <is>
          <t>☆</t>
        </is>
      </c>
      <c r="BG38" t="inlineStr">
        <is>
          <t>☆</t>
        </is>
      </c>
      <c r="BH38" t="inlineStr">
        <is>
          <t>☆</t>
        </is>
      </c>
      <c r="BI38" t="inlineStr">
        <is>
          <t>☆</t>
        </is>
      </c>
      <c r="BJ38" t="inlineStr">
        <is>
          <t>☆</t>
        </is>
      </c>
      <c r="BK38" t="inlineStr">
        <is>
          <t>☆</t>
        </is>
      </c>
      <c r="BL38" t="inlineStr">
        <is>
          <t>☆</t>
        </is>
      </c>
      <c r="BM38" t="inlineStr">
        <is>
          <t>☆</t>
        </is>
      </c>
      <c r="BN38" t="inlineStr">
        <is>
          <t>☆</t>
        </is>
      </c>
      <c r="BO38" t="inlineStr">
        <is>
          <t>☆</t>
        </is>
      </c>
      <c r="BP38" t="inlineStr">
        <is>
          <t>☆</t>
        </is>
      </c>
      <c r="BQ38" t="inlineStr">
        <is>
          <t>☆</t>
        </is>
      </c>
      <c r="BR38"/>
      <c r="BS38" t="inlineStr">
        <is>
          <t>#VALUE!</t>
        </is>
      </c>
    </row>
    <row r="39" ht="25.5" customHeight="1">
      <c r="A39" t="inlineStr">
        <is>
          <t>IT</t>
        </is>
      </c>
      <c r="B39"/>
      <c r="C39"/>
      <c r="D39" t="inlineStr">
        <is>
          <t>空净AP100A（coupon-0%）</t>
        </is>
      </c>
      <c r="E39">
        <v>34.5</v>
      </c>
      <c r="F39">
        <v>49.99</v>
      </c>
      <c r="G39"/>
      <c r="H39"/>
      <c r="I39"/>
      <c r="J39"/>
      <c r="K39"/>
      <c r="L39"/>
      <c r="M39"/>
      <c r="N39"/>
      <c r="O39"/>
      <c r="P39">
        <v>9</v>
      </c>
      <c r="Q39">
        <v>8</v>
      </c>
      <c r="R39"/>
      <c r="S39"/>
      <c r="T39">
        <v>0.05</v>
      </c>
      <c r="U39">
        <v>0.01</v>
      </c>
      <c r="V39"/>
      <c r="W39"/>
      <c r="X39">
        <v>0.188</v>
      </c>
      <c r="Y39">
        <v>5</v>
      </c>
      <c r="Z39">
        <v>0</v>
      </c>
      <c r="AA39"/>
      <c r="AB39"/>
      <c r="AC39">
        <v>94.4</v>
      </c>
      <c r="AD39"/>
      <c r="AE39"/>
      <c r="AF39"/>
      <c r="AG39"/>
      <c r="AH39">
        <v>15</v>
      </c>
      <c r="AI39"/>
      <c r="AJ39"/>
      <c r="AK39"/>
      <c r="AL39"/>
      <c r="AM39"/>
      <c r="AN39"/>
      <c r="AO39"/>
      <c r="AP39"/>
      <c r="AQ39"/>
      <c r="AR39"/>
      <c r="AS39"/>
      <c r="AT39" t="inlineStr">
        <is>
          <t>☆</t>
        </is>
      </c>
      <c r="AU39" t="inlineStr">
        <is>
          <t>☆</t>
        </is>
      </c>
      <c r="AV39" t="inlineStr">
        <is>
          <t>☆</t>
        </is>
      </c>
      <c r="AW39" t="inlineStr">
        <is>
          <t>☆</t>
        </is>
      </c>
      <c r="AX39" t="inlineStr">
        <is>
          <t>☆</t>
        </is>
      </c>
      <c r="AY39" t="inlineStr">
        <is>
          <t>☆</t>
        </is>
      </c>
      <c r="AZ39" t="inlineStr">
        <is>
          <t>☆</t>
        </is>
      </c>
      <c r="BA39" t="inlineStr">
        <is>
          <t>☆</t>
        </is>
      </c>
      <c r="BB39" t="inlineStr">
        <is>
          <t>☆</t>
        </is>
      </c>
      <c r="BC39" t="inlineStr">
        <is>
          <t>☆</t>
        </is>
      </c>
      <c r="BD39" t="inlineStr">
        <is>
          <t>☆</t>
        </is>
      </c>
      <c r="BE39" t="inlineStr">
        <is>
          <t>☆</t>
        </is>
      </c>
      <c r="BF39" t="inlineStr">
        <is>
          <t>☆</t>
        </is>
      </c>
      <c r="BG39" t="inlineStr">
        <is>
          <t>☆</t>
        </is>
      </c>
      <c r="BH39" t="inlineStr">
        <is>
          <t>☆</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c r="BS39" t="inlineStr">
        <is>
          <t>#VALUE!</t>
        </is>
      </c>
    </row>
    <row r="40" ht="25.5" customHeight="1">
      <c r="A40" t="inlineStr">
        <is>
          <t>IT</t>
        </is>
      </c>
      <c r="B40"/>
      <c r="C40"/>
      <c r="D40" t="inlineStr">
        <is>
          <t>空净AP100A（coupon-5%）</t>
        </is>
      </c>
      <c r="E40">
        <v>34.5</v>
      </c>
      <c r="F40">
        <v>49.99</v>
      </c>
      <c r="G40"/>
      <c r="H40"/>
      <c r="I40"/>
      <c r="J40"/>
      <c r="K40"/>
      <c r="L40"/>
      <c r="M40"/>
      <c r="N40"/>
      <c r="O40"/>
      <c r="P40">
        <v>9</v>
      </c>
      <c r="Q40">
        <v>8</v>
      </c>
      <c r="R40"/>
      <c r="S40"/>
      <c r="T40">
        <v>0.05</v>
      </c>
      <c r="U40">
        <v>0.01</v>
      </c>
      <c r="V40"/>
      <c r="W40"/>
      <c r="X40">
        <v>0.188</v>
      </c>
      <c r="Y40">
        <v>5</v>
      </c>
      <c r="Z40"/>
      <c r="AA40"/>
      <c r="AB40"/>
      <c r="AC40">
        <v>94.4</v>
      </c>
      <c r="AD40"/>
      <c r="AE40"/>
      <c r="AF40"/>
      <c r="AG40"/>
      <c r="AH40">
        <v>15</v>
      </c>
      <c r="AI40"/>
      <c r="AJ40"/>
      <c r="AK40"/>
      <c r="AL40"/>
      <c r="AM40"/>
      <c r="AN40"/>
      <c r="AO40"/>
      <c r="AP40"/>
      <c r="AQ40"/>
      <c r="AR40"/>
      <c r="AS40"/>
      <c r="AT40" t="inlineStr">
        <is>
          <t>☆</t>
        </is>
      </c>
      <c r="AU40" t="inlineStr">
        <is>
          <t>☆</t>
        </is>
      </c>
      <c r="AV40" t="inlineStr">
        <is>
          <t>☆</t>
        </is>
      </c>
      <c r="AW40" t="inlineStr">
        <is>
          <t>☆</t>
        </is>
      </c>
      <c r="AX40" t="inlineStr">
        <is>
          <t>☆</t>
        </is>
      </c>
      <c r="AY40" t="inlineStr">
        <is>
          <t>☆</t>
        </is>
      </c>
      <c r="AZ40" t="inlineStr">
        <is>
          <t>☆</t>
        </is>
      </c>
      <c r="BA40" t="inlineStr">
        <is>
          <t>☆</t>
        </is>
      </c>
      <c r="BB40" t="inlineStr">
        <is>
          <t>☆</t>
        </is>
      </c>
      <c r="BC40" t="inlineStr">
        <is>
          <t>☆</t>
        </is>
      </c>
      <c r="BD40" t="inlineStr">
        <is>
          <t>☆</t>
        </is>
      </c>
      <c r="BE40" t="inlineStr">
        <is>
          <t>☆</t>
        </is>
      </c>
      <c r="BF40" t="inlineStr">
        <is>
          <t>☆</t>
        </is>
      </c>
      <c r="BG40" t="inlineStr">
        <is>
          <t>☆</t>
        </is>
      </c>
      <c r="BH40" t="inlineStr">
        <is>
          <t>☆</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c r="BS40" t="inlineStr">
        <is>
          <t>#VALUE!</t>
        </is>
      </c>
    </row>
    <row r="41" ht="25.5" customHeight="1">
      <c r="A41" t="inlineStr">
        <is>
          <t>IT</t>
        </is>
      </c>
      <c r="B41"/>
      <c r="C41"/>
      <c r="D41" t="inlineStr">
        <is>
          <t>空净AP100A（coupon-10%）</t>
        </is>
      </c>
      <c r="E41">
        <v>34.5</v>
      </c>
      <c r="F41">
        <v>49.99</v>
      </c>
      <c r="G41"/>
      <c r="H41"/>
      <c r="I41"/>
      <c r="J41"/>
      <c r="K41"/>
      <c r="L41"/>
      <c r="M41"/>
      <c r="N41"/>
      <c r="O41"/>
      <c r="P41">
        <v>9</v>
      </c>
      <c r="Q41">
        <v>8</v>
      </c>
      <c r="R41"/>
      <c r="S41"/>
      <c r="T41">
        <v>0.05</v>
      </c>
      <c r="U41">
        <v>0.01</v>
      </c>
      <c r="V41"/>
      <c r="W41"/>
      <c r="X41">
        <v>0.188</v>
      </c>
      <c r="Y41">
        <v>5</v>
      </c>
      <c r="Z41"/>
      <c r="AA41"/>
      <c r="AB41"/>
      <c r="AC41">
        <v>94.4</v>
      </c>
      <c r="AD41"/>
      <c r="AE41"/>
      <c r="AF41"/>
      <c r="AG41"/>
      <c r="AH41">
        <v>15</v>
      </c>
      <c r="AI41"/>
      <c r="AJ41"/>
      <c r="AK41"/>
      <c r="AL41"/>
      <c r="AM41"/>
      <c r="AN41"/>
      <c r="AO41"/>
      <c r="AP41"/>
      <c r="AQ41"/>
      <c r="AR41"/>
      <c r="AS41"/>
      <c r="AT41" t="inlineStr">
        <is>
          <t>☆</t>
        </is>
      </c>
      <c r="AU41" t="inlineStr">
        <is>
          <t>☆</t>
        </is>
      </c>
      <c r="AV41" t="inlineStr">
        <is>
          <t>☆</t>
        </is>
      </c>
      <c r="AW41" t="inlineStr">
        <is>
          <t>☆</t>
        </is>
      </c>
      <c r="AX41" t="inlineStr">
        <is>
          <t>☆</t>
        </is>
      </c>
      <c r="AY41" t="inlineStr">
        <is>
          <t>☆</t>
        </is>
      </c>
      <c r="AZ41" t="inlineStr">
        <is>
          <t>☆</t>
        </is>
      </c>
      <c r="BA41" t="inlineStr">
        <is>
          <t>☆</t>
        </is>
      </c>
      <c r="BB41" t="inlineStr">
        <is>
          <t>☆</t>
        </is>
      </c>
      <c r="BC41" t="inlineStr">
        <is>
          <t>☆</t>
        </is>
      </c>
      <c r="BD41" t="inlineStr">
        <is>
          <t>☆</t>
        </is>
      </c>
      <c r="BE41" t="inlineStr">
        <is>
          <t>☆</t>
        </is>
      </c>
      <c r="BF41" t="inlineStr">
        <is>
          <t>☆</t>
        </is>
      </c>
      <c r="BG41" t="inlineStr">
        <is>
          <t>☆</t>
        </is>
      </c>
      <c r="BH41" t="inlineStr">
        <is>
          <t>☆</t>
        </is>
      </c>
      <c r="BI41" t="inlineStr">
        <is>
          <t>☆</t>
        </is>
      </c>
      <c r="BJ41" t="inlineStr">
        <is>
          <t>☆</t>
        </is>
      </c>
      <c r="BK41" t="inlineStr">
        <is>
          <t>☆</t>
        </is>
      </c>
      <c r="BL41" t="inlineStr">
        <is>
          <t>☆</t>
        </is>
      </c>
      <c r="BM41" t="inlineStr">
        <is>
          <t>☆</t>
        </is>
      </c>
      <c r="BN41" t="inlineStr">
        <is>
          <t>☆</t>
        </is>
      </c>
      <c r="BO41" t="inlineStr">
        <is>
          <t>☆</t>
        </is>
      </c>
      <c r="BP41" t="inlineStr">
        <is>
          <t>☆</t>
        </is>
      </c>
      <c r="BQ41" t="inlineStr">
        <is>
          <t>☆</t>
        </is>
      </c>
      <c r="BR41"/>
      <c r="BS41" t="inlineStr">
        <is>
          <t>#VALUE!</t>
        </is>
      </c>
    </row>
    <row r="42" ht="25.5" customHeight="1">
      <c r="A42" t="inlineStr">
        <is>
          <t>IT</t>
        </is>
      </c>
      <c r="B42"/>
      <c r="C42"/>
      <c r="D42" t="inlineStr">
        <is>
          <t>空净AP100A（coupon-15%）</t>
        </is>
      </c>
      <c r="E42">
        <v>34.5</v>
      </c>
      <c r="F42">
        <v>49.99</v>
      </c>
      <c r="G42"/>
      <c r="H42"/>
      <c r="I42"/>
      <c r="J42"/>
      <c r="K42"/>
      <c r="L42"/>
      <c r="M42"/>
      <c r="N42"/>
      <c r="O42"/>
      <c r="P42">
        <v>9</v>
      </c>
      <c r="Q42">
        <v>8</v>
      </c>
      <c r="R42"/>
      <c r="S42"/>
      <c r="T42">
        <v>0.05</v>
      </c>
      <c r="U42">
        <v>0.01</v>
      </c>
      <c r="V42"/>
      <c r="W42"/>
      <c r="X42">
        <v>0.188</v>
      </c>
      <c r="Y42">
        <v>5</v>
      </c>
      <c r="Z42"/>
      <c r="AA42"/>
      <c r="AB42"/>
      <c r="AC42">
        <v>94.4</v>
      </c>
      <c r="AD42"/>
      <c r="AE42"/>
      <c r="AF42"/>
      <c r="AG42"/>
      <c r="AH42">
        <v>15</v>
      </c>
      <c r="AI42"/>
      <c r="AJ42"/>
      <c r="AK42"/>
      <c r="AL42"/>
      <c r="AM42"/>
      <c r="AN42"/>
      <c r="AO42"/>
      <c r="AP42"/>
      <c r="AQ42"/>
      <c r="AR42"/>
      <c r="AS42"/>
      <c r="AT42" t="inlineStr">
        <is>
          <t>☆</t>
        </is>
      </c>
      <c r="AU42" t="inlineStr">
        <is>
          <t>☆</t>
        </is>
      </c>
      <c r="AV42" t="inlineStr">
        <is>
          <t>☆</t>
        </is>
      </c>
      <c r="AW42" t="inlineStr">
        <is>
          <t>☆</t>
        </is>
      </c>
      <c r="AX42" t="inlineStr">
        <is>
          <t>☆</t>
        </is>
      </c>
      <c r="AY42" t="inlineStr">
        <is>
          <t>☆</t>
        </is>
      </c>
      <c r="AZ42" t="inlineStr">
        <is>
          <t>☆</t>
        </is>
      </c>
      <c r="BA42" t="inlineStr">
        <is>
          <t>☆</t>
        </is>
      </c>
      <c r="BB42" t="inlineStr">
        <is>
          <t>☆</t>
        </is>
      </c>
      <c r="BC42" t="inlineStr">
        <is>
          <t>☆</t>
        </is>
      </c>
      <c r="BD42" t="inlineStr">
        <is>
          <t>☆</t>
        </is>
      </c>
      <c r="BE42" t="inlineStr">
        <is>
          <t>☆</t>
        </is>
      </c>
      <c r="BF42" t="inlineStr">
        <is>
          <t>☆</t>
        </is>
      </c>
      <c r="BG42" t="inlineStr">
        <is>
          <t>☆</t>
        </is>
      </c>
      <c r="BH42" t="inlineStr">
        <is>
          <t>☆</t>
        </is>
      </c>
      <c r="BI42" t="inlineStr">
        <is>
          <t>☆</t>
        </is>
      </c>
      <c r="BJ42" t="inlineStr">
        <is>
          <t>☆</t>
        </is>
      </c>
      <c r="BK42" t="inlineStr">
        <is>
          <t>☆</t>
        </is>
      </c>
      <c r="BL42" t="inlineStr">
        <is>
          <t>☆</t>
        </is>
      </c>
      <c r="BM42" t="inlineStr">
        <is>
          <t>☆</t>
        </is>
      </c>
      <c r="BN42" t="inlineStr">
        <is>
          <t>☆</t>
        </is>
      </c>
      <c r="BO42" t="inlineStr">
        <is>
          <t>☆</t>
        </is>
      </c>
      <c r="BP42" t="inlineStr">
        <is>
          <t>☆</t>
        </is>
      </c>
      <c r="BQ42" t="inlineStr">
        <is>
          <t>☆</t>
        </is>
      </c>
      <c r="BR42"/>
      <c r="BS42" t="inlineStr">
        <is>
          <t>#VALUE!</t>
        </is>
      </c>
    </row>
    <row r="43" ht="25.5" customHeight="1">
      <c r="A43" t="inlineStr">
        <is>
          <t>ES</t>
        </is>
      </c>
      <c r="B43"/>
      <c r="C43"/>
      <c r="D43" t="inlineStr">
        <is>
          <t>空净AP100A（coupon-0%）</t>
        </is>
      </c>
      <c r="E43">
        <v>34.5</v>
      </c>
      <c r="F43">
        <v>49.99</v>
      </c>
      <c r="G43"/>
      <c r="H43"/>
      <c r="I43"/>
      <c r="J43"/>
      <c r="K43"/>
      <c r="L43"/>
      <c r="M43"/>
      <c r="N43"/>
      <c r="O43"/>
      <c r="P43">
        <v>9</v>
      </c>
      <c r="Q43">
        <v>8</v>
      </c>
      <c r="R43"/>
      <c r="S43"/>
      <c r="T43">
        <v>0.05</v>
      </c>
      <c r="U43">
        <v>0.01</v>
      </c>
      <c r="V43"/>
      <c r="W43"/>
      <c r="X43">
        <v>0.188</v>
      </c>
      <c r="Y43">
        <v>5</v>
      </c>
      <c r="Z43">
        <v>0</v>
      </c>
      <c r="AA43"/>
      <c r="AB43"/>
      <c r="AC43">
        <v>94.4</v>
      </c>
      <c r="AD43"/>
      <c r="AE43"/>
      <c r="AF43"/>
      <c r="AG43"/>
      <c r="AH43">
        <v>15</v>
      </c>
      <c r="AI43"/>
      <c r="AJ43"/>
      <c r="AK43"/>
      <c r="AL43"/>
      <c r="AM43"/>
      <c r="AN43"/>
      <c r="AO43"/>
      <c r="AP43"/>
      <c r="AQ43"/>
      <c r="AR43"/>
      <c r="AS43"/>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c r="BS43" t="inlineStr">
        <is>
          <t>#VALUE!</t>
        </is>
      </c>
    </row>
    <row r="44" ht="25.5" customHeight="1">
      <c r="A44" t="inlineStr">
        <is>
          <t>ES</t>
        </is>
      </c>
      <c r="B44"/>
      <c r="C44"/>
      <c r="D44" t="inlineStr">
        <is>
          <t>空净AP100A（coupon-5%）</t>
        </is>
      </c>
      <c r="E44">
        <v>34.5</v>
      </c>
      <c r="F44">
        <v>49.99</v>
      </c>
      <c r="G44"/>
      <c r="H44"/>
      <c r="I44"/>
      <c r="J44"/>
      <c r="K44"/>
      <c r="L44"/>
      <c r="M44"/>
      <c r="N44"/>
      <c r="O44"/>
      <c r="P44">
        <v>9</v>
      </c>
      <c r="Q44">
        <v>8</v>
      </c>
      <c r="R44"/>
      <c r="S44"/>
      <c r="T44">
        <v>0.05</v>
      </c>
      <c r="U44">
        <v>0.01</v>
      </c>
      <c r="V44"/>
      <c r="W44"/>
      <c r="X44">
        <v>0.188</v>
      </c>
      <c r="Y44">
        <v>5</v>
      </c>
      <c r="Z44"/>
      <c r="AA44"/>
      <c r="AB44"/>
      <c r="AC44">
        <v>94.4</v>
      </c>
      <c r="AD44"/>
      <c r="AE44"/>
      <c r="AF44"/>
      <c r="AG44"/>
      <c r="AH44">
        <v>15</v>
      </c>
      <c r="AI44"/>
      <c r="AJ44"/>
      <c r="AK44"/>
      <c r="AL44"/>
      <c r="AM44"/>
      <c r="AN44"/>
      <c r="AO44"/>
      <c r="AP44"/>
      <c r="AQ44"/>
      <c r="AR44"/>
      <c r="AS44"/>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c r="BS44" t="inlineStr">
        <is>
          <t>#VALUE!</t>
        </is>
      </c>
    </row>
    <row r="45" ht="25.5" customHeight="1">
      <c r="A45" t="inlineStr">
        <is>
          <t>ES</t>
        </is>
      </c>
      <c r="B45"/>
      <c r="C45"/>
      <c r="D45" t="inlineStr">
        <is>
          <t>空净AP100A（coupon-10%）</t>
        </is>
      </c>
      <c r="E45">
        <v>34.5</v>
      </c>
      <c r="F45">
        <v>49.99</v>
      </c>
      <c r="G45"/>
      <c r="H45"/>
      <c r="I45"/>
      <c r="J45"/>
      <c r="K45"/>
      <c r="L45"/>
      <c r="M45"/>
      <c r="N45"/>
      <c r="O45"/>
      <c r="P45">
        <v>9</v>
      </c>
      <c r="Q45">
        <v>8</v>
      </c>
      <c r="R45"/>
      <c r="S45"/>
      <c r="T45">
        <v>0.05</v>
      </c>
      <c r="U45">
        <v>0.01</v>
      </c>
      <c r="V45"/>
      <c r="W45"/>
      <c r="X45">
        <v>0.188</v>
      </c>
      <c r="Y45">
        <v>5</v>
      </c>
      <c r="Z45"/>
      <c r="AA45"/>
      <c r="AB45"/>
      <c r="AC45">
        <v>94.4</v>
      </c>
      <c r="AD45"/>
      <c r="AE45"/>
      <c r="AF45"/>
      <c r="AG45"/>
      <c r="AH45">
        <v>15</v>
      </c>
      <c r="AI45"/>
      <c r="AJ45"/>
      <c r="AK45"/>
      <c r="AL45"/>
      <c r="AM45"/>
      <c r="AN45"/>
      <c r="AO45"/>
      <c r="AP45"/>
      <c r="AQ45"/>
      <c r="AR45"/>
      <c r="AS45"/>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c r="BS45" t="inlineStr">
        <is>
          <t>#VALUE!</t>
        </is>
      </c>
    </row>
    <row r="46" ht="25.5" customHeight="1">
      <c r="A46" t="inlineStr">
        <is>
          <t>ES</t>
        </is>
      </c>
      <c r="B46"/>
      <c r="C46"/>
      <c r="D46" t="inlineStr">
        <is>
          <t>空净AP100A（coupon-15%）</t>
        </is>
      </c>
      <c r="E46">
        <v>34.5</v>
      </c>
      <c r="F46">
        <v>49.99</v>
      </c>
      <c r="G46"/>
      <c r="H46"/>
      <c r="I46"/>
      <c r="J46"/>
      <c r="K46"/>
      <c r="L46"/>
      <c r="M46"/>
      <c r="N46"/>
      <c r="O46"/>
      <c r="P46">
        <v>9</v>
      </c>
      <c r="Q46">
        <v>8</v>
      </c>
      <c r="R46"/>
      <c r="S46"/>
      <c r="T46">
        <v>0.05</v>
      </c>
      <c r="U46">
        <v>0.01</v>
      </c>
      <c r="V46"/>
      <c r="W46"/>
      <c r="X46">
        <v>0.188</v>
      </c>
      <c r="Y46">
        <v>5</v>
      </c>
      <c r="Z46"/>
      <c r="AA46"/>
      <c r="AB46"/>
      <c r="AC46">
        <v>94.4</v>
      </c>
      <c r="AD46"/>
      <c r="AE46"/>
      <c r="AF46"/>
      <c r="AG46"/>
      <c r="AH46">
        <v>15</v>
      </c>
      <c r="AI46"/>
      <c r="AJ46"/>
      <c r="AK46"/>
      <c r="AL46"/>
      <c r="AM46"/>
      <c r="AN46"/>
      <c r="AO46"/>
      <c r="AP46"/>
      <c r="AQ46"/>
      <c r="AR46"/>
      <c r="AS46"/>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c r="BS46" t="inlineStr">
        <is>
          <t>#VALUE!</t>
        </is>
      </c>
    </row>
    <row r="47" ht="25.5" customHeight="1">
      <c r="A47" t="inlineStr">
        <is>
          <t>NL</t>
        </is>
      </c>
      <c r="B47"/>
      <c r="C47"/>
      <c r="D47" t="inlineStr">
        <is>
          <t>空净AP100A</t>
        </is>
      </c>
      <c r="E47">
        <v>35.7</v>
      </c>
      <c r="F47">
        <v>51.99</v>
      </c>
      <c r="G47"/>
      <c r="H47"/>
      <c r="I47"/>
      <c r="J47"/>
      <c r="K47"/>
      <c r="L47"/>
      <c r="M47"/>
      <c r="N47"/>
      <c r="O47"/>
      <c r="P47">
        <v>9</v>
      </c>
      <c r="Q47">
        <v>8</v>
      </c>
      <c r="R47"/>
      <c r="S47"/>
      <c r="T47">
        <v>0.05</v>
      </c>
      <c r="U47">
        <v>0.01</v>
      </c>
      <c r="V47"/>
      <c r="W47"/>
      <c r="X47">
        <v>0.188</v>
      </c>
      <c r="Y47">
        <v>5</v>
      </c>
      <c r="Z47">
        <v>0</v>
      </c>
      <c r="AA47"/>
      <c r="AB47"/>
      <c r="AC47">
        <v>94.4</v>
      </c>
      <c r="AD47"/>
      <c r="AE47"/>
      <c r="AF47"/>
      <c r="AG47"/>
      <c r="AH47">
        <v>15</v>
      </c>
      <c r="AI47"/>
      <c r="AJ47"/>
      <c r="AK47"/>
      <c r="AL47"/>
      <c r="AM47"/>
      <c r="AN47"/>
      <c r="AO47"/>
      <c r="AP47"/>
      <c r="AQ47"/>
      <c r="AR47"/>
      <c r="AS47"/>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c r="BS47" t="inlineStr">
        <is>
          <t>#VALUE!</t>
        </is>
      </c>
    </row>
    <row r="48" ht="25.5" customHeight="1">
      <c r="A48" t="inlineStr">
        <is>
          <t>PL</t>
        </is>
      </c>
      <c r="B48"/>
      <c r="C48"/>
      <c r="D48" t="inlineStr">
        <is>
          <t>空净AP100A</t>
        </is>
      </c>
      <c r="E48">
        <v>35.7</v>
      </c>
      <c r="F48">
        <v>51.99</v>
      </c>
      <c r="G48"/>
      <c r="H48"/>
      <c r="I48"/>
      <c r="J48"/>
      <c r="K48"/>
      <c r="L48"/>
      <c r="M48"/>
      <c r="N48"/>
      <c r="O48"/>
      <c r="P48">
        <v>9</v>
      </c>
      <c r="Q48">
        <v>8</v>
      </c>
      <c r="R48"/>
      <c r="S48"/>
      <c r="T48">
        <v>0.05</v>
      </c>
      <c r="U48">
        <v>0.01</v>
      </c>
      <c r="V48"/>
      <c r="W48"/>
      <c r="X48">
        <v>0.188</v>
      </c>
      <c r="Y48">
        <v>5</v>
      </c>
      <c r="Z48">
        <v>0</v>
      </c>
      <c r="AA48"/>
      <c r="AB48"/>
      <c r="AC48">
        <v>94.4</v>
      </c>
      <c r="AD48"/>
      <c r="AE48"/>
      <c r="AF48"/>
      <c r="AG48"/>
      <c r="AH48">
        <v>15</v>
      </c>
      <c r="AI48"/>
      <c r="AJ48"/>
      <c r="AK48"/>
      <c r="AL48"/>
      <c r="AM48"/>
      <c r="AN48"/>
      <c r="AO48"/>
      <c r="AP48"/>
      <c r="AQ48"/>
      <c r="AR48"/>
      <c r="AS48"/>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c r="BS48" t="inlineStr">
        <is>
          <t>#VALUE!</t>
        </is>
      </c>
    </row>
    <row r="49" ht="25.5" customHeight="1">
      <c r="A49" t="inlineStr">
        <is>
          <t>SE</t>
        </is>
      </c>
      <c r="B49"/>
      <c r="C49"/>
      <c r="D49" t="inlineStr">
        <is>
          <t>空净AP100A</t>
        </is>
      </c>
      <c r="E49">
        <v>35.7</v>
      </c>
      <c r="F49">
        <v>51.99</v>
      </c>
      <c r="G49"/>
      <c r="H49"/>
      <c r="I49"/>
      <c r="J49"/>
      <c r="K49"/>
      <c r="L49"/>
      <c r="M49"/>
      <c r="N49"/>
      <c r="O49"/>
      <c r="P49">
        <v>9</v>
      </c>
      <c r="Q49">
        <v>8</v>
      </c>
      <c r="R49"/>
      <c r="S49"/>
      <c r="T49">
        <v>0.05</v>
      </c>
      <c r="U49">
        <v>0.01</v>
      </c>
      <c r="V49"/>
      <c r="W49"/>
      <c r="X49">
        <v>0.188</v>
      </c>
      <c r="Y49">
        <v>5</v>
      </c>
      <c r="Z49">
        <v>0</v>
      </c>
      <c r="AA49"/>
      <c r="AB49"/>
      <c r="AC49">
        <v>94.4</v>
      </c>
      <c r="AD49"/>
      <c r="AE49"/>
      <c r="AF49"/>
      <c r="AG49"/>
      <c r="AH49">
        <v>15</v>
      </c>
      <c r="AI49"/>
      <c r="AJ49"/>
      <c r="AK49"/>
      <c r="AL49"/>
      <c r="AM49"/>
      <c r="AN49"/>
      <c r="AO49"/>
      <c r="AP49"/>
      <c r="AQ49"/>
      <c r="AR49"/>
      <c r="AS49"/>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c r="BS49" t="inlineStr">
        <is>
          <t>#VALUE!</t>
        </is>
      </c>
    </row>
    <row r="50" ht="25.5" customHeight="1">
      <c r="A50" t="inlineStr">
        <is>
          <t>BE</t>
        </is>
      </c>
      <c r="B50"/>
      <c r="C50"/>
      <c r="D50" t="inlineStr">
        <is>
          <t>空净AP100A</t>
        </is>
      </c>
      <c r="E50">
        <v>35.7</v>
      </c>
      <c r="F50">
        <v>51.99</v>
      </c>
      <c r="G50"/>
      <c r="H50"/>
      <c r="I50"/>
      <c r="J50"/>
      <c r="K50"/>
      <c r="L50"/>
      <c r="M50"/>
      <c r="N50"/>
      <c r="O50"/>
      <c r="P50">
        <v>9</v>
      </c>
      <c r="Q50">
        <v>8</v>
      </c>
      <c r="R50"/>
      <c r="S50"/>
      <c r="T50">
        <v>0.05</v>
      </c>
      <c r="U50">
        <v>0.01</v>
      </c>
      <c r="V50"/>
      <c r="W50"/>
      <c r="X50">
        <v>0.188</v>
      </c>
      <c r="Y50">
        <v>5</v>
      </c>
      <c r="Z50">
        <v>0</v>
      </c>
      <c r="AA50"/>
      <c r="AB50"/>
      <c r="AC50">
        <v>94.4</v>
      </c>
      <c r="AD50"/>
      <c r="AE50"/>
      <c r="AF50"/>
      <c r="AG50"/>
      <c r="AH50">
        <v>15</v>
      </c>
      <c r="AI50"/>
      <c r="AJ50"/>
      <c r="AK50"/>
      <c r="AL50"/>
      <c r="AM50"/>
      <c r="AN50"/>
      <c r="AO50"/>
      <c r="AP50"/>
      <c r="AQ50"/>
      <c r="AR50"/>
      <c r="AS50"/>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c r="BS50" t="inlineStr">
        <is>
          <t>#VALUE!</t>
        </is>
      </c>
    </row>
    <row r="51" ht="25.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row>
    <row r="52" ht="25.5" customHeight="1">
      <c r="A52" t="inlineStr">
        <is>
          <t>UK</t>
        </is>
      </c>
      <c r="B52" t="inlineStr">
        <is>
          <t>R0001UK</t>
        </is>
      </c>
      <c r="C52" t="inlineStr">
        <is>
          <t>NEW</t>
        </is>
      </c>
      <c r="D52" t="inlineStr">
        <is>
          <t>XXX仪（coupon-0%）</t>
        </is>
      </c>
      <c r="E52">
        <v>59</v>
      </c>
      <c r="F52">
        <v>85.99</v>
      </c>
      <c r="G52"/>
      <c r="H52"/>
      <c r="I52"/>
      <c r="J52"/>
      <c r="K52"/>
      <c r="L52"/>
      <c r="M52"/>
      <c r="N52"/>
      <c r="O52"/>
      <c r="P52">
        <v>8</v>
      </c>
      <c r="Q52">
        <v>9</v>
      </c>
      <c r="R52"/>
      <c r="S52"/>
      <c r="T52"/>
      <c r="U52">
        <v>0.01</v>
      </c>
      <c r="V52"/>
      <c r="W52"/>
      <c r="X52">
        <v>0.178</v>
      </c>
      <c r="Y52">
        <v>10</v>
      </c>
      <c r="Z52"/>
      <c r="AA52"/>
      <c r="AB52"/>
      <c r="AC52">
        <v>150</v>
      </c>
      <c r="AD52"/>
      <c r="AE52"/>
      <c r="AF52"/>
      <c r="AG52"/>
      <c r="AH52">
        <v>18</v>
      </c>
      <c r="AI52"/>
      <c r="AJ52"/>
      <c r="AK52"/>
      <c r="AL52"/>
      <c r="AM52"/>
      <c r="AN52"/>
      <c r="AO52"/>
      <c r="AP52"/>
      <c r="AQ52"/>
      <c r="AR52"/>
      <c r="AS52"/>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c r="BS52" t="inlineStr">
        <is>
          <t>#VALUE!</t>
        </is>
      </c>
    </row>
    <row r="53" ht="25.5" customHeight="1">
      <c r="A53" t="inlineStr">
        <is>
          <t>UK</t>
        </is>
      </c>
      <c r="B53" t="inlineStr">
        <is>
          <t>R0001UK</t>
        </is>
      </c>
      <c r="C53" t="inlineStr">
        <is>
          <t>NEW</t>
        </is>
      </c>
      <c r="D53" t="inlineStr">
        <is>
          <t>XXX仪（coupon-5%）</t>
        </is>
      </c>
      <c r="E53">
        <v>59</v>
      </c>
      <c r="F53">
        <v>85.99</v>
      </c>
      <c r="G53"/>
      <c r="H53"/>
      <c r="I53"/>
      <c r="J53"/>
      <c r="K53"/>
      <c r="L53"/>
      <c r="M53"/>
      <c r="N53"/>
      <c r="O53"/>
      <c r="P53">
        <v>8</v>
      </c>
      <c r="Q53">
        <v>9</v>
      </c>
      <c r="R53"/>
      <c r="S53"/>
      <c r="T53"/>
      <c r="U53">
        <v>0.01</v>
      </c>
      <c r="V53"/>
      <c r="W53"/>
      <c r="X53">
        <v>0.178</v>
      </c>
      <c r="Y53">
        <v>10</v>
      </c>
      <c r="Z53"/>
      <c r="AA53"/>
      <c r="AB53"/>
      <c r="AC53">
        <v>150</v>
      </c>
      <c r="AD53"/>
      <c r="AE53"/>
      <c r="AF53"/>
      <c r="AG53"/>
      <c r="AH53">
        <v>18</v>
      </c>
      <c r="AI53"/>
      <c r="AJ53"/>
      <c r="AK53"/>
      <c r="AL53"/>
      <c r="AM53"/>
      <c r="AN53"/>
      <c r="AO53"/>
      <c r="AP53"/>
      <c r="AQ53"/>
      <c r="AR53"/>
      <c r="AS53"/>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c r="BS53" t="inlineStr">
        <is>
          <t>#VALUE!</t>
        </is>
      </c>
    </row>
    <row r="54" ht="25.5" customHeight="1">
      <c r="A54" t="inlineStr">
        <is>
          <t>UK</t>
        </is>
      </c>
      <c r="B54" t="inlineStr">
        <is>
          <t>R0001UK</t>
        </is>
      </c>
      <c r="C54" t="inlineStr">
        <is>
          <t>NEW</t>
        </is>
      </c>
      <c r="D54" t="inlineStr">
        <is>
          <t>XXX仪（coupon-10%）</t>
        </is>
      </c>
      <c r="E54">
        <v>59</v>
      </c>
      <c r="F54">
        <v>85.99</v>
      </c>
      <c r="G54"/>
      <c r="H54"/>
      <c r="I54"/>
      <c r="J54"/>
      <c r="K54"/>
      <c r="L54"/>
      <c r="M54"/>
      <c r="N54"/>
      <c r="O54"/>
      <c r="P54">
        <v>8</v>
      </c>
      <c r="Q54">
        <v>9</v>
      </c>
      <c r="R54"/>
      <c r="S54"/>
      <c r="T54"/>
      <c r="U54">
        <v>0.01</v>
      </c>
      <c r="V54"/>
      <c r="W54"/>
      <c r="X54">
        <v>0.178</v>
      </c>
      <c r="Y54">
        <v>10</v>
      </c>
      <c r="Z54"/>
      <c r="AA54"/>
      <c r="AB54"/>
      <c r="AC54">
        <v>150</v>
      </c>
      <c r="AD54"/>
      <c r="AE54"/>
      <c r="AF54"/>
      <c r="AG54"/>
      <c r="AH54">
        <v>18</v>
      </c>
      <c r="AI54"/>
      <c r="AJ54"/>
      <c r="AK54"/>
      <c r="AL54"/>
      <c r="AM54"/>
      <c r="AN54"/>
      <c r="AO54"/>
      <c r="AP54"/>
      <c r="AQ54"/>
      <c r="AR54"/>
      <c r="AS54"/>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c r="BS54" t="inlineStr">
        <is>
          <t>#VALUE!</t>
        </is>
      </c>
    </row>
    <row r="55" ht="25.5" customHeight="1">
      <c r="A55" t="inlineStr">
        <is>
          <t>UK</t>
        </is>
      </c>
      <c r="B55" t="inlineStr">
        <is>
          <t>R0001UK</t>
        </is>
      </c>
      <c r="C55" t="inlineStr">
        <is>
          <t>NEW</t>
        </is>
      </c>
      <c r="D55" t="inlineStr">
        <is>
          <t>XXX仪（coupon-15%）</t>
        </is>
      </c>
      <c r="E55">
        <v>59</v>
      </c>
      <c r="F55">
        <v>85.99</v>
      </c>
      <c r="G55"/>
      <c r="H55"/>
      <c r="I55"/>
      <c r="J55"/>
      <c r="K55"/>
      <c r="L55"/>
      <c r="M55"/>
      <c r="N55"/>
      <c r="O55"/>
      <c r="P55">
        <v>8</v>
      </c>
      <c r="Q55">
        <v>9</v>
      </c>
      <c r="R55"/>
      <c r="S55"/>
      <c r="T55"/>
      <c r="U55">
        <v>0.01</v>
      </c>
      <c r="V55"/>
      <c r="W55"/>
      <c r="X55">
        <v>0.178</v>
      </c>
      <c r="Y55">
        <v>10</v>
      </c>
      <c r="Z55"/>
      <c r="AA55"/>
      <c r="AB55"/>
      <c r="AC55">
        <v>150</v>
      </c>
      <c r="AD55"/>
      <c r="AE55"/>
      <c r="AF55"/>
      <c r="AG55"/>
      <c r="AH55">
        <v>18</v>
      </c>
      <c r="AI55"/>
      <c r="AJ55"/>
      <c r="AK55"/>
      <c r="AL55"/>
      <c r="AM55"/>
      <c r="AN55"/>
      <c r="AO55"/>
      <c r="AP55"/>
      <c r="AQ55"/>
      <c r="AR55"/>
      <c r="AS55"/>
      <c r="AT55" t="inlineStr">
        <is>
          <t>☆</t>
        </is>
      </c>
      <c r="AU55" t="inlineStr">
        <is>
          <t>☆</t>
        </is>
      </c>
      <c r="AV55" t="inlineStr">
        <is>
          <t>☆</t>
        </is>
      </c>
      <c r="AW55" t="inlineStr">
        <is>
          <t>☆</t>
        </is>
      </c>
      <c r="AX55" t="inlineStr">
        <is>
          <t>☆</t>
        </is>
      </c>
      <c r="AY55" t="inlineStr">
        <is>
          <t>☆</t>
        </is>
      </c>
      <c r="AZ55" t="inlineStr">
        <is>
          <t>☆</t>
        </is>
      </c>
      <c r="BA55" t="inlineStr">
        <is>
          <t>☆</t>
        </is>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c r="BS55" t="inlineStr">
        <is>
          <t>#VALUE!</t>
        </is>
      </c>
    </row>
    <row r="56" ht="25.5" customHeight="1">
      <c r="A56" t="inlineStr">
        <is>
          <t>DE</t>
        </is>
      </c>
      <c r="B56" t="inlineStr">
        <is>
          <t>R0001EU</t>
        </is>
      </c>
      <c r="C56" t="inlineStr">
        <is>
          <t>NEW</t>
        </is>
      </c>
      <c r="D56" t="inlineStr">
        <is>
          <t>XXX仪（coupon-0%）</t>
        </is>
      </c>
      <c r="E56">
        <v>62</v>
      </c>
      <c r="F56">
        <v>89.99</v>
      </c>
      <c r="G56"/>
      <c r="H56"/>
      <c r="I56"/>
      <c r="J56"/>
      <c r="K56"/>
      <c r="L56"/>
      <c r="M56"/>
      <c r="N56"/>
      <c r="O56"/>
      <c r="P56">
        <v>8</v>
      </c>
      <c r="Q56">
        <v>8</v>
      </c>
      <c r="R56"/>
      <c r="S56"/>
      <c r="T56"/>
      <c r="U56">
        <v>0.01</v>
      </c>
      <c r="V56"/>
      <c r="W56"/>
      <c r="X56">
        <v>0.188</v>
      </c>
      <c r="Y56">
        <v>10</v>
      </c>
      <c r="Z56">
        <v>0</v>
      </c>
      <c r="AA56"/>
      <c r="AB56"/>
      <c r="AC56">
        <v>150</v>
      </c>
      <c r="AD56"/>
      <c r="AE56"/>
      <c r="AF56"/>
      <c r="AG56"/>
      <c r="AH56">
        <v>18</v>
      </c>
      <c r="AI56"/>
      <c r="AJ56"/>
      <c r="AK56"/>
      <c r="AL56"/>
      <c r="AM56"/>
      <c r="AN56"/>
      <c r="AO56"/>
      <c r="AP56"/>
      <c r="AQ56"/>
      <c r="AR56"/>
      <c r="AS56"/>
      <c r="AT56" t="inlineStr">
        <is>
          <t>☆</t>
        </is>
      </c>
      <c r="AU56" t="inlineStr">
        <is>
          <t>☆</t>
        </is>
      </c>
      <c r="AV56" t="inlineStr">
        <is>
          <t>☆</t>
        </is>
      </c>
      <c r="AW56" t="inlineStr">
        <is>
          <t>☆</t>
        </is>
      </c>
      <c r="AX56" t="inlineStr">
        <is>
          <t>☆</t>
        </is>
      </c>
      <c r="AY56" t="inlineStr">
        <is>
          <t>☆</t>
        </is>
      </c>
      <c r="AZ56" t="inlineStr">
        <is>
          <t>☆</t>
        </is>
      </c>
      <c r="BA56" t="inlineStr">
        <is>
          <t>☆</t>
        </is>
      </c>
      <c r="BB56" t="inlineStr">
        <is>
          <t>☆</t>
        </is>
      </c>
      <c r="BC56" t="inlineStr">
        <is>
          <t>☆</t>
        </is>
      </c>
      <c r="BD56" t="inlineStr">
        <is>
          <t>☆</t>
        </is>
      </c>
      <c r="BE56" t="inlineStr">
        <is>
          <t>☆</t>
        </is>
      </c>
      <c r="BF56" t="inlineStr">
        <is>
          <t>☆</t>
        </is>
      </c>
      <c r="BG56" t="inlineStr">
        <is>
          <t>☆</t>
        </is>
      </c>
      <c r="BH56" t="inlineStr">
        <is>
          <t>☆</t>
        </is>
      </c>
      <c r="BI56" t="inlineStr">
        <is>
          <t>☆</t>
        </is>
      </c>
      <c r="BJ56" t="inlineStr">
        <is>
          <t>☆</t>
        </is>
      </c>
      <c r="BK56" t="inlineStr">
        <is>
          <t>☆</t>
        </is>
      </c>
      <c r="BL56" t="inlineStr">
        <is>
          <t>☆</t>
        </is>
      </c>
      <c r="BM56" t="inlineStr">
        <is>
          <t>☆</t>
        </is>
      </c>
      <c r="BN56" t="inlineStr">
        <is>
          <t>☆</t>
        </is>
      </c>
      <c r="BO56" t="inlineStr">
        <is>
          <t>☆</t>
        </is>
      </c>
      <c r="BP56" t="inlineStr">
        <is>
          <t>☆</t>
        </is>
      </c>
      <c r="BQ56" t="inlineStr">
        <is>
          <t>☆</t>
        </is>
      </c>
      <c r="BR56"/>
      <c r="BS56" t="inlineStr">
        <is>
          <t>#VALUE!</t>
        </is>
      </c>
    </row>
    <row r="57" ht="25.5" customHeight="1">
      <c r="A57" t="inlineStr">
        <is>
          <t>DE</t>
        </is>
      </c>
      <c r="B57" t="inlineStr">
        <is>
          <t>R0001EU</t>
        </is>
      </c>
      <c r="C57" t="inlineStr">
        <is>
          <t>NEW</t>
        </is>
      </c>
      <c r="D57" t="inlineStr">
        <is>
          <t>XXX仪（coupon-5%）</t>
        </is>
      </c>
      <c r="E57">
        <v>62</v>
      </c>
      <c r="F57">
        <v>89.99</v>
      </c>
      <c r="G57"/>
      <c r="H57"/>
      <c r="I57"/>
      <c r="J57"/>
      <c r="K57"/>
      <c r="L57"/>
      <c r="M57"/>
      <c r="N57"/>
      <c r="O57"/>
      <c r="P57">
        <v>8</v>
      </c>
      <c r="Q57">
        <v>8</v>
      </c>
      <c r="R57"/>
      <c r="S57"/>
      <c r="T57"/>
      <c r="U57">
        <v>0.01</v>
      </c>
      <c r="V57"/>
      <c r="W57"/>
      <c r="X57">
        <v>0.188</v>
      </c>
      <c r="Y57">
        <v>10</v>
      </c>
      <c r="Z57"/>
      <c r="AA57"/>
      <c r="AB57"/>
      <c r="AC57">
        <v>150</v>
      </c>
      <c r="AD57"/>
      <c r="AE57"/>
      <c r="AF57"/>
      <c r="AG57"/>
      <c r="AH57">
        <v>18</v>
      </c>
      <c r="AI57"/>
      <c r="AJ57"/>
      <c r="AK57"/>
      <c r="AL57"/>
      <c r="AM57"/>
      <c r="AN57"/>
      <c r="AO57"/>
      <c r="AP57"/>
      <c r="AQ57"/>
      <c r="AR57"/>
      <c r="AS57"/>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t>
        </is>
      </c>
      <c r="BQ57" t="inlineStr">
        <is>
          <t>☆</t>
        </is>
      </c>
      <c r="BR57"/>
      <c r="BS57" t="inlineStr">
        <is>
          <t>#VALUE!</t>
        </is>
      </c>
    </row>
    <row r="58" ht="25.5" customHeight="1">
      <c r="A58" t="inlineStr">
        <is>
          <t>DE</t>
        </is>
      </c>
      <c r="B58" t="inlineStr">
        <is>
          <t>R0001EU</t>
        </is>
      </c>
      <c r="C58" t="inlineStr">
        <is>
          <t>NEW</t>
        </is>
      </c>
      <c r="D58" t="inlineStr">
        <is>
          <t>XXX仪（coupon-10%）</t>
        </is>
      </c>
      <c r="E58">
        <v>62</v>
      </c>
      <c r="F58">
        <v>89.99</v>
      </c>
      <c r="G58"/>
      <c r="H58"/>
      <c r="I58"/>
      <c r="J58"/>
      <c r="K58"/>
      <c r="L58"/>
      <c r="M58"/>
      <c r="N58"/>
      <c r="O58"/>
      <c r="P58">
        <v>8</v>
      </c>
      <c r="Q58">
        <v>8</v>
      </c>
      <c r="R58"/>
      <c r="S58"/>
      <c r="T58"/>
      <c r="U58">
        <v>0.01</v>
      </c>
      <c r="V58"/>
      <c r="W58"/>
      <c r="X58">
        <v>0.188</v>
      </c>
      <c r="Y58">
        <v>10</v>
      </c>
      <c r="Z58"/>
      <c r="AA58"/>
      <c r="AB58"/>
      <c r="AC58">
        <v>150</v>
      </c>
      <c r="AD58"/>
      <c r="AE58"/>
      <c r="AF58"/>
      <c r="AG58"/>
      <c r="AH58">
        <v>18</v>
      </c>
      <c r="AI58"/>
      <c r="AJ58"/>
      <c r="AK58"/>
      <c r="AL58"/>
      <c r="AM58"/>
      <c r="AN58"/>
      <c r="AO58"/>
      <c r="AP58"/>
      <c r="AQ58"/>
      <c r="AR58"/>
      <c r="AS58"/>
      <c r="AT58" t="inlineStr">
        <is>
          <t>☆</t>
        </is>
      </c>
      <c r="AU58" t="inlineStr">
        <is>
          <t>☆</t>
        </is>
      </c>
      <c r="AV58" t="inlineStr">
        <is>
          <t>☆</t>
        </is>
      </c>
      <c r="AW58" t="inlineStr">
        <is>
          <t>☆</t>
        </is>
      </c>
      <c r="AX58" t="inlineStr">
        <is>
          <t>☆</t>
        </is>
      </c>
      <c r="AY58" t="inlineStr">
        <is>
          <t>☆</t>
        </is>
      </c>
      <c r="AZ58" t="inlineStr">
        <is>
          <t>☆</t>
        </is>
      </c>
      <c r="BA58" t="inlineStr">
        <is>
          <t>☆</t>
        </is>
      </c>
      <c r="BB58" t="inlineStr">
        <is>
          <t>☆</t>
        </is>
      </c>
      <c r="BC58" t="inlineStr">
        <is>
          <t>☆</t>
        </is>
      </c>
      <c r="BD58" t="inlineStr">
        <is>
          <t>☆</t>
        </is>
      </c>
      <c r="BE58" t="inlineStr">
        <is>
          <t>☆</t>
        </is>
      </c>
      <c r="BF58" t="inlineStr">
        <is>
          <t>☆</t>
        </is>
      </c>
      <c r="BG58" t="inlineStr">
        <is>
          <t>☆</t>
        </is>
      </c>
      <c r="BH58" t="inlineStr">
        <is>
          <t>☆</t>
        </is>
      </c>
      <c r="BI58" t="inlineStr">
        <is>
          <t>☆</t>
        </is>
      </c>
      <c r="BJ58" t="inlineStr">
        <is>
          <t>☆</t>
        </is>
      </c>
      <c r="BK58" t="inlineStr">
        <is>
          <t>☆</t>
        </is>
      </c>
      <c r="BL58" t="inlineStr">
        <is>
          <t>☆</t>
        </is>
      </c>
      <c r="BM58" t="inlineStr">
        <is>
          <t>☆</t>
        </is>
      </c>
      <c r="BN58" t="inlineStr">
        <is>
          <t>☆</t>
        </is>
      </c>
      <c r="BO58" t="inlineStr">
        <is>
          <t>☆</t>
        </is>
      </c>
      <c r="BP58" t="inlineStr">
        <is>
          <t>☆</t>
        </is>
      </c>
      <c r="BQ58" t="inlineStr">
        <is>
          <t>☆</t>
        </is>
      </c>
      <c r="BR58"/>
      <c r="BS58" t="inlineStr">
        <is>
          <t>#VALUE!</t>
        </is>
      </c>
    </row>
    <row r="59" ht="25.5" customHeight="1">
      <c r="A59" t="inlineStr">
        <is>
          <t>DE</t>
        </is>
      </c>
      <c r="B59" t="inlineStr">
        <is>
          <t>R0001EU</t>
        </is>
      </c>
      <c r="C59" t="inlineStr">
        <is>
          <t>NEW</t>
        </is>
      </c>
      <c r="D59" t="inlineStr">
        <is>
          <t>XXX仪（coupon-15%）</t>
        </is>
      </c>
      <c r="E59">
        <v>62</v>
      </c>
      <c r="F59">
        <v>89.99</v>
      </c>
      <c r="G59"/>
      <c r="H59"/>
      <c r="I59"/>
      <c r="J59"/>
      <c r="K59"/>
      <c r="L59"/>
      <c r="M59"/>
      <c r="N59"/>
      <c r="O59"/>
      <c r="P59">
        <v>8</v>
      </c>
      <c r="Q59">
        <v>8</v>
      </c>
      <c r="R59"/>
      <c r="S59"/>
      <c r="T59"/>
      <c r="U59">
        <v>0.01</v>
      </c>
      <c r="V59"/>
      <c r="W59"/>
      <c r="X59">
        <v>0.188</v>
      </c>
      <c r="Y59">
        <v>10</v>
      </c>
      <c r="Z59"/>
      <c r="AA59"/>
      <c r="AB59"/>
      <c r="AC59">
        <v>150</v>
      </c>
      <c r="AD59"/>
      <c r="AE59"/>
      <c r="AF59"/>
      <c r="AG59"/>
      <c r="AH59">
        <v>18</v>
      </c>
      <c r="AI59"/>
      <c r="AJ59"/>
      <c r="AK59"/>
      <c r="AL59"/>
      <c r="AM59"/>
      <c r="AN59"/>
      <c r="AO59"/>
      <c r="AP59"/>
      <c r="AQ59"/>
      <c r="AR59"/>
      <c r="AS59"/>
      <c r="AT59" t="inlineStr">
        <is>
          <t>☆</t>
        </is>
      </c>
      <c r="AU59" t="inlineStr">
        <is>
          <t>☆</t>
        </is>
      </c>
      <c r="AV59" t="inlineStr">
        <is>
          <t>☆</t>
        </is>
      </c>
      <c r="AW59" t="inlineStr">
        <is>
          <t>☆</t>
        </is>
      </c>
      <c r="AX59" t="inlineStr">
        <is>
          <t>☆</t>
        </is>
      </c>
      <c r="AY59" t="inlineStr">
        <is>
          <t>☆</t>
        </is>
      </c>
      <c r="AZ59" t="inlineStr">
        <is>
          <t>☆</t>
        </is>
      </c>
      <c r="BA59" t="inlineStr">
        <is>
          <t>☆</t>
        </is>
      </c>
      <c r="BB59" t="inlineStr">
        <is>
          <t>☆</t>
        </is>
      </c>
      <c r="BC59" t="inlineStr">
        <is>
          <t>☆</t>
        </is>
      </c>
      <c r="BD59" t="inlineStr">
        <is>
          <t>☆</t>
        </is>
      </c>
      <c r="BE59" t="inlineStr">
        <is>
          <t>☆</t>
        </is>
      </c>
      <c r="BF59" t="inlineStr">
        <is>
          <t>☆</t>
        </is>
      </c>
      <c r="BG59" t="inlineStr">
        <is>
          <t>☆</t>
        </is>
      </c>
      <c r="BH59" t="inlineStr">
        <is>
          <t>☆</t>
        </is>
      </c>
      <c r="BI59" t="inlineStr">
        <is>
          <t>☆</t>
        </is>
      </c>
      <c r="BJ59" t="inlineStr">
        <is>
          <t>☆</t>
        </is>
      </c>
      <c r="BK59" t="inlineStr">
        <is>
          <t>☆</t>
        </is>
      </c>
      <c r="BL59" t="inlineStr">
        <is>
          <t>☆</t>
        </is>
      </c>
      <c r="BM59" t="inlineStr">
        <is>
          <t>☆</t>
        </is>
      </c>
      <c r="BN59" t="inlineStr">
        <is>
          <t>☆</t>
        </is>
      </c>
      <c r="BO59" t="inlineStr">
        <is>
          <t>☆</t>
        </is>
      </c>
      <c r="BP59" t="inlineStr">
        <is>
          <t>☆</t>
        </is>
      </c>
      <c r="BQ59" t="inlineStr">
        <is>
          <t>☆</t>
        </is>
      </c>
      <c r="BR59"/>
      <c r="BS59" t="inlineStr">
        <is>
          <t>#VALUE!</t>
        </is>
      </c>
    </row>
    <row r="60" ht="25.5" customHeight="1">
      <c r="A60" t="inlineStr">
        <is>
          <t>FR</t>
        </is>
      </c>
      <c r="B60" t="inlineStr">
        <is>
          <t>R0001EU</t>
        </is>
      </c>
      <c r="C60" t="inlineStr">
        <is>
          <t>NEW</t>
        </is>
      </c>
      <c r="D60" t="inlineStr">
        <is>
          <t>XXX仪（coupon-0%）</t>
        </is>
      </c>
      <c r="E60">
        <v>65</v>
      </c>
      <c r="F60">
        <v>94.99</v>
      </c>
      <c r="G60"/>
      <c r="H60"/>
      <c r="I60"/>
      <c r="J60"/>
      <c r="K60"/>
      <c r="L60"/>
      <c r="M60"/>
      <c r="N60"/>
      <c r="O60"/>
      <c r="P60">
        <v>8</v>
      </c>
      <c r="Q60">
        <v>8</v>
      </c>
      <c r="R60"/>
      <c r="S60"/>
      <c r="T60"/>
      <c r="U60">
        <v>0.01</v>
      </c>
      <c r="V60"/>
      <c r="W60"/>
      <c r="X60">
        <v>0.188</v>
      </c>
      <c r="Y60">
        <v>10</v>
      </c>
      <c r="Z60">
        <v>0</v>
      </c>
      <c r="AA60"/>
      <c r="AB60"/>
      <c r="AC60">
        <v>150</v>
      </c>
      <c r="AD60"/>
      <c r="AE60"/>
      <c r="AF60"/>
      <c r="AG60"/>
      <c r="AH60">
        <v>18</v>
      </c>
      <c r="AI60"/>
      <c r="AJ60"/>
      <c r="AK60"/>
      <c r="AL60"/>
      <c r="AM60"/>
      <c r="AN60"/>
      <c r="AO60"/>
      <c r="AP60"/>
      <c r="AQ60"/>
      <c r="AR60"/>
      <c r="AS60"/>
      <c r="AT60" t="inlineStr">
        <is>
          <t>☆</t>
        </is>
      </c>
      <c r="AU60" t="inlineStr">
        <is>
          <t>☆</t>
        </is>
      </c>
      <c r="AV60" t="inlineStr">
        <is>
          <t>☆</t>
        </is>
      </c>
      <c r="AW60" t="inlineStr">
        <is>
          <t>☆</t>
        </is>
      </c>
      <c r="AX60" t="inlineStr">
        <is>
          <t>☆</t>
        </is>
      </c>
      <c r="AY60" t="inlineStr">
        <is>
          <t>☆</t>
        </is>
      </c>
      <c r="AZ60" t="inlineStr">
        <is>
          <t>☆</t>
        </is>
      </c>
      <c r="BA60" t="inlineStr">
        <is>
          <t>☆</t>
        </is>
      </c>
      <c r="BB60" t="inlineStr">
        <is>
          <t>☆</t>
        </is>
      </c>
      <c r="BC60" t="inlineStr">
        <is>
          <t>☆</t>
        </is>
      </c>
      <c r="BD60" t="inlineStr">
        <is>
          <t>☆</t>
        </is>
      </c>
      <c r="BE60" t="inlineStr">
        <is>
          <t>☆</t>
        </is>
      </c>
      <c r="BF60" t="inlineStr">
        <is>
          <t>☆</t>
        </is>
      </c>
      <c r="BG60" t="inlineStr">
        <is>
          <t>☆</t>
        </is>
      </c>
      <c r="BH60" t="inlineStr">
        <is>
          <t>☆</t>
        </is>
      </c>
      <c r="BI60" t="inlineStr">
        <is>
          <t>☆</t>
        </is>
      </c>
      <c r="BJ60" t="inlineStr">
        <is>
          <t>☆</t>
        </is>
      </c>
      <c r="BK60" t="inlineStr">
        <is>
          <t>☆</t>
        </is>
      </c>
      <c r="BL60" t="inlineStr">
        <is>
          <t>☆</t>
        </is>
      </c>
      <c r="BM60" t="inlineStr">
        <is>
          <t>☆</t>
        </is>
      </c>
      <c r="BN60" t="inlineStr">
        <is>
          <t>☆</t>
        </is>
      </c>
      <c r="BO60" t="inlineStr">
        <is>
          <t>☆</t>
        </is>
      </c>
      <c r="BP60" t="inlineStr">
        <is>
          <t>☆</t>
        </is>
      </c>
      <c r="BQ60" t="inlineStr">
        <is>
          <t>☆</t>
        </is>
      </c>
      <c r="BR60"/>
      <c r="BS60" t="inlineStr">
        <is>
          <t>#VALUE!</t>
        </is>
      </c>
    </row>
    <row r="61" ht="25.5" customHeight="1">
      <c r="A61" t="inlineStr">
        <is>
          <t>FR</t>
        </is>
      </c>
      <c r="B61" t="inlineStr">
        <is>
          <t>R0001EU</t>
        </is>
      </c>
      <c r="C61" t="inlineStr">
        <is>
          <t>NEW</t>
        </is>
      </c>
      <c r="D61" t="inlineStr">
        <is>
          <t>XXX仪（coupon-5%）</t>
        </is>
      </c>
      <c r="E61">
        <v>65</v>
      </c>
      <c r="F61">
        <v>94.99</v>
      </c>
      <c r="G61"/>
      <c r="H61"/>
      <c r="I61"/>
      <c r="J61"/>
      <c r="K61"/>
      <c r="L61"/>
      <c r="M61"/>
      <c r="N61"/>
      <c r="O61"/>
      <c r="P61">
        <v>8</v>
      </c>
      <c r="Q61">
        <v>8</v>
      </c>
      <c r="R61"/>
      <c r="S61"/>
      <c r="T61"/>
      <c r="U61">
        <v>0.01</v>
      </c>
      <c r="V61"/>
      <c r="W61"/>
      <c r="X61">
        <v>0.188</v>
      </c>
      <c r="Y61">
        <v>10</v>
      </c>
      <c r="Z61"/>
      <c r="AA61"/>
      <c r="AB61"/>
      <c r="AC61">
        <v>150</v>
      </c>
      <c r="AD61"/>
      <c r="AE61"/>
      <c r="AF61"/>
      <c r="AG61"/>
      <c r="AH61">
        <v>18</v>
      </c>
      <c r="AI61"/>
      <c r="AJ61"/>
      <c r="AK61"/>
      <c r="AL61"/>
      <c r="AM61"/>
      <c r="AN61"/>
      <c r="AO61"/>
      <c r="AP61"/>
      <c r="AQ61"/>
      <c r="AR61"/>
      <c r="AS61"/>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c r="BD61" t="inlineStr">
        <is>
          <t>☆</t>
        </is>
      </c>
      <c r="BE61" t="inlineStr">
        <is>
          <t>☆</t>
        </is>
      </c>
      <c r="BF61" t="inlineStr">
        <is>
          <t>☆</t>
        </is>
      </c>
      <c r="BG61" t="inlineStr">
        <is>
          <t>☆</t>
        </is>
      </c>
      <c r="BH61" t="inlineStr">
        <is>
          <t>☆</t>
        </is>
      </c>
      <c r="BI61" t="inlineStr">
        <is>
          <t>☆</t>
        </is>
      </c>
      <c r="BJ61" t="inlineStr">
        <is>
          <t>☆</t>
        </is>
      </c>
      <c r="BK61" t="inlineStr">
        <is>
          <t>☆</t>
        </is>
      </c>
      <c r="BL61" t="inlineStr">
        <is>
          <t>☆</t>
        </is>
      </c>
      <c r="BM61" t="inlineStr">
        <is>
          <t>☆</t>
        </is>
      </c>
      <c r="BN61" t="inlineStr">
        <is>
          <t>☆</t>
        </is>
      </c>
      <c r="BO61" t="inlineStr">
        <is>
          <t>☆</t>
        </is>
      </c>
      <c r="BP61" t="inlineStr">
        <is>
          <t>☆</t>
        </is>
      </c>
      <c r="BQ61" t="inlineStr">
        <is>
          <t>☆</t>
        </is>
      </c>
      <c r="BR61"/>
      <c r="BS61" t="inlineStr">
        <is>
          <t>#VALUE!</t>
        </is>
      </c>
    </row>
    <row r="62" ht="25.5" customHeight="1">
      <c r="A62" t="inlineStr">
        <is>
          <t>FR</t>
        </is>
      </c>
      <c r="B62" t="inlineStr">
        <is>
          <t>R0001EU</t>
        </is>
      </c>
      <c r="C62" t="inlineStr">
        <is>
          <t>NEW</t>
        </is>
      </c>
      <c r="D62" t="inlineStr">
        <is>
          <t>XXX仪（coupon-10%）</t>
        </is>
      </c>
      <c r="E62">
        <v>65</v>
      </c>
      <c r="F62">
        <v>94.99</v>
      </c>
      <c r="G62"/>
      <c r="H62"/>
      <c r="I62"/>
      <c r="J62"/>
      <c r="K62"/>
      <c r="L62"/>
      <c r="M62"/>
      <c r="N62"/>
      <c r="O62"/>
      <c r="P62">
        <v>8</v>
      </c>
      <c r="Q62">
        <v>8</v>
      </c>
      <c r="R62"/>
      <c r="S62"/>
      <c r="T62"/>
      <c r="U62">
        <v>0.01</v>
      </c>
      <c r="V62"/>
      <c r="W62"/>
      <c r="X62">
        <v>0.188</v>
      </c>
      <c r="Y62">
        <v>10</v>
      </c>
      <c r="Z62"/>
      <c r="AA62"/>
      <c r="AB62"/>
      <c r="AC62">
        <v>150</v>
      </c>
      <c r="AD62"/>
      <c r="AE62"/>
      <c r="AF62"/>
      <c r="AG62"/>
      <c r="AH62">
        <v>18</v>
      </c>
      <c r="AI62"/>
      <c r="AJ62"/>
      <c r="AK62"/>
      <c r="AL62"/>
      <c r="AM62"/>
      <c r="AN62"/>
      <c r="AO62"/>
      <c r="AP62"/>
      <c r="AQ62"/>
      <c r="AR62"/>
      <c r="AS62"/>
      <c r="AT62" t="inlineStr">
        <is>
          <t>☆</t>
        </is>
      </c>
      <c r="AU62" t="inlineStr">
        <is>
          <t>☆</t>
        </is>
      </c>
      <c r="AV62" t="inlineStr">
        <is>
          <t>☆</t>
        </is>
      </c>
      <c r="AW62" t="inlineStr">
        <is>
          <t>☆</t>
        </is>
      </c>
      <c r="AX62" t="inlineStr">
        <is>
          <t>☆</t>
        </is>
      </c>
      <c r="AY62" t="inlineStr">
        <is>
          <t>☆</t>
        </is>
      </c>
      <c r="AZ62" t="inlineStr">
        <is>
          <t>☆</t>
        </is>
      </c>
      <c r="BA62" t="inlineStr">
        <is>
          <t>☆</t>
        </is>
      </c>
      <c r="BB62" t="inlineStr">
        <is>
          <t>☆</t>
        </is>
      </c>
      <c r="BC62" t="inlineStr">
        <is>
          <t>☆</t>
        </is>
      </c>
      <c r="BD62" t="inlineStr">
        <is>
          <t>☆</t>
        </is>
      </c>
      <c r="BE62" t="inlineStr">
        <is>
          <t>☆</t>
        </is>
      </c>
      <c r="BF62" t="inlineStr">
        <is>
          <t>☆</t>
        </is>
      </c>
      <c r="BG62" t="inlineStr">
        <is>
          <t>☆</t>
        </is>
      </c>
      <c r="BH62" t="inlineStr">
        <is>
          <t>☆</t>
        </is>
      </c>
      <c r="BI62" t="inlineStr">
        <is>
          <t>☆</t>
        </is>
      </c>
      <c r="BJ62" t="inlineStr">
        <is>
          <t>☆</t>
        </is>
      </c>
      <c r="BK62" t="inlineStr">
        <is>
          <t>☆</t>
        </is>
      </c>
      <c r="BL62" t="inlineStr">
        <is>
          <t>☆</t>
        </is>
      </c>
      <c r="BM62" t="inlineStr">
        <is>
          <t>☆</t>
        </is>
      </c>
      <c r="BN62" t="inlineStr">
        <is>
          <t>☆</t>
        </is>
      </c>
      <c r="BO62" t="inlineStr">
        <is>
          <t>☆</t>
        </is>
      </c>
      <c r="BP62" t="inlineStr">
        <is>
          <t>☆</t>
        </is>
      </c>
      <c r="BQ62" t="inlineStr">
        <is>
          <t>☆</t>
        </is>
      </c>
      <c r="BR62"/>
      <c r="BS62" t="inlineStr">
        <is>
          <t>#VALUE!</t>
        </is>
      </c>
    </row>
    <row r="63" ht="25.5" customHeight="1">
      <c r="A63" t="inlineStr">
        <is>
          <t>FR</t>
        </is>
      </c>
      <c r="B63" t="inlineStr">
        <is>
          <t>R0001EU</t>
        </is>
      </c>
      <c r="C63" t="inlineStr">
        <is>
          <t>NEW</t>
        </is>
      </c>
      <c r="D63" t="inlineStr">
        <is>
          <t>XXX仪（coupon-15%）</t>
        </is>
      </c>
      <c r="E63">
        <v>65</v>
      </c>
      <c r="F63">
        <v>94.99</v>
      </c>
      <c r="G63"/>
      <c r="H63"/>
      <c r="I63"/>
      <c r="J63"/>
      <c r="K63"/>
      <c r="L63"/>
      <c r="M63"/>
      <c r="N63"/>
      <c r="O63"/>
      <c r="P63">
        <v>8</v>
      </c>
      <c r="Q63">
        <v>8</v>
      </c>
      <c r="R63"/>
      <c r="S63"/>
      <c r="T63"/>
      <c r="U63">
        <v>0.01</v>
      </c>
      <c r="V63"/>
      <c r="W63"/>
      <c r="X63">
        <v>0.188</v>
      </c>
      <c r="Y63">
        <v>10</v>
      </c>
      <c r="Z63"/>
      <c r="AA63"/>
      <c r="AB63"/>
      <c r="AC63">
        <v>150</v>
      </c>
      <c r="AD63"/>
      <c r="AE63"/>
      <c r="AF63"/>
      <c r="AG63"/>
      <c r="AH63">
        <v>18</v>
      </c>
      <c r="AI63"/>
      <c r="AJ63"/>
      <c r="AK63"/>
      <c r="AL63"/>
      <c r="AM63"/>
      <c r="AN63"/>
      <c r="AO63"/>
      <c r="AP63"/>
      <c r="AQ63"/>
      <c r="AR63"/>
      <c r="AS63"/>
      <c r="AT63" t="inlineStr">
        <is>
          <t>☆</t>
        </is>
      </c>
      <c r="AU63" t="inlineStr">
        <is>
          <t>☆</t>
        </is>
      </c>
      <c r="AV63" t="inlineStr">
        <is>
          <t>☆</t>
        </is>
      </c>
      <c r="AW63" t="inlineStr">
        <is>
          <t>☆</t>
        </is>
      </c>
      <c r="AX63" t="inlineStr">
        <is>
          <t>☆</t>
        </is>
      </c>
      <c r="AY63" t="inlineStr">
        <is>
          <t>☆</t>
        </is>
      </c>
      <c r="AZ63" t="inlineStr">
        <is>
          <t>☆</t>
        </is>
      </c>
      <c r="BA63" t="inlineStr">
        <is>
          <t>☆</t>
        </is>
      </c>
      <c r="BB63" t="inlineStr">
        <is>
          <t>☆</t>
        </is>
      </c>
      <c r="BC63" t="inlineStr">
        <is>
          <t>☆</t>
        </is>
      </c>
      <c r="BD63" t="inlineStr">
        <is>
          <t>☆</t>
        </is>
      </c>
      <c r="BE63" t="inlineStr">
        <is>
          <t>☆</t>
        </is>
      </c>
      <c r="BF63" t="inlineStr">
        <is>
          <t>☆</t>
        </is>
      </c>
      <c r="BG63" t="inlineStr">
        <is>
          <t>☆</t>
        </is>
      </c>
      <c r="BH63" t="inlineStr">
        <is>
          <t>☆</t>
        </is>
      </c>
      <c r="BI63" t="inlineStr">
        <is>
          <t>☆</t>
        </is>
      </c>
      <c r="BJ63" t="inlineStr">
        <is>
          <t>☆</t>
        </is>
      </c>
      <c r="BK63" t="inlineStr">
        <is>
          <t>☆</t>
        </is>
      </c>
      <c r="BL63" t="inlineStr">
        <is>
          <t>☆</t>
        </is>
      </c>
      <c r="BM63" t="inlineStr">
        <is>
          <t>☆</t>
        </is>
      </c>
      <c r="BN63" t="inlineStr">
        <is>
          <t>☆</t>
        </is>
      </c>
      <c r="BO63" t="inlineStr">
        <is>
          <t>☆</t>
        </is>
      </c>
      <c r="BP63" t="inlineStr">
        <is>
          <t>☆</t>
        </is>
      </c>
      <c r="BQ63" t="inlineStr">
        <is>
          <t>☆</t>
        </is>
      </c>
      <c r="BR63"/>
      <c r="BS63" t="inlineStr">
        <is>
          <t>#VALUE!</t>
        </is>
      </c>
    </row>
    <row r="64" ht="25.5" customHeight="1">
      <c r="A64" t="inlineStr">
        <is>
          <t>IT</t>
        </is>
      </c>
      <c r="B64" t="inlineStr">
        <is>
          <t>R0001EU</t>
        </is>
      </c>
      <c r="C64" t="inlineStr">
        <is>
          <t>NEW</t>
        </is>
      </c>
      <c r="D64" t="inlineStr">
        <is>
          <t>XXX仪（coupon-0%）</t>
        </is>
      </c>
      <c r="E64">
        <v>65</v>
      </c>
      <c r="F64">
        <v>94.99</v>
      </c>
      <c r="G64"/>
      <c r="H64"/>
      <c r="I64"/>
      <c r="J64"/>
      <c r="K64"/>
      <c r="L64"/>
      <c r="M64"/>
      <c r="N64"/>
      <c r="O64"/>
      <c r="P64">
        <v>8</v>
      </c>
      <c r="Q64">
        <v>8</v>
      </c>
      <c r="R64"/>
      <c r="S64"/>
      <c r="T64"/>
      <c r="U64">
        <v>0.01</v>
      </c>
      <c r="V64"/>
      <c r="W64"/>
      <c r="X64">
        <v>0.188</v>
      </c>
      <c r="Y64">
        <v>10</v>
      </c>
      <c r="Z64">
        <v>0</v>
      </c>
      <c r="AA64"/>
      <c r="AB64"/>
      <c r="AC64">
        <v>150</v>
      </c>
      <c r="AD64"/>
      <c r="AE64"/>
      <c r="AF64"/>
      <c r="AG64"/>
      <c r="AH64">
        <v>18</v>
      </c>
      <c r="AI64"/>
      <c r="AJ64"/>
      <c r="AK64"/>
      <c r="AL64"/>
      <c r="AM64"/>
      <c r="AN64"/>
      <c r="AO64"/>
      <c r="AP64"/>
      <c r="AQ64"/>
      <c r="AR64"/>
      <c r="AS64"/>
      <c r="AT64" t="inlineStr">
        <is>
          <t>☆</t>
        </is>
      </c>
      <c r="AU64" t="inlineStr">
        <is>
          <t>☆</t>
        </is>
      </c>
      <c r="AV64" t="inlineStr">
        <is>
          <t>☆</t>
        </is>
      </c>
      <c r="AW64" t="inlineStr">
        <is>
          <t>☆</t>
        </is>
      </c>
      <c r="AX64" t="inlineStr">
        <is>
          <t>☆</t>
        </is>
      </c>
      <c r="AY64" t="inlineStr">
        <is>
          <t>☆</t>
        </is>
      </c>
      <c r="AZ64" t="inlineStr">
        <is>
          <t>☆</t>
        </is>
      </c>
      <c r="BA64" t="inlineStr">
        <is>
          <t>☆</t>
        </is>
      </c>
      <c r="BB64" t="inlineStr">
        <is>
          <t>☆</t>
        </is>
      </c>
      <c r="BC64" t="inlineStr">
        <is>
          <t>☆</t>
        </is>
      </c>
      <c r="BD64" t="inlineStr">
        <is>
          <t>☆</t>
        </is>
      </c>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t>
        </is>
      </c>
      <c r="BR64"/>
      <c r="BS64" t="inlineStr">
        <is>
          <t>#VALUE!</t>
        </is>
      </c>
    </row>
    <row r="65" ht="25.5" customHeight="1">
      <c r="A65" t="inlineStr">
        <is>
          <t>IT</t>
        </is>
      </c>
      <c r="B65" t="inlineStr">
        <is>
          <t>R0001EU</t>
        </is>
      </c>
      <c r="C65" t="inlineStr">
        <is>
          <t>NEW</t>
        </is>
      </c>
      <c r="D65" t="inlineStr">
        <is>
          <t>XXX仪（coupon-5%）</t>
        </is>
      </c>
      <c r="E65">
        <v>65</v>
      </c>
      <c r="F65">
        <v>94.99</v>
      </c>
      <c r="G65"/>
      <c r="H65"/>
      <c r="I65"/>
      <c r="J65"/>
      <c r="K65"/>
      <c r="L65"/>
      <c r="M65"/>
      <c r="N65"/>
      <c r="O65"/>
      <c r="P65">
        <v>8</v>
      </c>
      <c r="Q65">
        <v>8</v>
      </c>
      <c r="R65"/>
      <c r="S65"/>
      <c r="T65"/>
      <c r="U65">
        <v>0.01</v>
      </c>
      <c r="V65"/>
      <c r="W65"/>
      <c r="X65">
        <v>0.188</v>
      </c>
      <c r="Y65">
        <v>10</v>
      </c>
      <c r="Z65"/>
      <c r="AA65"/>
      <c r="AB65"/>
      <c r="AC65">
        <v>150</v>
      </c>
      <c r="AD65"/>
      <c r="AE65"/>
      <c r="AF65"/>
      <c r="AG65"/>
      <c r="AH65">
        <v>18</v>
      </c>
      <c r="AI65"/>
      <c r="AJ65"/>
      <c r="AK65"/>
      <c r="AL65"/>
      <c r="AM65"/>
      <c r="AN65"/>
      <c r="AO65"/>
      <c r="AP65"/>
      <c r="AQ65"/>
      <c r="AR65"/>
      <c r="AS65"/>
      <c r="AT65" t="inlineStr">
        <is>
          <t>☆</t>
        </is>
      </c>
      <c r="AU65" t="inlineStr">
        <is>
          <t>☆</t>
        </is>
      </c>
      <c r="AV65" t="inlineStr">
        <is>
          <t>☆</t>
        </is>
      </c>
      <c r="AW65" t="inlineStr">
        <is>
          <t>☆</t>
        </is>
      </c>
      <c r="AX65" t="inlineStr">
        <is>
          <t>☆</t>
        </is>
      </c>
      <c r="AY65" t="inlineStr">
        <is>
          <t>☆</t>
        </is>
      </c>
      <c r="AZ65" t="inlineStr">
        <is>
          <t>☆</t>
        </is>
      </c>
      <c r="BA65" t="inlineStr">
        <is>
          <t>☆</t>
        </is>
      </c>
      <c r="BB65" t="inlineStr">
        <is>
          <t>☆</t>
        </is>
      </c>
      <c r="BC65" t="inlineStr">
        <is>
          <t>☆</t>
        </is>
      </c>
      <c r="BD65" t="inlineStr">
        <is>
          <t>☆</t>
        </is>
      </c>
      <c r="BE65" t="inlineStr">
        <is>
          <t>☆</t>
        </is>
      </c>
      <c r="BF65" t="inlineStr">
        <is>
          <t>☆</t>
        </is>
      </c>
      <c r="BG65" t="inlineStr">
        <is>
          <t>☆</t>
        </is>
      </c>
      <c r="BH65" t="inlineStr">
        <is>
          <t>☆</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c r="BS65" t="inlineStr">
        <is>
          <t>#VALUE!</t>
        </is>
      </c>
    </row>
    <row r="66" ht="25.5" customHeight="1">
      <c r="A66" t="inlineStr">
        <is>
          <t>IT</t>
        </is>
      </c>
      <c r="B66" t="inlineStr">
        <is>
          <t>R0001EU</t>
        </is>
      </c>
      <c r="C66" t="inlineStr">
        <is>
          <t>NEW</t>
        </is>
      </c>
      <c r="D66" t="inlineStr">
        <is>
          <t>XXX仪（coupon-10%）</t>
        </is>
      </c>
      <c r="E66">
        <v>65</v>
      </c>
      <c r="F66">
        <v>94.99</v>
      </c>
      <c r="G66"/>
      <c r="H66"/>
      <c r="I66"/>
      <c r="J66"/>
      <c r="K66"/>
      <c r="L66"/>
      <c r="M66"/>
      <c r="N66"/>
      <c r="O66"/>
      <c r="P66">
        <v>8</v>
      </c>
      <c r="Q66">
        <v>8</v>
      </c>
      <c r="R66"/>
      <c r="S66"/>
      <c r="T66"/>
      <c r="U66">
        <v>0.01</v>
      </c>
      <c r="V66"/>
      <c r="W66"/>
      <c r="X66">
        <v>0.188</v>
      </c>
      <c r="Y66">
        <v>10</v>
      </c>
      <c r="Z66"/>
      <c r="AA66"/>
      <c r="AB66"/>
      <c r="AC66">
        <v>150</v>
      </c>
      <c r="AD66"/>
      <c r="AE66"/>
      <c r="AF66"/>
      <c r="AG66"/>
      <c r="AH66">
        <v>18</v>
      </c>
      <c r="AI66"/>
      <c r="AJ66"/>
      <c r="AK66"/>
      <c r="AL66"/>
      <c r="AM66"/>
      <c r="AN66"/>
      <c r="AO66"/>
      <c r="AP66"/>
      <c r="AQ66"/>
      <c r="AR66"/>
      <c r="AS66"/>
      <c r="AT66" t="inlineStr">
        <is>
          <t>☆</t>
        </is>
      </c>
      <c r="AU66" t="inlineStr">
        <is>
          <t>☆</t>
        </is>
      </c>
      <c r="AV66" t="inlineStr">
        <is>
          <t>☆</t>
        </is>
      </c>
      <c r="AW66" t="inlineStr">
        <is>
          <t>☆</t>
        </is>
      </c>
      <c r="AX66" t="inlineStr">
        <is>
          <t>☆</t>
        </is>
      </c>
      <c r="AY66" t="inlineStr">
        <is>
          <t>☆</t>
        </is>
      </c>
      <c r="AZ66" t="inlineStr">
        <is>
          <t>☆</t>
        </is>
      </c>
      <c r="BA66" t="inlineStr">
        <is>
          <t>☆</t>
        </is>
      </c>
      <c r="BB66" t="inlineStr">
        <is>
          <t>☆</t>
        </is>
      </c>
      <c r="BC66" t="inlineStr">
        <is>
          <t>☆</t>
        </is>
      </c>
      <c r="BD66" t="inlineStr">
        <is>
          <t>☆</t>
        </is>
      </c>
      <c r="BE66" t="inlineStr">
        <is>
          <t>☆</t>
        </is>
      </c>
      <c r="BF66" t="inlineStr">
        <is>
          <t>☆</t>
        </is>
      </c>
      <c r="BG66" t="inlineStr">
        <is>
          <t>☆</t>
        </is>
      </c>
      <c r="BH66" t="inlineStr">
        <is>
          <t>☆</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c r="BS66" t="inlineStr">
        <is>
          <t>#VALUE!</t>
        </is>
      </c>
    </row>
    <row r="67" ht="25.5" customHeight="1">
      <c r="A67" t="inlineStr">
        <is>
          <t>IT</t>
        </is>
      </c>
      <c r="B67" t="inlineStr">
        <is>
          <t>R0001EU</t>
        </is>
      </c>
      <c r="C67" t="inlineStr">
        <is>
          <t>NEW</t>
        </is>
      </c>
      <c r="D67" t="inlineStr">
        <is>
          <t>XXX仪（coupon-15%）</t>
        </is>
      </c>
      <c r="E67">
        <v>65</v>
      </c>
      <c r="F67">
        <v>94.99</v>
      </c>
      <c r="G67"/>
      <c r="H67"/>
      <c r="I67"/>
      <c r="J67"/>
      <c r="K67"/>
      <c r="L67"/>
      <c r="M67"/>
      <c r="N67"/>
      <c r="O67"/>
      <c r="P67">
        <v>8</v>
      </c>
      <c r="Q67">
        <v>8</v>
      </c>
      <c r="R67"/>
      <c r="S67"/>
      <c r="T67"/>
      <c r="U67">
        <v>0.01</v>
      </c>
      <c r="V67"/>
      <c r="W67"/>
      <c r="X67">
        <v>0.188</v>
      </c>
      <c r="Y67">
        <v>10</v>
      </c>
      <c r="Z67"/>
      <c r="AA67"/>
      <c r="AB67"/>
      <c r="AC67">
        <v>150</v>
      </c>
      <c r="AD67"/>
      <c r="AE67"/>
      <c r="AF67"/>
      <c r="AG67"/>
      <c r="AH67">
        <v>18</v>
      </c>
      <c r="AI67"/>
      <c r="AJ67"/>
      <c r="AK67"/>
      <c r="AL67"/>
      <c r="AM67"/>
      <c r="AN67"/>
      <c r="AO67"/>
      <c r="AP67"/>
      <c r="AQ67"/>
      <c r="AR67"/>
      <c r="AS67"/>
      <c r="AT67" t="inlineStr">
        <is>
          <t>☆</t>
        </is>
      </c>
      <c r="AU67" t="inlineStr">
        <is>
          <t>☆</t>
        </is>
      </c>
      <c r="AV67" t="inlineStr">
        <is>
          <t>☆</t>
        </is>
      </c>
      <c r="AW67" t="inlineStr">
        <is>
          <t>☆</t>
        </is>
      </c>
      <c r="AX67" t="inlineStr">
        <is>
          <t>☆</t>
        </is>
      </c>
      <c r="AY67" t="inlineStr">
        <is>
          <t>☆</t>
        </is>
      </c>
      <c r="AZ67" t="inlineStr">
        <is>
          <t>☆</t>
        </is>
      </c>
      <c r="BA67" t="inlineStr">
        <is>
          <t>☆</t>
        </is>
      </c>
      <c r="BB67" t="inlineStr">
        <is>
          <t>☆</t>
        </is>
      </c>
      <c r="BC67" t="inlineStr">
        <is>
          <t>☆</t>
        </is>
      </c>
      <c r="BD67" t="inlineStr">
        <is>
          <t>☆</t>
        </is>
      </c>
      <c r="BE67" t="inlineStr">
        <is>
          <t>☆</t>
        </is>
      </c>
      <c r="BF67" t="inlineStr">
        <is>
          <t>☆</t>
        </is>
      </c>
      <c r="BG67" t="inlineStr">
        <is>
          <t>☆</t>
        </is>
      </c>
      <c r="BH67" t="inlineStr">
        <is>
          <t>☆</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c r="BS67" t="inlineStr">
        <is>
          <t>#VALUE!</t>
        </is>
      </c>
    </row>
    <row r="68" ht="25.5" customHeight="1">
      <c r="A68" t="inlineStr">
        <is>
          <t>ES</t>
        </is>
      </c>
      <c r="B68" t="inlineStr">
        <is>
          <t>R0001EU</t>
        </is>
      </c>
      <c r="C68" t="inlineStr">
        <is>
          <t>NEW</t>
        </is>
      </c>
      <c r="D68" t="inlineStr">
        <is>
          <t>XXX仪（coupon-0%）</t>
        </is>
      </c>
      <c r="E68">
        <v>65</v>
      </c>
      <c r="F68">
        <v>94.99</v>
      </c>
      <c r="G68"/>
      <c r="H68"/>
      <c r="I68"/>
      <c r="J68"/>
      <c r="K68"/>
      <c r="L68"/>
      <c r="M68"/>
      <c r="N68"/>
      <c r="O68"/>
      <c r="P68">
        <v>8</v>
      </c>
      <c r="Q68">
        <v>8</v>
      </c>
      <c r="R68"/>
      <c r="S68"/>
      <c r="T68"/>
      <c r="U68">
        <v>0.01</v>
      </c>
      <c r="V68"/>
      <c r="W68"/>
      <c r="X68">
        <v>0.188</v>
      </c>
      <c r="Y68">
        <v>10</v>
      </c>
      <c r="Z68">
        <v>0</v>
      </c>
      <c r="AA68"/>
      <c r="AB68"/>
      <c r="AC68">
        <v>150</v>
      </c>
      <c r="AD68"/>
      <c r="AE68"/>
      <c r="AF68"/>
      <c r="AG68"/>
      <c r="AH68">
        <v>18</v>
      </c>
      <c r="AI68"/>
      <c r="AJ68"/>
      <c r="AK68"/>
      <c r="AL68"/>
      <c r="AM68"/>
      <c r="AN68"/>
      <c r="AO68"/>
      <c r="AP68"/>
      <c r="AQ68"/>
      <c r="AR68"/>
      <c r="AS68"/>
      <c r="AT68" t="inlineStr">
        <is>
          <t>☆</t>
        </is>
      </c>
      <c r="AU68" t="inlineStr">
        <is>
          <t>☆</t>
        </is>
      </c>
      <c r="AV68" t="inlineStr">
        <is>
          <t>☆</t>
        </is>
      </c>
      <c r="AW68" t="inlineStr">
        <is>
          <t>☆</t>
        </is>
      </c>
      <c r="AX68" t="inlineStr">
        <is>
          <t>☆</t>
        </is>
      </c>
      <c r="AY68" t="inlineStr">
        <is>
          <t>☆</t>
        </is>
      </c>
      <c r="AZ68" t="inlineStr">
        <is>
          <t>☆</t>
        </is>
      </c>
      <c r="BA68" t="inlineStr">
        <is>
          <t>☆</t>
        </is>
      </c>
      <c r="BB68" t="inlineStr">
        <is>
          <t>☆</t>
        </is>
      </c>
      <c r="BC68" t="inlineStr">
        <is>
          <t>☆</t>
        </is>
      </c>
      <c r="BD68" t="inlineStr">
        <is>
          <t>☆</t>
        </is>
      </c>
      <c r="BE68" t="inlineStr">
        <is>
          <t>☆</t>
        </is>
      </c>
      <c r="BF68" t="inlineStr">
        <is>
          <t>☆</t>
        </is>
      </c>
      <c r="BG68" t="inlineStr">
        <is>
          <t>☆</t>
        </is>
      </c>
      <c r="BH68" t="inlineStr">
        <is>
          <t>☆</t>
        </is>
      </c>
      <c r="BI68" t="inlineStr">
        <is>
          <t>☆</t>
        </is>
      </c>
      <c r="BJ68" t="inlineStr">
        <is>
          <t>☆</t>
        </is>
      </c>
      <c r="BK68" t="inlineStr">
        <is>
          <t>☆</t>
        </is>
      </c>
      <c r="BL68" t="inlineStr">
        <is>
          <t>☆</t>
        </is>
      </c>
      <c r="BM68" t="inlineStr">
        <is>
          <t>☆</t>
        </is>
      </c>
      <c r="BN68" t="inlineStr">
        <is>
          <t>☆</t>
        </is>
      </c>
      <c r="BO68" t="inlineStr">
        <is>
          <t>☆</t>
        </is>
      </c>
      <c r="BP68" t="inlineStr">
        <is>
          <t>☆</t>
        </is>
      </c>
      <c r="BQ68" t="inlineStr">
        <is>
          <t>☆</t>
        </is>
      </c>
      <c r="BR68"/>
      <c r="BS68" t="inlineStr">
        <is>
          <t>#VALUE!</t>
        </is>
      </c>
    </row>
    <row r="69" ht="25.5" customHeight="1">
      <c r="A69" t="inlineStr">
        <is>
          <t>ES</t>
        </is>
      </c>
      <c r="B69" t="inlineStr">
        <is>
          <t>R0001EU</t>
        </is>
      </c>
      <c r="C69" t="inlineStr">
        <is>
          <t>NEW</t>
        </is>
      </c>
      <c r="D69" t="inlineStr">
        <is>
          <t>XXX仪（coupon-5%）</t>
        </is>
      </c>
      <c r="E69">
        <v>65</v>
      </c>
      <c r="F69">
        <v>94.99</v>
      </c>
      <c r="G69"/>
      <c r="H69"/>
      <c r="I69"/>
      <c r="J69"/>
      <c r="K69"/>
      <c r="L69"/>
      <c r="M69"/>
      <c r="N69"/>
      <c r="O69"/>
      <c r="P69">
        <v>8</v>
      </c>
      <c r="Q69">
        <v>8</v>
      </c>
      <c r="R69"/>
      <c r="S69"/>
      <c r="T69"/>
      <c r="U69">
        <v>0.01</v>
      </c>
      <c r="V69"/>
      <c r="W69"/>
      <c r="X69">
        <v>0.188</v>
      </c>
      <c r="Y69">
        <v>10</v>
      </c>
      <c r="Z69"/>
      <c r="AA69"/>
      <c r="AB69"/>
      <c r="AC69">
        <v>150</v>
      </c>
      <c r="AD69"/>
      <c r="AE69"/>
      <c r="AF69"/>
      <c r="AG69"/>
      <c r="AH69">
        <v>18</v>
      </c>
      <c r="AI69"/>
      <c r="AJ69"/>
      <c r="AK69"/>
      <c r="AL69"/>
      <c r="AM69"/>
      <c r="AN69"/>
      <c r="AO69"/>
      <c r="AP69"/>
      <c r="AQ69"/>
      <c r="AR69"/>
      <c r="AS69"/>
      <c r="AT69" t="inlineStr">
        <is>
          <t>☆</t>
        </is>
      </c>
      <c r="AU69" t="inlineStr">
        <is>
          <t>☆</t>
        </is>
      </c>
      <c r="AV69" t="inlineStr">
        <is>
          <t>☆</t>
        </is>
      </c>
      <c r="AW69" t="inlineStr">
        <is>
          <t>☆</t>
        </is>
      </c>
      <c r="AX69" t="inlineStr">
        <is>
          <t>☆</t>
        </is>
      </c>
      <c r="AY69" t="inlineStr">
        <is>
          <t>☆</t>
        </is>
      </c>
      <c r="AZ69" t="inlineStr">
        <is>
          <t>☆</t>
        </is>
      </c>
      <c r="BA69" t="inlineStr">
        <is>
          <t>☆</t>
        </is>
      </c>
      <c r="BB69" t="inlineStr">
        <is>
          <t>☆</t>
        </is>
      </c>
      <c r="BC69" t="inlineStr">
        <is>
          <t>☆</t>
        </is>
      </c>
      <c r="BD69" t="inlineStr">
        <is>
          <t>☆</t>
        </is>
      </c>
      <c r="BE69" t="inlineStr">
        <is>
          <t>☆</t>
        </is>
      </c>
      <c r="BF69" t="inlineStr">
        <is>
          <t>☆</t>
        </is>
      </c>
      <c r="BG69" t="inlineStr">
        <is>
          <t>☆</t>
        </is>
      </c>
      <c r="BH69" t="inlineStr">
        <is>
          <t>☆</t>
        </is>
      </c>
      <c r="BI69" t="inlineStr">
        <is>
          <t>☆</t>
        </is>
      </c>
      <c r="BJ69" t="inlineStr">
        <is>
          <t>☆</t>
        </is>
      </c>
      <c r="BK69" t="inlineStr">
        <is>
          <t>☆</t>
        </is>
      </c>
      <c r="BL69" t="inlineStr">
        <is>
          <t>☆</t>
        </is>
      </c>
      <c r="BM69" t="inlineStr">
        <is>
          <t>☆</t>
        </is>
      </c>
      <c r="BN69" t="inlineStr">
        <is>
          <t>☆</t>
        </is>
      </c>
      <c r="BO69" t="inlineStr">
        <is>
          <t>☆</t>
        </is>
      </c>
      <c r="BP69" t="inlineStr">
        <is>
          <t>☆</t>
        </is>
      </c>
      <c r="BQ69" t="inlineStr">
        <is>
          <t>☆</t>
        </is>
      </c>
      <c r="BR69"/>
      <c r="BS69" t="inlineStr">
        <is>
          <t>#VALUE!</t>
        </is>
      </c>
    </row>
    <row r="70" ht="25.5" customHeight="1">
      <c r="A70" t="inlineStr">
        <is>
          <t>ES</t>
        </is>
      </c>
      <c r="B70" t="inlineStr">
        <is>
          <t>R0001EU</t>
        </is>
      </c>
      <c r="C70" t="inlineStr">
        <is>
          <t>NEW</t>
        </is>
      </c>
      <c r="D70" t="inlineStr">
        <is>
          <t>XXX仪（coupon-10%）</t>
        </is>
      </c>
      <c r="E70">
        <v>65</v>
      </c>
      <c r="F70">
        <v>94.99</v>
      </c>
      <c r="G70"/>
      <c r="H70"/>
      <c r="I70"/>
      <c r="J70"/>
      <c r="K70"/>
      <c r="L70"/>
      <c r="M70"/>
      <c r="N70"/>
      <c r="O70"/>
      <c r="P70">
        <v>8</v>
      </c>
      <c r="Q70">
        <v>8</v>
      </c>
      <c r="R70"/>
      <c r="S70"/>
      <c r="T70"/>
      <c r="U70">
        <v>0.01</v>
      </c>
      <c r="V70"/>
      <c r="W70"/>
      <c r="X70">
        <v>0.188</v>
      </c>
      <c r="Y70">
        <v>10</v>
      </c>
      <c r="Z70"/>
      <c r="AA70"/>
      <c r="AB70"/>
      <c r="AC70">
        <v>150</v>
      </c>
      <c r="AD70"/>
      <c r="AE70"/>
      <c r="AF70"/>
      <c r="AG70"/>
      <c r="AH70">
        <v>18</v>
      </c>
      <c r="AI70"/>
      <c r="AJ70"/>
      <c r="AK70"/>
      <c r="AL70"/>
      <c r="AM70"/>
      <c r="AN70"/>
      <c r="AO70"/>
      <c r="AP70"/>
      <c r="AQ70"/>
      <c r="AR70"/>
      <c r="AS70"/>
      <c r="AT70" t="inlineStr">
        <is>
          <t>☆</t>
        </is>
      </c>
      <c r="AU70" t="inlineStr">
        <is>
          <t>☆</t>
        </is>
      </c>
      <c r="AV70" t="inlineStr">
        <is>
          <t>☆</t>
        </is>
      </c>
      <c r="AW70" t="inlineStr">
        <is>
          <t>☆</t>
        </is>
      </c>
      <c r="AX70" t="inlineStr">
        <is>
          <t>☆</t>
        </is>
      </c>
      <c r="AY70" t="inlineStr">
        <is>
          <t>☆</t>
        </is>
      </c>
      <c r="AZ70" t="inlineStr">
        <is>
          <t>☆</t>
        </is>
      </c>
      <c r="BA70" t="inlineStr">
        <is>
          <t>☆</t>
        </is>
      </c>
      <c r="BB70" t="inlineStr">
        <is>
          <t>☆</t>
        </is>
      </c>
      <c r="BC70" t="inlineStr">
        <is>
          <t>☆</t>
        </is>
      </c>
      <c r="BD70" t="inlineStr">
        <is>
          <t>☆</t>
        </is>
      </c>
      <c r="BE70" t="inlineStr">
        <is>
          <t>☆</t>
        </is>
      </c>
      <c r="BF70" t="inlineStr">
        <is>
          <t>☆</t>
        </is>
      </c>
      <c r="BG70" t="inlineStr">
        <is>
          <t>☆</t>
        </is>
      </c>
      <c r="BH70" t="inlineStr">
        <is>
          <t>☆</t>
        </is>
      </c>
      <c r="BI70" t="inlineStr">
        <is>
          <t>☆</t>
        </is>
      </c>
      <c r="BJ70" t="inlineStr">
        <is>
          <t>☆</t>
        </is>
      </c>
      <c r="BK70" t="inlineStr">
        <is>
          <t>☆</t>
        </is>
      </c>
      <c r="BL70" t="inlineStr">
        <is>
          <t>☆</t>
        </is>
      </c>
      <c r="BM70" t="inlineStr">
        <is>
          <t>☆</t>
        </is>
      </c>
      <c r="BN70" t="inlineStr">
        <is>
          <t>☆</t>
        </is>
      </c>
      <c r="BO70" t="inlineStr">
        <is>
          <t>☆</t>
        </is>
      </c>
      <c r="BP70" t="inlineStr">
        <is>
          <t>☆</t>
        </is>
      </c>
      <c r="BQ70" t="inlineStr">
        <is>
          <t>☆</t>
        </is>
      </c>
      <c r="BR70"/>
      <c r="BS70" t="inlineStr">
        <is>
          <t>#VALUE!</t>
        </is>
      </c>
    </row>
    <row r="71" ht="25.5" customHeight="1">
      <c r="A71" t="inlineStr">
        <is>
          <t>ES</t>
        </is>
      </c>
      <c r="B71" t="inlineStr">
        <is>
          <t>R0001EU</t>
        </is>
      </c>
      <c r="C71" t="inlineStr">
        <is>
          <t>NEW</t>
        </is>
      </c>
      <c r="D71" t="inlineStr">
        <is>
          <t>XXX仪（coupon-15%）</t>
        </is>
      </c>
      <c r="E71">
        <v>65</v>
      </c>
      <c r="F71">
        <v>94.99</v>
      </c>
      <c r="G71"/>
      <c r="H71"/>
      <c r="I71"/>
      <c r="J71"/>
      <c r="K71"/>
      <c r="L71"/>
      <c r="M71"/>
      <c r="N71"/>
      <c r="O71"/>
      <c r="P71">
        <v>8</v>
      </c>
      <c r="Q71">
        <v>8</v>
      </c>
      <c r="R71"/>
      <c r="S71"/>
      <c r="T71"/>
      <c r="U71">
        <v>0.01</v>
      </c>
      <c r="V71"/>
      <c r="W71"/>
      <c r="X71">
        <v>0.188</v>
      </c>
      <c r="Y71">
        <v>10</v>
      </c>
      <c r="Z71"/>
      <c r="AA71"/>
      <c r="AB71"/>
      <c r="AC71">
        <v>150</v>
      </c>
      <c r="AD71"/>
      <c r="AE71"/>
      <c r="AF71"/>
      <c r="AG71"/>
      <c r="AH71">
        <v>18</v>
      </c>
      <c r="AI71"/>
      <c r="AJ71"/>
      <c r="AK71"/>
      <c r="AL71"/>
      <c r="AM71"/>
      <c r="AN71"/>
      <c r="AO71"/>
      <c r="AP71"/>
      <c r="AQ71"/>
      <c r="AR71"/>
      <c r="AS71"/>
      <c r="AT71" t="inlineStr">
        <is>
          <t>☆</t>
        </is>
      </c>
      <c r="AU71" t="inlineStr">
        <is>
          <t>☆</t>
        </is>
      </c>
      <c r="AV71" t="inlineStr">
        <is>
          <t>☆</t>
        </is>
      </c>
      <c r="AW71" t="inlineStr">
        <is>
          <t>☆</t>
        </is>
      </c>
      <c r="AX71" t="inlineStr">
        <is>
          <t>☆</t>
        </is>
      </c>
      <c r="AY71" t="inlineStr">
        <is>
          <t>☆</t>
        </is>
      </c>
      <c r="AZ71" t="inlineStr">
        <is>
          <t>☆</t>
        </is>
      </c>
      <c r="BA71" t="inlineStr">
        <is>
          <t>☆</t>
        </is>
      </c>
      <c r="BB71" t="inlineStr">
        <is>
          <t>☆</t>
        </is>
      </c>
      <c r="BC71" t="inlineStr">
        <is>
          <t>☆</t>
        </is>
      </c>
      <c r="BD71" t="inlineStr">
        <is>
          <t>☆</t>
        </is>
      </c>
      <c r="BE71" t="inlineStr">
        <is>
          <t>☆</t>
        </is>
      </c>
      <c r="BF71" t="inlineStr">
        <is>
          <t>☆</t>
        </is>
      </c>
      <c r="BG71" t="inlineStr">
        <is>
          <t>☆</t>
        </is>
      </c>
      <c r="BH71" t="inlineStr">
        <is>
          <t>☆</t>
        </is>
      </c>
      <c r="BI71" t="inlineStr">
        <is>
          <t>☆</t>
        </is>
      </c>
      <c r="BJ71" t="inlineStr">
        <is>
          <t>☆</t>
        </is>
      </c>
      <c r="BK71" t="inlineStr">
        <is>
          <t>☆</t>
        </is>
      </c>
      <c r="BL71" t="inlineStr">
        <is>
          <t>☆</t>
        </is>
      </c>
      <c r="BM71" t="inlineStr">
        <is>
          <t>☆</t>
        </is>
      </c>
      <c r="BN71" t="inlineStr">
        <is>
          <t>☆</t>
        </is>
      </c>
      <c r="BO71" t="inlineStr">
        <is>
          <t>☆</t>
        </is>
      </c>
      <c r="BP71" t="inlineStr">
        <is>
          <t>☆</t>
        </is>
      </c>
      <c r="BQ71" t="inlineStr">
        <is>
          <t>☆</t>
        </is>
      </c>
      <c r="BR71"/>
      <c r="BS71" t="inlineStr">
        <is>
          <t>#VALUE!</t>
        </is>
      </c>
    </row>
    <row r="72" ht="25.5" customHeight="1">
      <c r="A72" t="inlineStr">
        <is>
          <t>NL</t>
        </is>
      </c>
      <c r="B72" t="inlineStr">
        <is>
          <t>R0001EU</t>
        </is>
      </c>
      <c r="C72" t="inlineStr">
        <is>
          <t>NEW</t>
        </is>
      </c>
      <c r="D72" t="inlineStr">
        <is>
          <t>XXX仪（coupon-0%）</t>
        </is>
      </c>
      <c r="E72">
        <v>69</v>
      </c>
      <c r="F72">
        <v>99.99</v>
      </c>
      <c r="G72"/>
      <c r="H72"/>
      <c r="I72"/>
      <c r="J72"/>
      <c r="K72"/>
      <c r="L72"/>
      <c r="M72"/>
      <c r="N72"/>
      <c r="O72"/>
      <c r="P72">
        <v>8</v>
      </c>
      <c r="Q72">
        <v>8</v>
      </c>
      <c r="R72"/>
      <c r="S72"/>
      <c r="T72"/>
      <c r="U72">
        <v>0.01</v>
      </c>
      <c r="V72"/>
      <c r="W72"/>
      <c r="X72">
        <v>0.188</v>
      </c>
      <c r="Y72">
        <v>10</v>
      </c>
      <c r="Z72"/>
      <c r="AA72"/>
      <c r="AB72"/>
      <c r="AC72">
        <v>150</v>
      </c>
      <c r="AD72"/>
      <c r="AE72"/>
      <c r="AF72"/>
      <c r="AG72"/>
      <c r="AH72">
        <v>18</v>
      </c>
      <c r="AI72"/>
      <c r="AJ72"/>
      <c r="AK72"/>
      <c r="AL72"/>
      <c r="AM72"/>
      <c r="AN72"/>
      <c r="AO72"/>
      <c r="AP72"/>
      <c r="AQ72"/>
      <c r="AR72"/>
      <c r="AS72"/>
      <c r="AT72" t="inlineStr">
        <is>
          <t>☆</t>
        </is>
      </c>
      <c r="AU72" t="inlineStr">
        <is>
          <t>☆</t>
        </is>
      </c>
      <c r="AV72" t="inlineStr">
        <is>
          <t>☆</t>
        </is>
      </c>
      <c r="AW72" t="inlineStr">
        <is>
          <t>☆</t>
        </is>
      </c>
      <c r="AX72" t="inlineStr">
        <is>
          <t>☆</t>
        </is>
      </c>
      <c r="AY72" t="inlineStr">
        <is>
          <t>☆</t>
        </is>
      </c>
      <c r="AZ72" t="inlineStr">
        <is>
          <t>☆</t>
        </is>
      </c>
      <c r="BA72" t="inlineStr">
        <is>
          <t>☆</t>
        </is>
      </c>
      <c r="BB72" t="inlineStr">
        <is>
          <t>☆</t>
        </is>
      </c>
      <c r="BC72" t="inlineStr">
        <is>
          <t>☆</t>
        </is>
      </c>
      <c r="BD72" t="inlineStr">
        <is>
          <t>☆</t>
        </is>
      </c>
      <c r="BE72" t="inlineStr">
        <is>
          <t>☆</t>
        </is>
      </c>
      <c r="BF72" t="inlineStr">
        <is>
          <t>☆</t>
        </is>
      </c>
      <c r="BG72" t="inlineStr">
        <is>
          <t>☆</t>
        </is>
      </c>
      <c r="BH72" t="inlineStr">
        <is>
          <t>☆</t>
        </is>
      </c>
      <c r="BI72" t="inlineStr">
        <is>
          <t>☆</t>
        </is>
      </c>
      <c r="BJ72" t="inlineStr">
        <is>
          <t>☆</t>
        </is>
      </c>
      <c r="BK72" t="inlineStr">
        <is>
          <t>☆</t>
        </is>
      </c>
      <c r="BL72" t="inlineStr">
        <is>
          <t>☆</t>
        </is>
      </c>
      <c r="BM72" t="inlineStr">
        <is>
          <t>☆</t>
        </is>
      </c>
      <c r="BN72" t="inlineStr">
        <is>
          <t>☆</t>
        </is>
      </c>
      <c r="BO72" t="inlineStr">
        <is>
          <t>☆</t>
        </is>
      </c>
      <c r="BP72" t="inlineStr">
        <is>
          <t>☆</t>
        </is>
      </c>
      <c r="BQ72" t="inlineStr">
        <is>
          <t>☆</t>
        </is>
      </c>
      <c r="BR72"/>
      <c r="BS72" t="inlineStr">
        <is>
          <t>#VALUE!</t>
        </is>
      </c>
    </row>
    <row r="73" ht="25.5" customHeight="1">
      <c r="A73" t="inlineStr">
        <is>
          <t>PL</t>
        </is>
      </c>
      <c r="B73" t="inlineStr">
        <is>
          <t>R0001EU</t>
        </is>
      </c>
      <c r="C73" t="inlineStr">
        <is>
          <t>NEW</t>
        </is>
      </c>
      <c r="D73" t="inlineStr">
        <is>
          <t>XXX仪（coupon-5%）</t>
        </is>
      </c>
      <c r="E73">
        <v>69</v>
      </c>
      <c r="F73">
        <v>99.99</v>
      </c>
      <c r="G73"/>
      <c r="H73"/>
      <c r="I73"/>
      <c r="J73"/>
      <c r="K73"/>
      <c r="L73"/>
      <c r="M73"/>
      <c r="N73"/>
      <c r="O73"/>
      <c r="P73">
        <v>8</v>
      </c>
      <c r="Q73">
        <v>8</v>
      </c>
      <c r="R73"/>
      <c r="S73"/>
      <c r="T73"/>
      <c r="U73">
        <v>0.01</v>
      </c>
      <c r="V73"/>
      <c r="W73"/>
      <c r="X73">
        <v>0.188</v>
      </c>
      <c r="Y73">
        <v>10</v>
      </c>
      <c r="Z73"/>
      <c r="AA73"/>
      <c r="AB73"/>
      <c r="AC73">
        <v>150</v>
      </c>
      <c r="AD73"/>
      <c r="AE73"/>
      <c r="AF73"/>
      <c r="AG73"/>
      <c r="AH73">
        <v>18</v>
      </c>
      <c r="AI73"/>
      <c r="AJ73"/>
      <c r="AK73"/>
      <c r="AL73"/>
      <c r="AM73"/>
      <c r="AN73"/>
      <c r="AO73"/>
      <c r="AP73"/>
      <c r="AQ73"/>
      <c r="AR73"/>
      <c r="AS73"/>
      <c r="AT73" t="inlineStr">
        <is>
          <t>☆</t>
        </is>
      </c>
      <c r="AU73" t="inlineStr">
        <is>
          <t>☆</t>
        </is>
      </c>
      <c r="AV73" t="inlineStr">
        <is>
          <t>☆</t>
        </is>
      </c>
      <c r="AW73" t="inlineStr">
        <is>
          <t>☆</t>
        </is>
      </c>
      <c r="AX73" t="inlineStr">
        <is>
          <t>☆</t>
        </is>
      </c>
      <c r="AY73" t="inlineStr">
        <is>
          <t>☆</t>
        </is>
      </c>
      <c r="AZ73" t="inlineStr">
        <is>
          <t>☆</t>
        </is>
      </c>
      <c r="BA73" t="inlineStr">
        <is>
          <t>☆</t>
        </is>
      </c>
      <c r="BB73" t="inlineStr">
        <is>
          <t>☆</t>
        </is>
      </c>
      <c r="BC73" t="inlineStr">
        <is>
          <t>☆</t>
        </is>
      </c>
      <c r="BD73" t="inlineStr">
        <is>
          <t>☆</t>
        </is>
      </c>
      <c r="BE73" t="inlineStr">
        <is>
          <t>☆</t>
        </is>
      </c>
      <c r="BF73" t="inlineStr">
        <is>
          <t>☆</t>
        </is>
      </c>
      <c r="BG73" t="inlineStr">
        <is>
          <t>☆</t>
        </is>
      </c>
      <c r="BH73" t="inlineStr">
        <is>
          <t>☆</t>
        </is>
      </c>
      <c r="BI73" t="inlineStr">
        <is>
          <t>☆</t>
        </is>
      </c>
      <c r="BJ73" t="inlineStr">
        <is>
          <t>☆</t>
        </is>
      </c>
      <c r="BK73" t="inlineStr">
        <is>
          <t>☆</t>
        </is>
      </c>
      <c r="BL73" t="inlineStr">
        <is>
          <t>☆</t>
        </is>
      </c>
      <c r="BM73" t="inlineStr">
        <is>
          <t>☆</t>
        </is>
      </c>
      <c r="BN73" t="inlineStr">
        <is>
          <t>☆</t>
        </is>
      </c>
      <c r="BO73" t="inlineStr">
        <is>
          <t>☆</t>
        </is>
      </c>
      <c r="BP73" t="inlineStr">
        <is>
          <t>☆</t>
        </is>
      </c>
      <c r="BQ73" t="inlineStr">
        <is>
          <t>☆</t>
        </is>
      </c>
      <c r="BR73"/>
      <c r="BS73" t="inlineStr">
        <is>
          <t>#VALUE!</t>
        </is>
      </c>
    </row>
    <row r="74" ht="25.5" customHeight="1">
      <c r="A74" t="inlineStr">
        <is>
          <t>SE</t>
        </is>
      </c>
      <c r="B74" t="inlineStr">
        <is>
          <t>R0001EU</t>
        </is>
      </c>
      <c r="C74" t="inlineStr">
        <is>
          <t>NEW</t>
        </is>
      </c>
      <c r="D74" t="inlineStr">
        <is>
          <t>XXX仪（coupon-10%）</t>
        </is>
      </c>
      <c r="E74">
        <v>69</v>
      </c>
      <c r="F74">
        <v>99.99</v>
      </c>
      <c r="G74"/>
      <c r="H74"/>
      <c r="I74"/>
      <c r="J74"/>
      <c r="K74"/>
      <c r="L74"/>
      <c r="M74"/>
      <c r="N74"/>
      <c r="O74"/>
      <c r="P74">
        <v>8</v>
      </c>
      <c r="Q74">
        <v>8</v>
      </c>
      <c r="R74"/>
      <c r="S74"/>
      <c r="T74"/>
      <c r="U74">
        <v>0.01</v>
      </c>
      <c r="V74"/>
      <c r="W74"/>
      <c r="X74">
        <v>0.188</v>
      </c>
      <c r="Y74">
        <v>10</v>
      </c>
      <c r="Z74"/>
      <c r="AA74"/>
      <c r="AB74"/>
      <c r="AC74">
        <v>150</v>
      </c>
      <c r="AD74"/>
      <c r="AE74"/>
      <c r="AF74"/>
      <c r="AG74"/>
      <c r="AH74">
        <v>18</v>
      </c>
      <c r="AI74"/>
      <c r="AJ74"/>
      <c r="AK74"/>
      <c r="AL74"/>
      <c r="AM74"/>
      <c r="AN74"/>
      <c r="AO74"/>
      <c r="AP74"/>
      <c r="AQ74"/>
      <c r="AR74"/>
      <c r="AS74"/>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t>
        </is>
      </c>
      <c r="BR74"/>
      <c r="BS74" t="inlineStr">
        <is>
          <t>#VALUE!</t>
        </is>
      </c>
    </row>
    <row r="75" ht="25.5" customHeight="1">
      <c r="A75" t="inlineStr">
        <is>
          <t>BE</t>
        </is>
      </c>
      <c r="B75" t="inlineStr">
        <is>
          <t>R0001EU</t>
        </is>
      </c>
      <c r="C75" t="inlineStr">
        <is>
          <t>NEW</t>
        </is>
      </c>
      <c r="D75" t="inlineStr">
        <is>
          <t>XXX仪（coupon-15%）</t>
        </is>
      </c>
      <c r="E75">
        <v>69</v>
      </c>
      <c r="F75">
        <v>99.99</v>
      </c>
      <c r="G75"/>
      <c r="H75"/>
      <c r="I75"/>
      <c r="J75"/>
      <c r="K75"/>
      <c r="L75"/>
      <c r="M75"/>
      <c r="N75"/>
      <c r="O75"/>
      <c r="P75">
        <v>8</v>
      </c>
      <c r="Q75">
        <v>8</v>
      </c>
      <c r="R75"/>
      <c r="S75"/>
      <c r="T75"/>
      <c r="U75">
        <v>0.01</v>
      </c>
      <c r="V75"/>
      <c r="W75"/>
      <c r="X75">
        <v>0.188</v>
      </c>
      <c r="Y75">
        <v>10</v>
      </c>
      <c r="Z75"/>
      <c r="AA75"/>
      <c r="AB75"/>
      <c r="AC75">
        <v>150</v>
      </c>
      <c r="AD75"/>
      <c r="AE75"/>
      <c r="AF75"/>
      <c r="AG75"/>
      <c r="AH75">
        <v>18</v>
      </c>
      <c r="AI75"/>
      <c r="AJ75"/>
      <c r="AK75"/>
      <c r="AL75"/>
      <c r="AM75"/>
      <c r="AN75"/>
      <c r="AO75"/>
      <c r="AP75"/>
      <c r="AQ75"/>
      <c r="AR75"/>
      <c r="AS75"/>
      <c r="AT75" t="inlineStr">
        <is>
          <t>☆</t>
        </is>
      </c>
      <c r="AU75" t="inlineStr">
        <is>
          <t>☆</t>
        </is>
      </c>
      <c r="AV75" t="inlineStr">
        <is>
          <t>☆</t>
        </is>
      </c>
      <c r="AW75" t="inlineStr">
        <is>
          <t>☆</t>
        </is>
      </c>
      <c r="AX75" t="inlineStr">
        <is>
          <t>☆</t>
        </is>
      </c>
      <c r="AY75" t="inlineStr">
        <is>
          <t>☆</t>
        </is>
      </c>
      <c r="AZ75" t="inlineStr">
        <is>
          <t>☆</t>
        </is>
      </c>
      <c r="BA75" t="inlineStr">
        <is>
          <t>☆</t>
        </is>
      </c>
      <c r="BB75" t="inlineStr">
        <is>
          <t>☆</t>
        </is>
      </c>
      <c r="BC75" t="inlineStr">
        <is>
          <t>☆</t>
        </is>
      </c>
      <c r="BD75" t="inlineStr">
        <is>
          <t>☆</t>
        </is>
      </c>
      <c r="BE75" t="inlineStr">
        <is>
          <t>☆</t>
        </is>
      </c>
      <c r="BF75" t="inlineStr">
        <is>
          <t>☆</t>
        </is>
      </c>
      <c r="BG75" t="inlineStr">
        <is>
          <t>☆</t>
        </is>
      </c>
      <c r="BH75" t="inlineStr">
        <is>
          <t>☆</t>
        </is>
      </c>
      <c r="BI75" t="inlineStr">
        <is>
          <t>☆</t>
        </is>
      </c>
      <c r="BJ75" t="inlineStr">
        <is>
          <t>☆</t>
        </is>
      </c>
      <c r="BK75" t="inlineStr">
        <is>
          <t>☆</t>
        </is>
      </c>
      <c r="BL75" t="inlineStr">
        <is>
          <t>☆</t>
        </is>
      </c>
      <c r="BM75" t="inlineStr">
        <is>
          <t>☆</t>
        </is>
      </c>
      <c r="BN75" t="inlineStr">
        <is>
          <t>☆</t>
        </is>
      </c>
      <c r="BO75" t="inlineStr">
        <is>
          <t>☆</t>
        </is>
      </c>
      <c r="BP75" t="inlineStr">
        <is>
          <t>☆</t>
        </is>
      </c>
      <c r="BQ75" t="inlineStr">
        <is>
          <t>☆</t>
        </is>
      </c>
      <c r="BR75"/>
      <c r="BS75" t="inlineStr">
        <is>
          <t>#VALUE!</t>
        </is>
      </c>
    </row>
    <row r="76" ht="25.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row>
    <row r="77" ht="25.5" customHeight="1">
      <c r="A77" t="inlineStr">
        <is>
          <t>UK</t>
        </is>
      </c>
      <c r="B77" t="inlineStr">
        <is>
          <t>R0001UK</t>
        </is>
      </c>
      <c r="C77"/>
      <c r="D77" t="inlineStr">
        <is>
          <t>布艺清洗机（coupon-0%）</t>
        </is>
      </c>
      <c r="E77">
        <v>76</v>
      </c>
      <c r="F77">
        <v>109.99</v>
      </c>
      <c r="G77"/>
      <c r="H77"/>
      <c r="I77"/>
      <c r="J77"/>
      <c r="K77"/>
      <c r="L77"/>
      <c r="M77"/>
      <c r="N77"/>
      <c r="O77"/>
      <c r="P77">
        <v>3</v>
      </c>
      <c r="Q77">
        <v>9</v>
      </c>
      <c r="R77"/>
      <c r="S77"/>
      <c r="T77"/>
      <c r="U77">
        <v>0.01</v>
      </c>
      <c r="V77"/>
      <c r="W77"/>
      <c r="X77">
        <v>0.178</v>
      </c>
      <c r="Y77">
        <v>12</v>
      </c>
      <c r="Z77"/>
      <c r="AA77"/>
      <c r="AB77"/>
      <c r="AC77">
        <v>249</v>
      </c>
      <c r="AD77"/>
      <c r="AE77"/>
      <c r="AF77"/>
      <c r="AG77"/>
      <c r="AH77">
        <v>25</v>
      </c>
      <c r="AI77"/>
      <c r="AJ77"/>
      <c r="AK77"/>
      <c r="AL77"/>
      <c r="AM77"/>
      <c r="AN77"/>
      <c r="AO77"/>
      <c r="AP77"/>
      <c r="AQ77"/>
      <c r="AR77"/>
      <c r="AS77"/>
      <c r="AT77" t="inlineStr">
        <is>
          <t>☆</t>
        </is>
      </c>
      <c r="AU77" t="inlineStr">
        <is>
          <t>☆</t>
        </is>
      </c>
      <c r="AV77" t="inlineStr">
        <is>
          <t>☆</t>
        </is>
      </c>
      <c r="AW77" t="inlineStr">
        <is>
          <t>☆</t>
        </is>
      </c>
      <c r="AX77" t="inlineStr">
        <is>
          <t>☆</t>
        </is>
      </c>
      <c r="AY77" t="inlineStr">
        <is>
          <t>☆</t>
        </is>
      </c>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c r="BS77" t="inlineStr">
        <is>
          <t>#VALUE!</t>
        </is>
      </c>
    </row>
    <row r="78" ht="25.5" customHeight="1">
      <c r="A78" t="inlineStr">
        <is>
          <t>UK</t>
        </is>
      </c>
      <c r="B78" t="inlineStr">
        <is>
          <t>R0001UK</t>
        </is>
      </c>
      <c r="C78"/>
      <c r="D78" t="inlineStr">
        <is>
          <t>布艺清洗机（coupon-5%）</t>
        </is>
      </c>
      <c r="E78">
        <v>76</v>
      </c>
      <c r="F78">
        <v>109.99</v>
      </c>
      <c r="G78"/>
      <c r="H78"/>
      <c r="I78"/>
      <c r="J78"/>
      <c r="K78"/>
      <c r="L78"/>
      <c r="M78"/>
      <c r="N78"/>
      <c r="O78"/>
      <c r="P78">
        <v>3</v>
      </c>
      <c r="Q78">
        <v>9</v>
      </c>
      <c r="R78"/>
      <c r="S78"/>
      <c r="T78"/>
      <c r="U78">
        <v>0.01</v>
      </c>
      <c r="V78"/>
      <c r="W78"/>
      <c r="X78">
        <v>0.178</v>
      </c>
      <c r="Y78">
        <v>12</v>
      </c>
      <c r="Z78"/>
      <c r="AA78"/>
      <c r="AB78"/>
      <c r="AC78">
        <v>249</v>
      </c>
      <c r="AD78"/>
      <c r="AE78"/>
      <c r="AF78"/>
      <c r="AG78"/>
      <c r="AH78">
        <v>25</v>
      </c>
      <c r="AI78"/>
      <c r="AJ78"/>
      <c r="AK78"/>
      <c r="AL78"/>
      <c r="AM78"/>
      <c r="AN78"/>
      <c r="AO78"/>
      <c r="AP78"/>
      <c r="AQ78"/>
      <c r="AR78"/>
      <c r="AS78"/>
      <c r="AT78" t="inlineStr">
        <is>
          <t>☆</t>
        </is>
      </c>
      <c r="AU78" t="inlineStr">
        <is>
          <t>☆</t>
        </is>
      </c>
      <c r="AV78" t="inlineStr">
        <is>
          <t>☆</t>
        </is>
      </c>
      <c r="AW78" t="inlineStr">
        <is>
          <t>☆</t>
        </is>
      </c>
      <c r="AX78" t="inlineStr">
        <is>
          <t>☆</t>
        </is>
      </c>
      <c r="AY78" t="inlineStr">
        <is>
          <t>☆</t>
        </is>
      </c>
      <c r="AZ78" t="inlineStr">
        <is>
          <t>☆</t>
        </is>
      </c>
      <c r="BA78" t="inlineStr">
        <is>
          <t>☆</t>
        </is>
      </c>
      <c r="BB78" t="inlineStr">
        <is>
          <t>☆</t>
        </is>
      </c>
      <c r="BC78" t="inlineStr">
        <is>
          <t>☆</t>
        </is>
      </c>
      <c r="BD78" t="inlineStr">
        <is>
          <t>☆</t>
        </is>
      </c>
      <c r="BE78" t="inlineStr">
        <is>
          <t>☆</t>
        </is>
      </c>
      <c r="BF78" t="inlineStr">
        <is>
          <t>☆</t>
        </is>
      </c>
      <c r="BG78" t="inlineStr">
        <is>
          <t>☆</t>
        </is>
      </c>
      <c r="BH78" t="inlineStr">
        <is>
          <t>☆</t>
        </is>
      </c>
      <c r="BI78" t="inlineStr">
        <is>
          <t>☆</t>
        </is>
      </c>
      <c r="BJ78" t="inlineStr">
        <is>
          <t>☆</t>
        </is>
      </c>
      <c r="BK78" t="inlineStr">
        <is>
          <t>☆</t>
        </is>
      </c>
      <c r="BL78" t="inlineStr">
        <is>
          <t>☆</t>
        </is>
      </c>
      <c r="BM78" t="inlineStr">
        <is>
          <t>☆</t>
        </is>
      </c>
      <c r="BN78" t="inlineStr">
        <is>
          <t>☆</t>
        </is>
      </c>
      <c r="BO78" t="inlineStr">
        <is>
          <t>☆</t>
        </is>
      </c>
      <c r="BP78" t="inlineStr">
        <is>
          <t>☆</t>
        </is>
      </c>
      <c r="BQ78" t="inlineStr">
        <is>
          <t>☆</t>
        </is>
      </c>
      <c r="BR78"/>
      <c r="BS78" t="inlineStr">
        <is>
          <t>#VALUE!</t>
        </is>
      </c>
    </row>
    <row r="79" ht="25.5" customHeight="1">
      <c r="A79" t="inlineStr">
        <is>
          <t>UK</t>
        </is>
      </c>
      <c r="B79" t="inlineStr">
        <is>
          <t>R0001UK</t>
        </is>
      </c>
      <c r="C79"/>
      <c r="D79" t="inlineStr">
        <is>
          <t>布艺清洗机（coupon-10%）</t>
        </is>
      </c>
      <c r="E79">
        <v>76</v>
      </c>
      <c r="F79">
        <v>109.99</v>
      </c>
      <c r="G79"/>
      <c r="H79"/>
      <c r="I79"/>
      <c r="J79"/>
      <c r="K79"/>
      <c r="L79"/>
      <c r="M79"/>
      <c r="N79"/>
      <c r="O79"/>
      <c r="P79">
        <v>3</v>
      </c>
      <c r="Q79">
        <v>9</v>
      </c>
      <c r="R79"/>
      <c r="S79"/>
      <c r="T79"/>
      <c r="U79">
        <v>0.01</v>
      </c>
      <c r="V79"/>
      <c r="W79"/>
      <c r="X79">
        <v>0.178</v>
      </c>
      <c r="Y79">
        <v>12</v>
      </c>
      <c r="Z79"/>
      <c r="AA79"/>
      <c r="AB79"/>
      <c r="AC79">
        <v>249</v>
      </c>
      <c r="AD79"/>
      <c r="AE79"/>
      <c r="AF79"/>
      <c r="AG79"/>
      <c r="AH79">
        <v>25</v>
      </c>
      <c r="AI79"/>
      <c r="AJ79"/>
      <c r="AK79"/>
      <c r="AL79"/>
      <c r="AM79"/>
      <c r="AN79"/>
      <c r="AO79"/>
      <c r="AP79"/>
      <c r="AQ79"/>
      <c r="AR79"/>
      <c r="AS79"/>
      <c r="AT79" t="inlineStr">
        <is>
          <t>☆</t>
        </is>
      </c>
      <c r="AU79" t="inlineStr">
        <is>
          <t>☆</t>
        </is>
      </c>
      <c r="AV79" t="inlineStr">
        <is>
          <t>☆</t>
        </is>
      </c>
      <c r="AW79" t="inlineStr">
        <is>
          <t>☆</t>
        </is>
      </c>
      <c r="AX79" t="inlineStr">
        <is>
          <t>☆</t>
        </is>
      </c>
      <c r="AY79" t="inlineStr">
        <is>
          <t>☆</t>
        </is>
      </c>
      <c r="AZ79" t="inlineStr">
        <is>
          <t>☆</t>
        </is>
      </c>
      <c r="BA79" t="inlineStr">
        <is>
          <t>☆</t>
        </is>
      </c>
      <c r="BB79" t="inlineStr">
        <is>
          <t>☆</t>
        </is>
      </c>
      <c r="BC79" t="inlineStr">
        <is>
          <t>☆</t>
        </is>
      </c>
      <c r="BD79" t="inlineStr">
        <is>
          <t>☆</t>
        </is>
      </c>
      <c r="BE79" t="inlineStr">
        <is>
          <t>☆</t>
        </is>
      </c>
      <c r="BF79" t="inlineStr">
        <is>
          <t>☆</t>
        </is>
      </c>
      <c r="BG79" t="inlineStr">
        <is>
          <t>☆</t>
        </is>
      </c>
      <c r="BH79" t="inlineStr">
        <is>
          <t>☆</t>
        </is>
      </c>
      <c r="BI79" t="inlineStr">
        <is>
          <t>☆</t>
        </is>
      </c>
      <c r="BJ79" t="inlineStr">
        <is>
          <t>☆</t>
        </is>
      </c>
      <c r="BK79" t="inlineStr">
        <is>
          <t>☆</t>
        </is>
      </c>
      <c r="BL79" t="inlineStr">
        <is>
          <t>☆</t>
        </is>
      </c>
      <c r="BM79" t="inlineStr">
        <is>
          <t>☆</t>
        </is>
      </c>
      <c r="BN79" t="inlineStr">
        <is>
          <t>☆</t>
        </is>
      </c>
      <c r="BO79" t="inlineStr">
        <is>
          <t>☆</t>
        </is>
      </c>
      <c r="BP79" t="inlineStr">
        <is>
          <t>☆</t>
        </is>
      </c>
      <c r="BQ79" t="inlineStr">
        <is>
          <t>☆</t>
        </is>
      </c>
      <c r="BR79"/>
      <c r="BS79" t="inlineStr">
        <is>
          <t>#VALUE!</t>
        </is>
      </c>
    </row>
    <row r="80" ht="25.5" customHeight="1">
      <c r="A80" t="inlineStr">
        <is>
          <t>UK</t>
        </is>
      </c>
      <c r="B80" t="inlineStr">
        <is>
          <t>R0001UK</t>
        </is>
      </c>
      <c r="C80"/>
      <c r="D80" t="inlineStr">
        <is>
          <t>布艺清洗机（coupon-15%）</t>
        </is>
      </c>
      <c r="E80">
        <v>76</v>
      </c>
      <c r="F80">
        <v>109.99</v>
      </c>
      <c r="G80"/>
      <c r="H80"/>
      <c r="I80"/>
      <c r="J80"/>
      <c r="K80"/>
      <c r="L80"/>
      <c r="M80"/>
      <c r="N80"/>
      <c r="O80"/>
      <c r="P80">
        <v>3</v>
      </c>
      <c r="Q80">
        <v>9</v>
      </c>
      <c r="R80"/>
      <c r="S80"/>
      <c r="T80"/>
      <c r="U80">
        <v>0.01</v>
      </c>
      <c r="V80"/>
      <c r="W80"/>
      <c r="X80">
        <v>0.178</v>
      </c>
      <c r="Y80">
        <v>12</v>
      </c>
      <c r="Z80"/>
      <c r="AA80"/>
      <c r="AB80"/>
      <c r="AC80">
        <v>249</v>
      </c>
      <c r="AD80"/>
      <c r="AE80"/>
      <c r="AF80"/>
      <c r="AG80"/>
      <c r="AH80">
        <v>25</v>
      </c>
      <c r="AI80"/>
      <c r="AJ80"/>
      <c r="AK80"/>
      <c r="AL80"/>
      <c r="AM80"/>
      <c r="AN80"/>
      <c r="AO80"/>
      <c r="AP80"/>
      <c r="AQ80"/>
      <c r="AR80"/>
      <c r="AS80"/>
      <c r="AT80" t="inlineStr">
        <is>
          <t>☆</t>
        </is>
      </c>
      <c r="AU80" t="inlineStr">
        <is>
          <t>☆</t>
        </is>
      </c>
      <c r="AV80" t="inlineStr">
        <is>
          <t>☆</t>
        </is>
      </c>
      <c r="AW80" t="inlineStr">
        <is>
          <t>☆</t>
        </is>
      </c>
      <c r="AX80" t="inlineStr">
        <is>
          <t>☆</t>
        </is>
      </c>
      <c r="AY80" t="inlineStr">
        <is>
          <t>☆</t>
        </is>
      </c>
      <c r="AZ80" t="inlineStr">
        <is>
          <t>☆</t>
        </is>
      </c>
      <c r="BA80" t="inlineStr">
        <is>
          <t>☆</t>
        </is>
      </c>
      <c r="BB80" t="inlineStr">
        <is>
          <t>☆</t>
        </is>
      </c>
      <c r="BC80" t="inlineStr">
        <is>
          <t>☆</t>
        </is>
      </c>
      <c r="BD80" t="inlineStr">
        <is>
          <t>☆</t>
        </is>
      </c>
      <c r="BE80" t="inlineStr">
        <is>
          <t>☆</t>
        </is>
      </c>
      <c r="BF80" t="inlineStr">
        <is>
          <t>☆</t>
        </is>
      </c>
      <c r="BG80" t="inlineStr">
        <is>
          <t>☆</t>
        </is>
      </c>
      <c r="BH80" t="inlineStr">
        <is>
          <t>☆</t>
        </is>
      </c>
      <c r="BI80" t="inlineStr">
        <is>
          <t>☆</t>
        </is>
      </c>
      <c r="BJ80" t="inlineStr">
        <is>
          <t>☆</t>
        </is>
      </c>
      <c r="BK80" t="inlineStr">
        <is>
          <t>☆</t>
        </is>
      </c>
      <c r="BL80" t="inlineStr">
        <is>
          <t>☆</t>
        </is>
      </c>
      <c r="BM80" t="inlineStr">
        <is>
          <t>☆</t>
        </is>
      </c>
      <c r="BN80" t="inlineStr">
        <is>
          <t>☆</t>
        </is>
      </c>
      <c r="BO80" t="inlineStr">
        <is>
          <t>☆</t>
        </is>
      </c>
      <c r="BP80" t="inlineStr">
        <is>
          <t>☆</t>
        </is>
      </c>
      <c r="BQ80" t="inlineStr">
        <is>
          <t>☆</t>
        </is>
      </c>
      <c r="BR80"/>
      <c r="BS80" t="inlineStr">
        <is>
          <t>#VALUE!</t>
        </is>
      </c>
    </row>
    <row r="81" ht="25.5" customHeight="1">
      <c r="A81" t="inlineStr">
        <is>
          <t>DE</t>
        </is>
      </c>
      <c r="B81" t="inlineStr">
        <is>
          <t>R0001EU</t>
        </is>
      </c>
      <c r="C81"/>
      <c r="D81" t="inlineStr">
        <is>
          <t>布艺清洗机（coupon-0%）</t>
        </is>
      </c>
      <c r="E81">
        <v>82</v>
      </c>
      <c r="F81">
        <v>119.99</v>
      </c>
      <c r="G81"/>
      <c r="H81"/>
      <c r="I81"/>
      <c r="J81"/>
      <c r="K81"/>
      <c r="L81"/>
      <c r="M81"/>
      <c r="N81"/>
      <c r="O81"/>
      <c r="P81">
        <v>3</v>
      </c>
      <c r="Q81">
        <v>8</v>
      </c>
      <c r="R81"/>
      <c r="S81"/>
      <c r="T81"/>
      <c r="U81">
        <v>0.01</v>
      </c>
      <c r="V81"/>
      <c r="W81"/>
      <c r="X81">
        <v>0.188</v>
      </c>
      <c r="Y81">
        <v>12</v>
      </c>
      <c r="Z81">
        <v>0</v>
      </c>
      <c r="AA81"/>
      <c r="AB81"/>
      <c r="AC81">
        <v>249</v>
      </c>
      <c r="AD81"/>
      <c r="AE81"/>
      <c r="AF81"/>
      <c r="AG81"/>
      <c r="AH81">
        <v>30</v>
      </c>
      <c r="AI81"/>
      <c r="AJ81"/>
      <c r="AK81"/>
      <c r="AL81"/>
      <c r="AM81"/>
      <c r="AN81"/>
      <c r="AO81"/>
      <c r="AP81"/>
      <c r="AQ81"/>
      <c r="AR81"/>
      <c r="AS81"/>
      <c r="AT81" t="inlineStr">
        <is>
          <t>☆</t>
        </is>
      </c>
      <c r="AU81" t="inlineStr">
        <is>
          <t>☆</t>
        </is>
      </c>
      <c r="AV81" t="inlineStr">
        <is>
          <t>☆</t>
        </is>
      </c>
      <c r="AW81" t="inlineStr">
        <is>
          <t>☆</t>
        </is>
      </c>
      <c r="AX81" t="inlineStr">
        <is>
          <t>☆</t>
        </is>
      </c>
      <c r="AY81" t="inlineStr">
        <is>
          <t>☆</t>
        </is>
      </c>
      <c r="AZ81" t="inlineStr">
        <is>
          <t>☆</t>
        </is>
      </c>
      <c r="BA81" t="inlineStr">
        <is>
          <t>☆</t>
        </is>
      </c>
      <c r="BB81" t="inlineStr">
        <is>
          <t>☆</t>
        </is>
      </c>
      <c r="BC81" t="inlineStr">
        <is>
          <t>☆</t>
        </is>
      </c>
      <c r="BD81" t="inlineStr">
        <is>
          <t>☆</t>
        </is>
      </c>
      <c r="BE81" t="inlineStr">
        <is>
          <t>☆</t>
        </is>
      </c>
      <c r="BF81" t="inlineStr">
        <is>
          <t>☆</t>
        </is>
      </c>
      <c r="BG81" t="inlineStr">
        <is>
          <t>☆</t>
        </is>
      </c>
      <c r="BH81" t="inlineStr">
        <is>
          <t>☆</t>
        </is>
      </c>
      <c r="BI81" t="inlineStr">
        <is>
          <t>☆</t>
        </is>
      </c>
      <c r="BJ81" t="inlineStr">
        <is>
          <t>☆</t>
        </is>
      </c>
      <c r="BK81" t="inlineStr">
        <is>
          <t>☆</t>
        </is>
      </c>
      <c r="BL81" t="inlineStr">
        <is>
          <t>☆</t>
        </is>
      </c>
      <c r="BM81" t="inlineStr">
        <is>
          <t>☆</t>
        </is>
      </c>
      <c r="BN81" t="inlineStr">
        <is>
          <t>☆</t>
        </is>
      </c>
      <c r="BO81" t="inlineStr">
        <is>
          <t>☆</t>
        </is>
      </c>
      <c r="BP81" t="inlineStr">
        <is>
          <t>☆</t>
        </is>
      </c>
      <c r="BQ81" t="inlineStr">
        <is>
          <t>☆</t>
        </is>
      </c>
      <c r="BR81"/>
      <c r="BS81" t="inlineStr">
        <is>
          <t>#VALUE!</t>
        </is>
      </c>
    </row>
    <row r="82" ht="25.5" customHeight="1">
      <c r="A82" t="inlineStr">
        <is>
          <t>DE</t>
        </is>
      </c>
      <c r="B82" t="inlineStr">
        <is>
          <t>R0001EU</t>
        </is>
      </c>
      <c r="C82"/>
      <c r="D82" t="inlineStr">
        <is>
          <t>布艺清洗机（coupon-5%）</t>
        </is>
      </c>
      <c r="E82">
        <v>82</v>
      </c>
      <c r="F82">
        <v>119.99</v>
      </c>
      <c r="G82"/>
      <c r="H82"/>
      <c r="I82"/>
      <c r="J82"/>
      <c r="K82"/>
      <c r="L82"/>
      <c r="M82"/>
      <c r="N82"/>
      <c r="O82"/>
      <c r="P82">
        <v>3</v>
      </c>
      <c r="Q82">
        <v>8</v>
      </c>
      <c r="R82"/>
      <c r="S82"/>
      <c r="T82"/>
      <c r="U82">
        <v>0.01</v>
      </c>
      <c r="V82"/>
      <c r="W82"/>
      <c r="X82">
        <v>0.188</v>
      </c>
      <c r="Y82">
        <v>12</v>
      </c>
      <c r="Z82"/>
      <c r="AA82"/>
      <c r="AB82"/>
      <c r="AC82">
        <v>249</v>
      </c>
      <c r="AD82"/>
      <c r="AE82"/>
      <c r="AF82"/>
      <c r="AG82"/>
      <c r="AH82">
        <v>30</v>
      </c>
      <c r="AI82"/>
      <c r="AJ82"/>
      <c r="AK82"/>
      <c r="AL82"/>
      <c r="AM82"/>
      <c r="AN82"/>
      <c r="AO82"/>
      <c r="AP82"/>
      <c r="AQ82"/>
      <c r="AR82"/>
      <c r="AS82"/>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c r="BS82" t="inlineStr">
        <is>
          <t>#VALUE!</t>
        </is>
      </c>
    </row>
    <row r="83" ht="25.5" customHeight="1">
      <c r="A83" t="inlineStr">
        <is>
          <t>DE</t>
        </is>
      </c>
      <c r="B83" t="inlineStr">
        <is>
          <t>R0001EU</t>
        </is>
      </c>
      <c r="C83"/>
      <c r="D83" t="inlineStr">
        <is>
          <t>布艺清洗机（coupon-10%）</t>
        </is>
      </c>
      <c r="E83">
        <v>82</v>
      </c>
      <c r="F83">
        <v>119.99</v>
      </c>
      <c r="G83"/>
      <c r="H83"/>
      <c r="I83"/>
      <c r="J83"/>
      <c r="K83"/>
      <c r="L83"/>
      <c r="M83"/>
      <c r="N83"/>
      <c r="O83"/>
      <c r="P83">
        <v>3</v>
      </c>
      <c r="Q83">
        <v>8</v>
      </c>
      <c r="R83"/>
      <c r="S83"/>
      <c r="T83"/>
      <c r="U83">
        <v>0.01</v>
      </c>
      <c r="V83"/>
      <c r="W83"/>
      <c r="X83">
        <v>0.188</v>
      </c>
      <c r="Y83">
        <v>12</v>
      </c>
      <c r="Z83"/>
      <c r="AA83"/>
      <c r="AB83"/>
      <c r="AC83">
        <v>249</v>
      </c>
      <c r="AD83"/>
      <c r="AE83"/>
      <c r="AF83"/>
      <c r="AG83"/>
      <c r="AH83">
        <v>30</v>
      </c>
      <c r="AI83"/>
      <c r="AJ83"/>
      <c r="AK83"/>
      <c r="AL83"/>
      <c r="AM83"/>
      <c r="AN83"/>
      <c r="AO83"/>
      <c r="AP83"/>
      <c r="AQ83"/>
      <c r="AR83"/>
      <c r="AS83"/>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c r="BS83" t="inlineStr">
        <is>
          <t>#VALUE!</t>
        </is>
      </c>
    </row>
    <row r="84" ht="25.5" customHeight="1">
      <c r="A84" t="inlineStr">
        <is>
          <t>DE</t>
        </is>
      </c>
      <c r="B84" t="inlineStr">
        <is>
          <t>R0001EU</t>
        </is>
      </c>
      <c r="C84"/>
      <c r="D84" t="inlineStr">
        <is>
          <t>布艺清洗机（coupon-15%）</t>
        </is>
      </c>
      <c r="E84">
        <v>82</v>
      </c>
      <c r="F84">
        <v>119.99</v>
      </c>
      <c r="G84"/>
      <c r="H84"/>
      <c r="I84"/>
      <c r="J84"/>
      <c r="K84"/>
      <c r="L84"/>
      <c r="M84"/>
      <c r="N84"/>
      <c r="O84"/>
      <c r="P84">
        <v>3</v>
      </c>
      <c r="Q84">
        <v>8</v>
      </c>
      <c r="R84"/>
      <c r="S84"/>
      <c r="T84"/>
      <c r="U84">
        <v>0.01</v>
      </c>
      <c r="V84"/>
      <c r="W84"/>
      <c r="X84">
        <v>0.188</v>
      </c>
      <c r="Y84">
        <v>12</v>
      </c>
      <c r="Z84"/>
      <c r="AA84"/>
      <c r="AB84"/>
      <c r="AC84">
        <v>249</v>
      </c>
      <c r="AD84"/>
      <c r="AE84"/>
      <c r="AF84"/>
      <c r="AG84"/>
      <c r="AH84">
        <v>30</v>
      </c>
      <c r="AI84"/>
      <c r="AJ84"/>
      <c r="AK84"/>
      <c r="AL84"/>
      <c r="AM84"/>
      <c r="AN84"/>
      <c r="AO84"/>
      <c r="AP84"/>
      <c r="AQ84"/>
      <c r="AR84"/>
      <c r="AS84"/>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c r="BS84" t="inlineStr">
        <is>
          <t>#VALUE!</t>
        </is>
      </c>
    </row>
    <row r="85" ht="25.5" customHeight="1">
      <c r="A85" t="inlineStr">
        <is>
          <t>FR</t>
        </is>
      </c>
      <c r="B85" t="inlineStr">
        <is>
          <t>R0001EU</t>
        </is>
      </c>
      <c r="C85"/>
      <c r="D85" t="inlineStr">
        <is>
          <t>布艺清洗机（coupon-0%）</t>
        </is>
      </c>
      <c r="E85">
        <v>86</v>
      </c>
      <c r="F85">
        <v>124.99</v>
      </c>
      <c r="G85"/>
      <c r="H85"/>
      <c r="I85"/>
      <c r="J85"/>
      <c r="K85"/>
      <c r="L85"/>
      <c r="M85"/>
      <c r="N85"/>
      <c r="O85"/>
      <c r="P85">
        <v>3</v>
      </c>
      <c r="Q85">
        <v>8</v>
      </c>
      <c r="R85"/>
      <c r="S85"/>
      <c r="T85"/>
      <c r="U85">
        <v>0.01</v>
      </c>
      <c r="V85"/>
      <c r="W85"/>
      <c r="X85">
        <v>0.188</v>
      </c>
      <c r="Y85">
        <v>12</v>
      </c>
      <c r="Z85">
        <v>0</v>
      </c>
      <c r="AA85"/>
      <c r="AB85"/>
      <c r="AC85">
        <v>249</v>
      </c>
      <c r="AD85"/>
      <c r="AE85"/>
      <c r="AF85"/>
      <c r="AG85"/>
      <c r="AH85">
        <v>30</v>
      </c>
      <c r="AI85"/>
      <c r="AJ85"/>
      <c r="AK85"/>
      <c r="AL85"/>
      <c r="AM85"/>
      <c r="AN85"/>
      <c r="AO85"/>
      <c r="AP85"/>
      <c r="AQ85"/>
      <c r="AR85"/>
      <c r="AS85"/>
      <c r="AT85" t="inlineStr">
        <is>
          <t>☆</t>
        </is>
      </c>
      <c r="AU85" t="inlineStr">
        <is>
          <t>☆</t>
        </is>
      </c>
      <c r="AV85" t="inlineStr">
        <is>
          <t>☆</t>
        </is>
      </c>
      <c r="AW85" t="inlineStr">
        <is>
          <t>☆</t>
        </is>
      </c>
      <c r="AX85" t="inlineStr">
        <is>
          <t>☆</t>
        </is>
      </c>
      <c r="AY85" t="inlineStr">
        <is>
          <t>☆</t>
        </is>
      </c>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t>
        </is>
      </c>
      <c r="BR85"/>
      <c r="BS85" t="inlineStr">
        <is>
          <t>#VALUE!</t>
        </is>
      </c>
    </row>
    <row r="86" ht="25.5" customHeight="1">
      <c r="A86" t="inlineStr">
        <is>
          <t>FR</t>
        </is>
      </c>
      <c r="B86" t="inlineStr">
        <is>
          <t>R0001EU</t>
        </is>
      </c>
      <c r="C86"/>
      <c r="D86" t="inlineStr">
        <is>
          <t>布艺清洗机（coupon-5%）</t>
        </is>
      </c>
      <c r="E86">
        <v>86</v>
      </c>
      <c r="F86">
        <v>124.99</v>
      </c>
      <c r="G86"/>
      <c r="H86"/>
      <c r="I86"/>
      <c r="J86"/>
      <c r="K86"/>
      <c r="L86"/>
      <c r="M86"/>
      <c r="N86"/>
      <c r="O86"/>
      <c r="P86">
        <v>3</v>
      </c>
      <c r="Q86">
        <v>8</v>
      </c>
      <c r="R86"/>
      <c r="S86"/>
      <c r="T86"/>
      <c r="U86">
        <v>0.01</v>
      </c>
      <c r="V86"/>
      <c r="W86"/>
      <c r="X86">
        <v>0.188</v>
      </c>
      <c r="Y86">
        <v>12</v>
      </c>
      <c r="Z86"/>
      <c r="AA86"/>
      <c r="AB86"/>
      <c r="AC86">
        <v>249</v>
      </c>
      <c r="AD86"/>
      <c r="AE86"/>
      <c r="AF86"/>
      <c r="AG86"/>
      <c r="AH86">
        <v>30</v>
      </c>
      <c r="AI86"/>
      <c r="AJ86"/>
      <c r="AK86"/>
      <c r="AL86"/>
      <c r="AM86"/>
      <c r="AN86"/>
      <c r="AO86"/>
      <c r="AP86"/>
      <c r="AQ86"/>
      <c r="AR86"/>
      <c r="AS86"/>
      <c r="AT86" t="inlineStr">
        <is>
          <t>☆</t>
        </is>
      </c>
      <c r="AU86" t="inlineStr">
        <is>
          <t>☆</t>
        </is>
      </c>
      <c r="AV86" t="inlineStr">
        <is>
          <t>☆</t>
        </is>
      </c>
      <c r="AW86" t="inlineStr">
        <is>
          <t>☆</t>
        </is>
      </c>
      <c r="AX86" t="inlineStr">
        <is>
          <t>☆</t>
        </is>
      </c>
      <c r="AY86" t="inlineStr">
        <is>
          <t>☆</t>
        </is>
      </c>
      <c r="AZ86" t="inlineStr">
        <is>
          <t>☆</t>
        </is>
      </c>
      <c r="BA86" t="inlineStr">
        <is>
          <t>☆</t>
        </is>
      </c>
      <c r="BB86" t="inlineStr">
        <is>
          <t>☆</t>
        </is>
      </c>
      <c r="BC86" t="inlineStr">
        <is>
          <t>☆</t>
        </is>
      </c>
      <c r="BD86" t="inlineStr">
        <is>
          <t>☆</t>
        </is>
      </c>
      <c r="BE86" t="inlineStr">
        <is>
          <t>☆</t>
        </is>
      </c>
      <c r="BF86" t="inlineStr">
        <is>
          <t>☆</t>
        </is>
      </c>
      <c r="BG86" t="inlineStr">
        <is>
          <t>☆</t>
        </is>
      </c>
      <c r="BH86" t="inlineStr">
        <is>
          <t>☆</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c r="BS86" t="inlineStr">
        <is>
          <t>#VALUE!</t>
        </is>
      </c>
    </row>
    <row r="87" ht="25.5" customHeight="1">
      <c r="A87" t="inlineStr">
        <is>
          <t>FR</t>
        </is>
      </c>
      <c r="B87" t="inlineStr">
        <is>
          <t>R0001EU</t>
        </is>
      </c>
      <c r="C87"/>
      <c r="D87" t="inlineStr">
        <is>
          <t>布艺清洗机（coupon-10%）</t>
        </is>
      </c>
      <c r="E87">
        <v>86</v>
      </c>
      <c r="F87">
        <v>124.99</v>
      </c>
      <c r="G87"/>
      <c r="H87"/>
      <c r="I87"/>
      <c r="J87"/>
      <c r="K87"/>
      <c r="L87"/>
      <c r="M87"/>
      <c r="N87"/>
      <c r="O87"/>
      <c r="P87">
        <v>3</v>
      </c>
      <c r="Q87">
        <v>8</v>
      </c>
      <c r="R87"/>
      <c r="S87"/>
      <c r="T87"/>
      <c r="U87">
        <v>0.01</v>
      </c>
      <c r="V87"/>
      <c r="W87"/>
      <c r="X87">
        <v>0.188</v>
      </c>
      <c r="Y87">
        <v>12</v>
      </c>
      <c r="Z87"/>
      <c r="AA87"/>
      <c r="AB87"/>
      <c r="AC87">
        <v>249</v>
      </c>
      <c r="AD87"/>
      <c r="AE87"/>
      <c r="AF87"/>
      <c r="AG87"/>
      <c r="AH87">
        <v>30</v>
      </c>
      <c r="AI87"/>
      <c r="AJ87"/>
      <c r="AK87"/>
      <c r="AL87"/>
      <c r="AM87"/>
      <c r="AN87"/>
      <c r="AO87"/>
      <c r="AP87"/>
      <c r="AQ87"/>
      <c r="AR87"/>
      <c r="AS87"/>
      <c r="AT87" t="inlineStr">
        <is>
          <t>☆</t>
        </is>
      </c>
      <c r="AU87" t="inlineStr">
        <is>
          <t>☆</t>
        </is>
      </c>
      <c r="AV87" t="inlineStr">
        <is>
          <t>☆</t>
        </is>
      </c>
      <c r="AW87" t="inlineStr">
        <is>
          <t>☆</t>
        </is>
      </c>
      <c r="AX87" t="inlineStr">
        <is>
          <t>☆</t>
        </is>
      </c>
      <c r="AY87" t="inlineStr">
        <is>
          <t>☆</t>
        </is>
      </c>
      <c r="AZ87" t="inlineStr">
        <is>
          <t>☆</t>
        </is>
      </c>
      <c r="BA87" t="inlineStr">
        <is>
          <t>☆</t>
        </is>
      </c>
      <c r="BB87" t="inlineStr">
        <is>
          <t>☆</t>
        </is>
      </c>
      <c r="BC87" t="inlineStr">
        <is>
          <t>☆</t>
        </is>
      </c>
      <c r="BD87" t="inlineStr">
        <is>
          <t>☆</t>
        </is>
      </c>
      <c r="BE87" t="inlineStr">
        <is>
          <t>☆</t>
        </is>
      </c>
      <c r="BF87" t="inlineStr">
        <is>
          <t>☆</t>
        </is>
      </c>
      <c r="BG87" t="inlineStr">
        <is>
          <t>☆</t>
        </is>
      </c>
      <c r="BH87" t="inlineStr">
        <is>
          <t>☆</t>
        </is>
      </c>
      <c r="BI87" t="inlineStr">
        <is>
          <t>☆</t>
        </is>
      </c>
      <c r="BJ87" t="inlineStr">
        <is>
          <t>☆</t>
        </is>
      </c>
      <c r="BK87" t="inlineStr">
        <is>
          <t>☆</t>
        </is>
      </c>
      <c r="BL87" t="inlineStr">
        <is>
          <t>☆</t>
        </is>
      </c>
      <c r="BM87" t="inlineStr">
        <is>
          <t>☆</t>
        </is>
      </c>
      <c r="BN87" t="inlineStr">
        <is>
          <t>☆</t>
        </is>
      </c>
      <c r="BO87" t="inlineStr">
        <is>
          <t>☆</t>
        </is>
      </c>
      <c r="BP87" t="inlineStr">
        <is>
          <t>☆</t>
        </is>
      </c>
      <c r="BQ87" t="inlineStr">
        <is>
          <t>☆</t>
        </is>
      </c>
      <c r="BR87"/>
      <c r="BS87" t="inlineStr">
        <is>
          <t>#VALUE!</t>
        </is>
      </c>
    </row>
    <row r="88" ht="25.5" customHeight="1">
      <c r="A88" t="inlineStr">
        <is>
          <t>FR</t>
        </is>
      </c>
      <c r="B88" t="inlineStr">
        <is>
          <t>R0001EU</t>
        </is>
      </c>
      <c r="C88"/>
      <c r="D88" t="inlineStr">
        <is>
          <t>布艺清洗机（coupon-15%）</t>
        </is>
      </c>
      <c r="E88">
        <v>86</v>
      </c>
      <c r="F88">
        <v>124.99</v>
      </c>
      <c r="G88"/>
      <c r="H88"/>
      <c r="I88"/>
      <c r="J88"/>
      <c r="K88"/>
      <c r="L88"/>
      <c r="M88"/>
      <c r="N88"/>
      <c r="O88"/>
      <c r="P88">
        <v>3</v>
      </c>
      <c r="Q88">
        <v>8</v>
      </c>
      <c r="R88"/>
      <c r="S88"/>
      <c r="T88"/>
      <c r="U88">
        <v>0.01</v>
      </c>
      <c r="V88"/>
      <c r="W88"/>
      <c r="X88">
        <v>0.188</v>
      </c>
      <c r="Y88">
        <v>12</v>
      </c>
      <c r="Z88"/>
      <c r="AA88"/>
      <c r="AB88"/>
      <c r="AC88">
        <v>249</v>
      </c>
      <c r="AD88"/>
      <c r="AE88"/>
      <c r="AF88"/>
      <c r="AG88"/>
      <c r="AH88">
        <v>30</v>
      </c>
      <c r="AI88"/>
      <c r="AJ88"/>
      <c r="AK88"/>
      <c r="AL88"/>
      <c r="AM88"/>
      <c r="AN88"/>
      <c r="AO88"/>
      <c r="AP88"/>
      <c r="AQ88"/>
      <c r="AR88"/>
      <c r="AS88"/>
      <c r="AT88" t="inlineStr">
        <is>
          <t>☆</t>
        </is>
      </c>
      <c r="AU88" t="inlineStr">
        <is>
          <t>☆</t>
        </is>
      </c>
      <c r="AV88" t="inlineStr">
        <is>
          <t>☆</t>
        </is>
      </c>
      <c r="AW88" t="inlineStr">
        <is>
          <t>☆</t>
        </is>
      </c>
      <c r="AX88" t="inlineStr">
        <is>
          <t>☆</t>
        </is>
      </c>
      <c r="AY88" t="inlineStr">
        <is>
          <t>☆</t>
        </is>
      </c>
      <c r="AZ88" t="inlineStr">
        <is>
          <t>☆</t>
        </is>
      </c>
      <c r="BA88" t="inlineStr">
        <is>
          <t>☆</t>
        </is>
      </c>
      <c r="BB88" t="inlineStr">
        <is>
          <t>☆</t>
        </is>
      </c>
      <c r="BC88" t="inlineStr">
        <is>
          <t>☆</t>
        </is>
      </c>
      <c r="BD88" t="inlineStr">
        <is>
          <t>☆</t>
        </is>
      </c>
      <c r="BE88" t="inlineStr">
        <is>
          <t>☆</t>
        </is>
      </c>
      <c r="BF88" t="inlineStr">
        <is>
          <t>☆</t>
        </is>
      </c>
      <c r="BG88" t="inlineStr">
        <is>
          <t>☆</t>
        </is>
      </c>
      <c r="BH88" t="inlineStr">
        <is>
          <t>☆</t>
        </is>
      </c>
      <c r="BI88" t="inlineStr">
        <is>
          <t>☆</t>
        </is>
      </c>
      <c r="BJ88" t="inlineStr">
        <is>
          <t>☆</t>
        </is>
      </c>
      <c r="BK88" t="inlineStr">
        <is>
          <t>☆</t>
        </is>
      </c>
      <c r="BL88" t="inlineStr">
        <is>
          <t>☆</t>
        </is>
      </c>
      <c r="BM88" t="inlineStr">
        <is>
          <t>☆</t>
        </is>
      </c>
      <c r="BN88" t="inlineStr">
        <is>
          <t>☆</t>
        </is>
      </c>
      <c r="BO88" t="inlineStr">
        <is>
          <t>☆</t>
        </is>
      </c>
      <c r="BP88" t="inlineStr">
        <is>
          <t>☆</t>
        </is>
      </c>
      <c r="BQ88" t="inlineStr">
        <is>
          <t>☆</t>
        </is>
      </c>
      <c r="BR88"/>
      <c r="BS88" t="inlineStr">
        <is>
          <t>#VALUE!</t>
        </is>
      </c>
    </row>
    <row r="89" ht="25.5" customHeight="1">
      <c r="A89" t="inlineStr">
        <is>
          <t>IT</t>
        </is>
      </c>
      <c r="B89" t="inlineStr">
        <is>
          <t>R0001EU</t>
        </is>
      </c>
      <c r="C89"/>
      <c r="D89" t="inlineStr">
        <is>
          <t>布艺清洗机（coupon-0%）</t>
        </is>
      </c>
      <c r="E89">
        <v>86</v>
      </c>
      <c r="F89">
        <v>124.99</v>
      </c>
      <c r="G89"/>
      <c r="H89"/>
      <c r="I89"/>
      <c r="J89"/>
      <c r="K89"/>
      <c r="L89"/>
      <c r="M89"/>
      <c r="N89"/>
      <c r="O89"/>
      <c r="P89">
        <v>3</v>
      </c>
      <c r="Q89">
        <v>8</v>
      </c>
      <c r="R89"/>
      <c r="S89"/>
      <c r="T89"/>
      <c r="U89">
        <v>0.01</v>
      </c>
      <c r="V89"/>
      <c r="W89"/>
      <c r="X89">
        <v>0.188</v>
      </c>
      <c r="Y89">
        <v>12</v>
      </c>
      <c r="Z89">
        <v>0</v>
      </c>
      <c r="AA89"/>
      <c r="AB89"/>
      <c r="AC89">
        <v>249</v>
      </c>
      <c r="AD89"/>
      <c r="AE89"/>
      <c r="AF89"/>
      <c r="AG89"/>
      <c r="AH89">
        <v>30</v>
      </c>
      <c r="AI89"/>
      <c r="AJ89"/>
      <c r="AK89"/>
      <c r="AL89"/>
      <c r="AM89"/>
      <c r="AN89"/>
      <c r="AO89"/>
      <c r="AP89"/>
      <c r="AQ89"/>
      <c r="AR89"/>
      <c r="AS89"/>
      <c r="AT89" t="inlineStr">
        <is>
          <t>☆</t>
        </is>
      </c>
      <c r="AU89" t="inlineStr">
        <is>
          <t>☆</t>
        </is>
      </c>
      <c r="AV89" t="inlineStr">
        <is>
          <t>☆</t>
        </is>
      </c>
      <c r="AW89" t="inlineStr">
        <is>
          <t>☆</t>
        </is>
      </c>
      <c r="AX89" t="inlineStr">
        <is>
          <t>☆</t>
        </is>
      </c>
      <c r="AY89" t="inlineStr">
        <is>
          <t>☆</t>
        </is>
      </c>
      <c r="AZ89" t="inlineStr">
        <is>
          <t>☆</t>
        </is>
      </c>
      <c r="BA89" t="inlineStr">
        <is>
          <t>☆</t>
        </is>
      </c>
      <c r="BB89" t="inlineStr">
        <is>
          <t>☆</t>
        </is>
      </c>
      <c r="BC89" t="inlineStr">
        <is>
          <t>☆</t>
        </is>
      </c>
      <c r="BD89" t="inlineStr">
        <is>
          <t>☆</t>
        </is>
      </c>
      <c r="BE89" t="inlineStr">
        <is>
          <t>☆</t>
        </is>
      </c>
      <c r="BF89" t="inlineStr">
        <is>
          <t>☆</t>
        </is>
      </c>
      <c r="BG89" t="inlineStr">
        <is>
          <t>☆</t>
        </is>
      </c>
      <c r="BH89" t="inlineStr">
        <is>
          <t>☆</t>
        </is>
      </c>
      <c r="BI89" t="inlineStr">
        <is>
          <t>☆</t>
        </is>
      </c>
      <c r="BJ89" t="inlineStr">
        <is>
          <t>☆</t>
        </is>
      </c>
      <c r="BK89" t="inlineStr">
        <is>
          <t>☆</t>
        </is>
      </c>
      <c r="BL89" t="inlineStr">
        <is>
          <t>☆</t>
        </is>
      </c>
      <c r="BM89" t="inlineStr">
        <is>
          <t>☆</t>
        </is>
      </c>
      <c r="BN89" t="inlineStr">
        <is>
          <t>☆</t>
        </is>
      </c>
      <c r="BO89" t="inlineStr">
        <is>
          <t>☆</t>
        </is>
      </c>
      <c r="BP89" t="inlineStr">
        <is>
          <t>☆</t>
        </is>
      </c>
      <c r="BQ89" t="inlineStr">
        <is>
          <t>☆</t>
        </is>
      </c>
      <c r="BR89"/>
      <c r="BS89" t="inlineStr">
        <is>
          <t>#VALUE!</t>
        </is>
      </c>
    </row>
    <row r="90" ht="25.5" customHeight="1">
      <c r="A90" t="inlineStr">
        <is>
          <t>IT</t>
        </is>
      </c>
      <c r="B90" t="inlineStr">
        <is>
          <t>R0001EU</t>
        </is>
      </c>
      <c r="C90"/>
      <c r="D90" t="inlineStr">
        <is>
          <t>布艺清洗机（coupon-5%）</t>
        </is>
      </c>
      <c r="E90">
        <v>86</v>
      </c>
      <c r="F90">
        <v>124.99</v>
      </c>
      <c r="G90"/>
      <c r="H90"/>
      <c r="I90"/>
      <c r="J90"/>
      <c r="K90"/>
      <c r="L90"/>
      <c r="M90"/>
      <c r="N90"/>
      <c r="O90"/>
      <c r="P90">
        <v>3</v>
      </c>
      <c r="Q90">
        <v>8</v>
      </c>
      <c r="R90"/>
      <c r="S90"/>
      <c r="T90"/>
      <c r="U90">
        <v>0.01</v>
      </c>
      <c r="V90"/>
      <c r="W90"/>
      <c r="X90">
        <v>0.188</v>
      </c>
      <c r="Y90">
        <v>12</v>
      </c>
      <c r="Z90"/>
      <c r="AA90"/>
      <c r="AB90"/>
      <c r="AC90">
        <v>249</v>
      </c>
      <c r="AD90"/>
      <c r="AE90"/>
      <c r="AF90"/>
      <c r="AG90"/>
      <c r="AH90">
        <v>30</v>
      </c>
      <c r="AI90"/>
      <c r="AJ90"/>
      <c r="AK90"/>
      <c r="AL90"/>
      <c r="AM90"/>
      <c r="AN90"/>
      <c r="AO90"/>
      <c r="AP90"/>
      <c r="AQ90"/>
      <c r="AR90"/>
      <c r="AS90"/>
      <c r="AT90" t="inlineStr">
        <is>
          <t>☆</t>
        </is>
      </c>
      <c r="AU90" t="inlineStr">
        <is>
          <t>☆</t>
        </is>
      </c>
      <c r="AV90" t="inlineStr">
        <is>
          <t>☆</t>
        </is>
      </c>
      <c r="AW90" t="inlineStr">
        <is>
          <t>☆</t>
        </is>
      </c>
      <c r="AX90" t="inlineStr">
        <is>
          <t>☆</t>
        </is>
      </c>
      <c r="AY90" t="inlineStr">
        <is>
          <t>☆</t>
        </is>
      </c>
      <c r="AZ90" t="inlineStr">
        <is>
          <t>☆</t>
        </is>
      </c>
      <c r="BA90" t="inlineStr">
        <is>
          <t>☆</t>
        </is>
      </c>
      <c r="BB90" t="inlineStr">
        <is>
          <t>☆</t>
        </is>
      </c>
      <c r="BC90" t="inlineStr">
        <is>
          <t>☆</t>
        </is>
      </c>
      <c r="BD90" t="inlineStr">
        <is>
          <t>☆</t>
        </is>
      </c>
      <c r="BE90" t="inlineStr">
        <is>
          <t>☆</t>
        </is>
      </c>
      <c r="BF90" t="inlineStr">
        <is>
          <t>☆</t>
        </is>
      </c>
      <c r="BG90" t="inlineStr">
        <is>
          <t>☆</t>
        </is>
      </c>
      <c r="BH90" t="inlineStr">
        <is>
          <t>☆</t>
        </is>
      </c>
      <c r="BI90" t="inlineStr">
        <is>
          <t>☆</t>
        </is>
      </c>
      <c r="BJ90" t="inlineStr">
        <is>
          <t>☆</t>
        </is>
      </c>
      <c r="BK90" t="inlineStr">
        <is>
          <t>☆</t>
        </is>
      </c>
      <c r="BL90" t="inlineStr">
        <is>
          <t>☆</t>
        </is>
      </c>
      <c r="BM90" t="inlineStr">
        <is>
          <t>☆</t>
        </is>
      </c>
      <c r="BN90" t="inlineStr">
        <is>
          <t>☆</t>
        </is>
      </c>
      <c r="BO90" t="inlineStr">
        <is>
          <t>☆</t>
        </is>
      </c>
      <c r="BP90" t="inlineStr">
        <is>
          <t>☆</t>
        </is>
      </c>
      <c r="BQ90" t="inlineStr">
        <is>
          <t>☆</t>
        </is>
      </c>
      <c r="BR90"/>
      <c r="BS90" t="inlineStr">
        <is>
          <t>#VALUE!</t>
        </is>
      </c>
    </row>
    <row r="91" ht="25.5" customHeight="1">
      <c r="A91" t="inlineStr">
        <is>
          <t>IT</t>
        </is>
      </c>
      <c r="B91" t="inlineStr">
        <is>
          <t>R0001EU</t>
        </is>
      </c>
      <c r="C91"/>
      <c r="D91" t="inlineStr">
        <is>
          <t>布艺清洗机（coupon-10%）</t>
        </is>
      </c>
      <c r="E91">
        <v>86</v>
      </c>
      <c r="F91">
        <v>124.99</v>
      </c>
      <c r="G91"/>
      <c r="H91"/>
      <c r="I91"/>
      <c r="J91"/>
      <c r="K91"/>
      <c r="L91"/>
      <c r="M91"/>
      <c r="N91"/>
      <c r="O91"/>
      <c r="P91">
        <v>3</v>
      </c>
      <c r="Q91">
        <v>8</v>
      </c>
      <c r="R91"/>
      <c r="S91"/>
      <c r="T91"/>
      <c r="U91">
        <v>0.01</v>
      </c>
      <c r="V91"/>
      <c r="W91"/>
      <c r="X91">
        <v>0.188</v>
      </c>
      <c r="Y91">
        <v>12</v>
      </c>
      <c r="Z91"/>
      <c r="AA91"/>
      <c r="AB91"/>
      <c r="AC91">
        <v>249</v>
      </c>
      <c r="AD91"/>
      <c r="AE91"/>
      <c r="AF91"/>
      <c r="AG91"/>
      <c r="AH91">
        <v>30</v>
      </c>
      <c r="AI91"/>
      <c r="AJ91"/>
      <c r="AK91"/>
      <c r="AL91"/>
      <c r="AM91"/>
      <c r="AN91"/>
      <c r="AO91"/>
      <c r="AP91"/>
      <c r="AQ91"/>
      <c r="AR91"/>
      <c r="AS91"/>
      <c r="AT91" t="inlineStr">
        <is>
          <t>☆</t>
        </is>
      </c>
      <c r="AU91" t="inlineStr">
        <is>
          <t>☆</t>
        </is>
      </c>
      <c r="AV91" t="inlineStr">
        <is>
          <t>☆</t>
        </is>
      </c>
      <c r="AW91" t="inlineStr">
        <is>
          <t>☆</t>
        </is>
      </c>
      <c r="AX91" t="inlineStr">
        <is>
          <t>☆</t>
        </is>
      </c>
      <c r="AY91" t="inlineStr">
        <is>
          <t>☆</t>
        </is>
      </c>
      <c r="AZ91" t="inlineStr">
        <is>
          <t>☆</t>
        </is>
      </c>
      <c r="BA91" t="inlineStr">
        <is>
          <t>☆</t>
        </is>
      </c>
      <c r="BB91" t="inlineStr">
        <is>
          <t>☆</t>
        </is>
      </c>
      <c r="BC91" t="inlineStr">
        <is>
          <t>☆</t>
        </is>
      </c>
      <c r="BD91" t="inlineStr">
        <is>
          <t>☆</t>
        </is>
      </c>
      <c r="BE91" t="inlineStr">
        <is>
          <t>☆</t>
        </is>
      </c>
      <c r="BF91" t="inlineStr">
        <is>
          <t>☆</t>
        </is>
      </c>
      <c r="BG91" t="inlineStr">
        <is>
          <t>☆</t>
        </is>
      </c>
      <c r="BH91" t="inlineStr">
        <is>
          <t>☆</t>
        </is>
      </c>
      <c r="BI91" t="inlineStr">
        <is>
          <t>☆</t>
        </is>
      </c>
      <c r="BJ91" t="inlineStr">
        <is>
          <t>☆</t>
        </is>
      </c>
      <c r="BK91" t="inlineStr">
        <is>
          <t>☆</t>
        </is>
      </c>
      <c r="BL91" t="inlineStr">
        <is>
          <t>☆</t>
        </is>
      </c>
      <c r="BM91" t="inlineStr">
        <is>
          <t>☆</t>
        </is>
      </c>
      <c r="BN91" t="inlineStr">
        <is>
          <t>☆</t>
        </is>
      </c>
      <c r="BO91" t="inlineStr">
        <is>
          <t>☆</t>
        </is>
      </c>
      <c r="BP91" t="inlineStr">
        <is>
          <t>☆</t>
        </is>
      </c>
      <c r="BQ91" t="inlineStr">
        <is>
          <t>☆</t>
        </is>
      </c>
      <c r="BR91"/>
      <c r="BS91" t="inlineStr">
        <is>
          <t>#VALUE!</t>
        </is>
      </c>
    </row>
    <row r="92" ht="25.5" customHeight="1">
      <c r="A92" t="inlineStr">
        <is>
          <t>IT</t>
        </is>
      </c>
      <c r="B92" t="inlineStr">
        <is>
          <t>R0001EU</t>
        </is>
      </c>
      <c r="C92"/>
      <c r="D92" t="inlineStr">
        <is>
          <t>布艺清洗机（coupon-15%）</t>
        </is>
      </c>
      <c r="E92">
        <v>86</v>
      </c>
      <c r="F92">
        <v>124.99</v>
      </c>
      <c r="G92"/>
      <c r="H92"/>
      <c r="I92"/>
      <c r="J92"/>
      <c r="K92"/>
      <c r="L92"/>
      <c r="M92"/>
      <c r="N92"/>
      <c r="O92"/>
      <c r="P92">
        <v>3</v>
      </c>
      <c r="Q92">
        <v>8</v>
      </c>
      <c r="R92"/>
      <c r="S92"/>
      <c r="T92"/>
      <c r="U92">
        <v>0.01</v>
      </c>
      <c r="V92"/>
      <c r="W92"/>
      <c r="X92">
        <v>0.188</v>
      </c>
      <c r="Y92">
        <v>12</v>
      </c>
      <c r="Z92"/>
      <c r="AA92"/>
      <c r="AB92"/>
      <c r="AC92">
        <v>249</v>
      </c>
      <c r="AD92"/>
      <c r="AE92"/>
      <c r="AF92"/>
      <c r="AG92"/>
      <c r="AH92">
        <v>30</v>
      </c>
      <c r="AI92"/>
      <c r="AJ92"/>
      <c r="AK92"/>
      <c r="AL92"/>
      <c r="AM92"/>
      <c r="AN92"/>
      <c r="AO92"/>
      <c r="AP92"/>
      <c r="AQ92"/>
      <c r="AR92"/>
      <c r="AS92"/>
      <c r="AT92" t="inlineStr">
        <is>
          <t>☆</t>
        </is>
      </c>
      <c r="AU92" t="inlineStr">
        <is>
          <t>☆</t>
        </is>
      </c>
      <c r="AV92" t="inlineStr">
        <is>
          <t>☆</t>
        </is>
      </c>
      <c r="AW92" t="inlineStr">
        <is>
          <t>☆</t>
        </is>
      </c>
      <c r="AX92" t="inlineStr">
        <is>
          <t>☆</t>
        </is>
      </c>
      <c r="AY92" t="inlineStr">
        <is>
          <t>☆</t>
        </is>
      </c>
      <c r="AZ92" t="inlineStr">
        <is>
          <t>☆</t>
        </is>
      </c>
      <c r="BA92" t="inlineStr">
        <is>
          <t>☆</t>
        </is>
      </c>
      <c r="BB92" t="inlineStr">
        <is>
          <t>☆</t>
        </is>
      </c>
      <c r="BC92" t="inlineStr">
        <is>
          <t>☆</t>
        </is>
      </c>
      <c r="BD92" t="inlineStr">
        <is>
          <t>☆</t>
        </is>
      </c>
      <c r="BE92" t="inlineStr">
        <is>
          <t>☆</t>
        </is>
      </c>
      <c r="BF92" t="inlineStr">
        <is>
          <t>☆</t>
        </is>
      </c>
      <c r="BG92" t="inlineStr">
        <is>
          <t>☆</t>
        </is>
      </c>
      <c r="BH92" t="inlineStr">
        <is>
          <t>☆</t>
        </is>
      </c>
      <c r="BI92" t="inlineStr">
        <is>
          <t>☆</t>
        </is>
      </c>
      <c r="BJ92" t="inlineStr">
        <is>
          <t>☆</t>
        </is>
      </c>
      <c r="BK92" t="inlineStr">
        <is>
          <t>☆</t>
        </is>
      </c>
      <c r="BL92" t="inlineStr">
        <is>
          <t>☆</t>
        </is>
      </c>
      <c r="BM92" t="inlineStr">
        <is>
          <t>☆</t>
        </is>
      </c>
      <c r="BN92" t="inlineStr">
        <is>
          <t>☆</t>
        </is>
      </c>
      <c r="BO92" t="inlineStr">
        <is>
          <t>☆</t>
        </is>
      </c>
      <c r="BP92" t="inlineStr">
        <is>
          <t>☆</t>
        </is>
      </c>
      <c r="BQ92" t="inlineStr">
        <is>
          <t>☆</t>
        </is>
      </c>
      <c r="BR92"/>
      <c r="BS92" t="inlineStr">
        <is>
          <t>#VALUE!</t>
        </is>
      </c>
    </row>
    <row r="93" ht="25.5" customHeight="1">
      <c r="A93" t="inlineStr">
        <is>
          <t>ES</t>
        </is>
      </c>
      <c r="B93" t="inlineStr">
        <is>
          <t>R0001EU</t>
        </is>
      </c>
      <c r="C93"/>
      <c r="D93" t="inlineStr">
        <is>
          <t>布艺清洗机（coupon-0%）</t>
        </is>
      </c>
      <c r="E93">
        <v>86</v>
      </c>
      <c r="F93">
        <v>124.99</v>
      </c>
      <c r="G93"/>
      <c r="H93"/>
      <c r="I93"/>
      <c r="J93"/>
      <c r="K93"/>
      <c r="L93"/>
      <c r="M93"/>
      <c r="N93"/>
      <c r="O93"/>
      <c r="P93">
        <v>3</v>
      </c>
      <c r="Q93">
        <v>8</v>
      </c>
      <c r="R93"/>
      <c r="S93"/>
      <c r="T93"/>
      <c r="U93">
        <v>0.01</v>
      </c>
      <c r="V93"/>
      <c r="W93"/>
      <c r="X93">
        <v>0.188</v>
      </c>
      <c r="Y93">
        <v>12</v>
      </c>
      <c r="Z93">
        <v>0</v>
      </c>
      <c r="AA93"/>
      <c r="AB93"/>
      <c r="AC93">
        <v>249</v>
      </c>
      <c r="AD93"/>
      <c r="AE93"/>
      <c r="AF93"/>
      <c r="AG93"/>
      <c r="AH93">
        <v>30</v>
      </c>
      <c r="AI93"/>
      <c r="AJ93"/>
      <c r="AK93"/>
      <c r="AL93"/>
      <c r="AM93"/>
      <c r="AN93"/>
      <c r="AO93"/>
      <c r="AP93"/>
      <c r="AQ93"/>
      <c r="AR93"/>
      <c r="AS93"/>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
        </is>
      </c>
      <c r="BQ93" t="inlineStr">
        <is>
          <t>☆</t>
        </is>
      </c>
      <c r="BR93"/>
      <c r="BS93" t="inlineStr">
        <is>
          <t>#VALUE!</t>
        </is>
      </c>
    </row>
    <row r="94" ht="25.5" customHeight="1">
      <c r="A94" t="inlineStr">
        <is>
          <t>ES</t>
        </is>
      </c>
      <c r="B94" t="inlineStr">
        <is>
          <t>R0001EU</t>
        </is>
      </c>
      <c r="C94"/>
      <c r="D94" t="inlineStr">
        <is>
          <t>布艺清洗机（coupon-5%）</t>
        </is>
      </c>
      <c r="E94">
        <v>86</v>
      </c>
      <c r="F94">
        <v>124.99</v>
      </c>
      <c r="G94"/>
      <c r="H94"/>
      <c r="I94"/>
      <c r="J94"/>
      <c r="K94"/>
      <c r="L94"/>
      <c r="M94"/>
      <c r="N94"/>
      <c r="O94"/>
      <c r="P94">
        <v>3</v>
      </c>
      <c r="Q94">
        <v>8</v>
      </c>
      <c r="R94"/>
      <c r="S94"/>
      <c r="T94"/>
      <c r="U94">
        <v>0.01</v>
      </c>
      <c r="V94"/>
      <c r="W94"/>
      <c r="X94">
        <v>0.188</v>
      </c>
      <c r="Y94">
        <v>12</v>
      </c>
      <c r="Z94"/>
      <c r="AA94"/>
      <c r="AB94"/>
      <c r="AC94">
        <v>249</v>
      </c>
      <c r="AD94"/>
      <c r="AE94"/>
      <c r="AF94"/>
      <c r="AG94"/>
      <c r="AH94">
        <v>30</v>
      </c>
      <c r="AI94"/>
      <c r="AJ94"/>
      <c r="AK94"/>
      <c r="AL94"/>
      <c r="AM94"/>
      <c r="AN94"/>
      <c r="AO94"/>
      <c r="AP94"/>
      <c r="AQ94"/>
      <c r="AR94"/>
      <c r="AS94"/>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c r="BS94" t="inlineStr">
        <is>
          <t>#VALUE!</t>
        </is>
      </c>
    </row>
    <row r="95" ht="25.5" customHeight="1">
      <c r="A95" t="inlineStr">
        <is>
          <t>ES</t>
        </is>
      </c>
      <c r="B95" t="inlineStr">
        <is>
          <t>R0001EU</t>
        </is>
      </c>
      <c r="C95"/>
      <c r="D95" t="inlineStr">
        <is>
          <t>布艺清洗机（coupon-10%）</t>
        </is>
      </c>
      <c r="E95">
        <v>86</v>
      </c>
      <c r="F95">
        <v>124.99</v>
      </c>
      <c r="G95"/>
      <c r="H95"/>
      <c r="I95"/>
      <c r="J95"/>
      <c r="K95"/>
      <c r="L95"/>
      <c r="M95"/>
      <c r="N95"/>
      <c r="O95"/>
      <c r="P95">
        <v>3</v>
      </c>
      <c r="Q95">
        <v>8</v>
      </c>
      <c r="R95"/>
      <c r="S95"/>
      <c r="T95"/>
      <c r="U95">
        <v>0.01</v>
      </c>
      <c r="V95"/>
      <c r="W95"/>
      <c r="X95">
        <v>0.188</v>
      </c>
      <c r="Y95">
        <v>12</v>
      </c>
      <c r="Z95"/>
      <c r="AA95"/>
      <c r="AB95"/>
      <c r="AC95">
        <v>249</v>
      </c>
      <c r="AD95"/>
      <c r="AE95"/>
      <c r="AF95"/>
      <c r="AG95"/>
      <c r="AH95">
        <v>30</v>
      </c>
      <c r="AI95"/>
      <c r="AJ95"/>
      <c r="AK95"/>
      <c r="AL95"/>
      <c r="AM95"/>
      <c r="AN95"/>
      <c r="AO95"/>
      <c r="AP95"/>
      <c r="AQ95"/>
      <c r="AR95"/>
      <c r="AS95"/>
      <c r="AT95" t="inlineStr">
        <is>
          <t>☆</t>
        </is>
      </c>
      <c r="AU95" t="inlineStr">
        <is>
          <t>☆</t>
        </is>
      </c>
      <c r="AV95" t="inlineStr">
        <is>
          <t>☆</t>
        </is>
      </c>
      <c r="AW95" t="inlineStr">
        <is>
          <t>☆</t>
        </is>
      </c>
      <c r="AX95" t="inlineStr">
        <is>
          <t>☆</t>
        </is>
      </c>
      <c r="AY95" t="inlineStr">
        <is>
          <t>☆</t>
        </is>
      </c>
      <c r="AZ95" t="inlineStr">
        <is>
          <t>☆</t>
        </is>
      </c>
      <c r="BA95" t="inlineStr">
        <is>
          <t>☆</t>
        </is>
      </c>
      <c r="BB95" t="inlineStr">
        <is>
          <t>☆</t>
        </is>
      </c>
      <c r="BC95" t="inlineStr">
        <is>
          <t>☆</t>
        </is>
      </c>
      <c r="BD95" t="inlineStr">
        <is>
          <t>☆</t>
        </is>
      </c>
      <c r="BE95" t="inlineStr">
        <is>
          <t>☆</t>
        </is>
      </c>
      <c r="BF95" t="inlineStr">
        <is>
          <t>☆</t>
        </is>
      </c>
      <c r="BG95" t="inlineStr">
        <is>
          <t>☆</t>
        </is>
      </c>
      <c r="BH95" t="inlineStr">
        <is>
          <t>☆</t>
        </is>
      </c>
      <c r="BI95" t="inlineStr">
        <is>
          <t>☆</t>
        </is>
      </c>
      <c r="BJ95" t="inlineStr">
        <is>
          <t>☆</t>
        </is>
      </c>
      <c r="BK95" t="inlineStr">
        <is>
          <t>☆</t>
        </is>
      </c>
      <c r="BL95" t="inlineStr">
        <is>
          <t>☆</t>
        </is>
      </c>
      <c r="BM95" t="inlineStr">
        <is>
          <t>☆</t>
        </is>
      </c>
      <c r="BN95" t="inlineStr">
        <is>
          <t>☆</t>
        </is>
      </c>
      <c r="BO95" t="inlineStr">
        <is>
          <t>☆</t>
        </is>
      </c>
      <c r="BP95" t="inlineStr">
        <is>
          <t>☆</t>
        </is>
      </c>
      <c r="BQ95" t="inlineStr">
        <is>
          <t>☆</t>
        </is>
      </c>
      <c r="BR95"/>
      <c r="BS95" t="inlineStr">
        <is>
          <t>#VALUE!</t>
        </is>
      </c>
    </row>
    <row r="96" ht="25.5" customHeight="1">
      <c r="A96" t="inlineStr">
        <is>
          <t>ES</t>
        </is>
      </c>
      <c r="B96" t="inlineStr">
        <is>
          <t>R0001EU</t>
        </is>
      </c>
      <c r="C96"/>
      <c r="D96" t="inlineStr">
        <is>
          <t>布艺清洗机（coupon-15%）</t>
        </is>
      </c>
      <c r="E96">
        <v>86</v>
      </c>
      <c r="F96">
        <v>124.99</v>
      </c>
      <c r="G96"/>
      <c r="H96"/>
      <c r="I96"/>
      <c r="J96"/>
      <c r="K96"/>
      <c r="L96"/>
      <c r="M96"/>
      <c r="N96"/>
      <c r="O96"/>
      <c r="P96">
        <v>3</v>
      </c>
      <c r="Q96">
        <v>8</v>
      </c>
      <c r="R96"/>
      <c r="S96"/>
      <c r="T96"/>
      <c r="U96">
        <v>0.01</v>
      </c>
      <c r="V96"/>
      <c r="W96"/>
      <c r="X96">
        <v>0.188</v>
      </c>
      <c r="Y96">
        <v>12</v>
      </c>
      <c r="Z96"/>
      <c r="AA96"/>
      <c r="AB96"/>
      <c r="AC96">
        <v>249</v>
      </c>
      <c r="AD96"/>
      <c r="AE96"/>
      <c r="AF96"/>
      <c r="AG96"/>
      <c r="AH96">
        <v>30</v>
      </c>
      <c r="AI96"/>
      <c r="AJ96"/>
      <c r="AK96"/>
      <c r="AL96"/>
      <c r="AM96"/>
      <c r="AN96"/>
      <c r="AO96"/>
      <c r="AP96"/>
      <c r="AQ96"/>
      <c r="AR96"/>
      <c r="AS96"/>
      <c r="AT96" t="inlineStr">
        <is>
          <t>☆</t>
        </is>
      </c>
      <c r="AU96" t="inlineStr">
        <is>
          <t>☆</t>
        </is>
      </c>
      <c r="AV96" t="inlineStr">
        <is>
          <t>☆</t>
        </is>
      </c>
      <c r="AW96" t="inlineStr">
        <is>
          <t>☆</t>
        </is>
      </c>
      <c r="AX96" t="inlineStr">
        <is>
          <t>☆</t>
        </is>
      </c>
      <c r="AY96" t="inlineStr">
        <is>
          <t>☆</t>
        </is>
      </c>
      <c r="AZ96" t="inlineStr">
        <is>
          <t>☆</t>
        </is>
      </c>
      <c r="BA96" t="inlineStr">
        <is>
          <t>☆</t>
        </is>
      </c>
      <c r="BB96" t="inlineStr">
        <is>
          <t>☆</t>
        </is>
      </c>
      <c r="BC96" t="inlineStr">
        <is>
          <t>☆</t>
        </is>
      </c>
      <c r="BD96" t="inlineStr">
        <is>
          <t>☆</t>
        </is>
      </c>
      <c r="BE96" t="inlineStr">
        <is>
          <t>☆</t>
        </is>
      </c>
      <c r="BF96" t="inlineStr">
        <is>
          <t>☆</t>
        </is>
      </c>
      <c r="BG96" t="inlineStr">
        <is>
          <t>☆</t>
        </is>
      </c>
      <c r="BH96" t="inlineStr">
        <is>
          <t>☆</t>
        </is>
      </c>
      <c r="BI96" t="inlineStr">
        <is>
          <t>☆</t>
        </is>
      </c>
      <c r="BJ96" t="inlineStr">
        <is>
          <t>☆</t>
        </is>
      </c>
      <c r="BK96" t="inlineStr">
        <is>
          <t>☆</t>
        </is>
      </c>
      <c r="BL96" t="inlineStr">
        <is>
          <t>☆</t>
        </is>
      </c>
      <c r="BM96" t="inlineStr">
        <is>
          <t>☆</t>
        </is>
      </c>
      <c r="BN96" t="inlineStr">
        <is>
          <t>☆</t>
        </is>
      </c>
      <c r="BO96" t="inlineStr">
        <is>
          <t>☆</t>
        </is>
      </c>
      <c r="BP96" t="inlineStr">
        <is>
          <t>☆</t>
        </is>
      </c>
      <c r="BQ96" t="inlineStr">
        <is>
          <t>☆</t>
        </is>
      </c>
      <c r="BR96"/>
      <c r="BS96" t="inlineStr">
        <is>
          <t>#VALUE!</t>
        </is>
      </c>
    </row>
    <row r="97" ht="25.5" customHeight="1">
      <c r="A97" t="inlineStr">
        <is>
          <t>NL</t>
        </is>
      </c>
      <c r="B97" t="inlineStr">
        <is>
          <t>R0001EU</t>
        </is>
      </c>
      <c r="C97"/>
      <c r="D97" t="inlineStr">
        <is>
          <t>布艺清洗机荷兰</t>
        </is>
      </c>
      <c r="E97">
        <v>93</v>
      </c>
      <c r="F97">
        <v>134.99</v>
      </c>
      <c r="G97"/>
      <c r="H97"/>
      <c r="I97"/>
      <c r="J97"/>
      <c r="K97"/>
      <c r="L97"/>
      <c r="M97"/>
      <c r="N97"/>
      <c r="O97"/>
      <c r="P97">
        <v>3</v>
      </c>
      <c r="Q97">
        <v>8</v>
      </c>
      <c r="R97"/>
      <c r="S97"/>
      <c r="T97"/>
      <c r="U97">
        <v>0.01</v>
      </c>
      <c r="V97"/>
      <c r="W97"/>
      <c r="X97">
        <v>0.188</v>
      </c>
      <c r="Y97">
        <v>12</v>
      </c>
      <c r="Z97"/>
      <c r="AA97"/>
      <c r="AB97"/>
      <c r="AC97">
        <v>249</v>
      </c>
      <c r="AD97"/>
      <c r="AE97"/>
      <c r="AF97"/>
      <c r="AG97"/>
      <c r="AH97">
        <v>30</v>
      </c>
      <c r="AI97"/>
      <c r="AJ97"/>
      <c r="AK97"/>
      <c r="AL97"/>
      <c r="AM97"/>
      <c r="AN97"/>
      <c r="AO97"/>
      <c r="AP97"/>
      <c r="AQ97"/>
      <c r="AR97"/>
      <c r="AS97"/>
      <c r="AT97" t="inlineStr">
        <is>
          <t>☆</t>
        </is>
      </c>
      <c r="AU97" t="inlineStr">
        <is>
          <t>☆</t>
        </is>
      </c>
      <c r="AV97" t="inlineStr">
        <is>
          <t>☆</t>
        </is>
      </c>
      <c r="AW97" t="inlineStr">
        <is>
          <t>☆</t>
        </is>
      </c>
      <c r="AX97" t="inlineStr">
        <is>
          <t>☆</t>
        </is>
      </c>
      <c r="AY97" t="inlineStr">
        <is>
          <t>☆</t>
        </is>
      </c>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is>
          <t>☆</t>
        </is>
      </c>
      <c r="BR97"/>
      <c r="BS97" t="inlineStr">
        <is>
          <t>#VALUE!</t>
        </is>
      </c>
    </row>
    <row r="98" ht="25.5" customHeight="1">
      <c r="A98" t="inlineStr">
        <is>
          <t>PL</t>
        </is>
      </c>
      <c r="B98" t="inlineStr">
        <is>
          <t>R0001EU</t>
        </is>
      </c>
      <c r="C98"/>
      <c r="D98" t="inlineStr">
        <is>
          <t>布艺清洗机波兰</t>
        </is>
      </c>
      <c r="E98">
        <v>93</v>
      </c>
      <c r="F98">
        <v>134.99</v>
      </c>
      <c r="G98"/>
      <c r="H98"/>
      <c r="I98"/>
      <c r="J98"/>
      <c r="K98"/>
      <c r="L98"/>
      <c r="M98"/>
      <c r="N98"/>
      <c r="O98"/>
      <c r="P98">
        <v>3</v>
      </c>
      <c r="Q98">
        <v>8</v>
      </c>
      <c r="R98"/>
      <c r="S98"/>
      <c r="T98"/>
      <c r="U98">
        <v>0.01</v>
      </c>
      <c r="V98"/>
      <c r="W98"/>
      <c r="X98">
        <v>0.188</v>
      </c>
      <c r="Y98">
        <v>12</v>
      </c>
      <c r="Z98"/>
      <c r="AA98"/>
      <c r="AB98"/>
      <c r="AC98">
        <v>249</v>
      </c>
      <c r="AD98"/>
      <c r="AE98"/>
      <c r="AF98"/>
      <c r="AG98"/>
      <c r="AH98">
        <v>30</v>
      </c>
      <c r="AI98"/>
      <c r="AJ98"/>
      <c r="AK98"/>
      <c r="AL98"/>
      <c r="AM98"/>
      <c r="AN98"/>
      <c r="AO98"/>
      <c r="AP98"/>
      <c r="AQ98"/>
      <c r="AR98"/>
      <c r="AS98"/>
      <c r="AT98" t="inlineStr">
        <is>
          <t>☆</t>
        </is>
      </c>
      <c r="AU98" t="inlineStr">
        <is>
          <t>☆</t>
        </is>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c r="BS98" t="inlineStr">
        <is>
          <t>#VALUE!</t>
        </is>
      </c>
    </row>
    <row r="99" ht="25.5" customHeight="1">
      <c r="A99" t="inlineStr">
        <is>
          <t>SE</t>
        </is>
      </c>
      <c r="B99" t="inlineStr">
        <is>
          <t>R0001EU</t>
        </is>
      </c>
      <c r="C99"/>
      <c r="D99" t="inlineStr">
        <is>
          <t>布艺清洗机瑞典</t>
        </is>
      </c>
      <c r="E99">
        <v>93</v>
      </c>
      <c r="F99">
        <v>134.99</v>
      </c>
      <c r="G99"/>
      <c r="H99"/>
      <c r="I99"/>
      <c r="J99"/>
      <c r="K99"/>
      <c r="L99"/>
      <c r="M99"/>
      <c r="N99"/>
      <c r="O99"/>
      <c r="P99">
        <v>3</v>
      </c>
      <c r="Q99">
        <v>8</v>
      </c>
      <c r="R99"/>
      <c r="S99"/>
      <c r="T99"/>
      <c r="U99">
        <v>0.01</v>
      </c>
      <c r="V99"/>
      <c r="W99"/>
      <c r="X99">
        <v>0.188</v>
      </c>
      <c r="Y99">
        <v>12</v>
      </c>
      <c r="Z99"/>
      <c r="AA99"/>
      <c r="AB99"/>
      <c r="AC99">
        <v>249</v>
      </c>
      <c r="AD99"/>
      <c r="AE99"/>
      <c r="AF99"/>
      <c r="AG99"/>
      <c r="AH99">
        <v>30</v>
      </c>
      <c r="AI99"/>
      <c r="AJ99"/>
      <c r="AK99"/>
      <c r="AL99"/>
      <c r="AM99"/>
      <c r="AN99"/>
      <c r="AO99"/>
      <c r="AP99"/>
      <c r="AQ99"/>
      <c r="AR99"/>
      <c r="AS99"/>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c r="BS99" t="inlineStr">
        <is>
          <t>#VALUE!</t>
        </is>
      </c>
    </row>
    <row r="100" ht="25.5" customHeight="1">
      <c r="A100" t="inlineStr">
        <is>
          <t>BE</t>
        </is>
      </c>
      <c r="B100" t="inlineStr">
        <is>
          <t>R0001EU</t>
        </is>
      </c>
      <c r="C100"/>
      <c r="D100" t="inlineStr">
        <is>
          <t>布艺清洗机比利时</t>
        </is>
      </c>
      <c r="E100">
        <v>93</v>
      </c>
      <c r="F100">
        <v>134.99</v>
      </c>
      <c r="G100"/>
      <c r="H100"/>
      <c r="I100"/>
      <c r="J100"/>
      <c r="K100"/>
      <c r="L100"/>
      <c r="M100"/>
      <c r="N100"/>
      <c r="O100"/>
      <c r="P100">
        <v>3</v>
      </c>
      <c r="Q100">
        <v>8</v>
      </c>
      <c r="R100"/>
      <c r="S100"/>
      <c r="T100"/>
      <c r="U100">
        <v>0.01</v>
      </c>
      <c r="V100"/>
      <c r="W100"/>
      <c r="X100">
        <v>0.188</v>
      </c>
      <c r="Y100">
        <v>12</v>
      </c>
      <c r="Z100"/>
      <c r="AA100"/>
      <c r="AB100"/>
      <c r="AC100">
        <v>249</v>
      </c>
      <c r="AD100"/>
      <c r="AE100"/>
      <c r="AF100"/>
      <c r="AG100"/>
      <c r="AH100">
        <v>30</v>
      </c>
      <c r="AI100"/>
      <c r="AJ100"/>
      <c r="AK100"/>
      <c r="AL100"/>
      <c r="AM100"/>
      <c r="AN100"/>
      <c r="AO100"/>
      <c r="AP100"/>
      <c r="AQ100"/>
      <c r="AR100"/>
      <c r="AS100"/>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c r="BS100" t="inlineStr">
        <is>
          <t>#VALUE!</t>
        </is>
      </c>
    </row>
    <row r="101" ht="25.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row>
    <row r="102" ht="25.5" customHeight="1">
      <c r="A102" t="inlineStr">
        <is>
          <t>UK</t>
        </is>
      </c>
      <c r="B102" t="inlineStr">
        <is>
          <t>R0001UK</t>
        </is>
      </c>
      <c r="C102"/>
      <c r="D102" t="inlineStr">
        <is>
          <t>RS1棘轮（coupon-0%）</t>
        </is>
      </c>
      <c r="E102">
        <v>13.1</v>
      </c>
      <c r="F102">
        <v>18.99</v>
      </c>
      <c r="G102"/>
      <c r="H102"/>
      <c r="I102"/>
      <c r="J102"/>
      <c r="K102"/>
      <c r="L102"/>
      <c r="M102"/>
      <c r="N102"/>
      <c r="O102"/>
      <c r="P102">
        <v>50</v>
      </c>
      <c r="Q102">
        <v>9</v>
      </c>
      <c r="R102"/>
      <c r="S102"/>
      <c r="T102"/>
      <c r="U102">
        <v>0.01</v>
      </c>
      <c r="V102"/>
      <c r="W102"/>
      <c r="X102">
        <v>0.178</v>
      </c>
      <c r="Y102">
        <v>2</v>
      </c>
      <c r="Z102"/>
      <c r="AA102"/>
      <c r="AB102"/>
      <c r="AC102">
        <v>49</v>
      </c>
      <c r="AD102"/>
      <c r="AE102"/>
      <c r="AF102"/>
      <c r="AG102"/>
      <c r="AH102">
        <v>9</v>
      </c>
      <c r="AI102"/>
      <c r="AJ102"/>
      <c r="AK102"/>
      <c r="AL102"/>
      <c r="AM102"/>
      <c r="AN102"/>
      <c r="AO102"/>
      <c r="AP102"/>
      <c r="AQ102"/>
      <c r="AR102"/>
      <c r="AS102"/>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c r="BS102" t="inlineStr">
        <is>
          <t>#VALUE!</t>
        </is>
      </c>
    </row>
    <row r="103" ht="25.5" customHeight="1">
      <c r="A103" t="inlineStr">
        <is>
          <t>UK</t>
        </is>
      </c>
      <c r="B103" t="inlineStr">
        <is>
          <t>R0001UK</t>
        </is>
      </c>
      <c r="C103"/>
      <c r="D103" t="inlineStr">
        <is>
          <t>RS1棘轮（coupon-5%）</t>
        </is>
      </c>
      <c r="E103">
        <v>13.1</v>
      </c>
      <c r="F103">
        <v>18.99</v>
      </c>
      <c r="G103"/>
      <c r="H103"/>
      <c r="I103"/>
      <c r="J103"/>
      <c r="K103"/>
      <c r="L103"/>
      <c r="M103"/>
      <c r="N103"/>
      <c r="O103"/>
      <c r="P103">
        <v>50</v>
      </c>
      <c r="Q103">
        <v>9</v>
      </c>
      <c r="R103"/>
      <c r="S103"/>
      <c r="T103"/>
      <c r="U103">
        <v>0.01</v>
      </c>
      <c r="V103"/>
      <c r="W103"/>
      <c r="X103">
        <v>0.178</v>
      </c>
      <c r="Y103">
        <v>2</v>
      </c>
      <c r="Z103"/>
      <c r="AA103"/>
      <c r="AB103"/>
      <c r="AC103">
        <v>49</v>
      </c>
      <c r="AD103"/>
      <c r="AE103"/>
      <c r="AF103"/>
      <c r="AG103"/>
      <c r="AH103">
        <v>9</v>
      </c>
      <c r="AI103"/>
      <c r="AJ103"/>
      <c r="AK103"/>
      <c r="AL103"/>
      <c r="AM103"/>
      <c r="AN103"/>
      <c r="AO103"/>
      <c r="AP103"/>
      <c r="AQ103"/>
      <c r="AR103"/>
      <c r="AS103"/>
      <c r="AT103" t="inlineStr">
        <is>
          <t>☆</t>
        </is>
      </c>
      <c r="AU103" t="inlineStr">
        <is>
          <t>☆</t>
        </is>
      </c>
      <c r="AV103" t="inlineStr">
        <is>
          <t>☆</t>
        </is>
      </c>
      <c r="AW103" t="inlineStr">
        <is>
          <t>☆</t>
        </is>
      </c>
      <c r="AX103" t="inlineStr">
        <is>
          <t>☆</t>
        </is>
      </c>
      <c r="AY103" t="inlineStr">
        <is>
          <t>☆</t>
        </is>
      </c>
      <c r="AZ103" t="inlineStr">
        <is>
          <t>☆</t>
        </is>
      </c>
      <c r="BA103" t="inlineStr">
        <is>
          <t>☆</t>
        </is>
      </c>
      <c r="BB103" t="inlineStr">
        <is>
          <t>☆</t>
        </is>
      </c>
      <c r="BC103" t="inlineStr">
        <is>
          <t>☆</t>
        </is>
      </c>
      <c r="BD103" t="inlineStr">
        <is>
          <t>☆</t>
        </is>
      </c>
      <c r="BE103" t="inlineStr">
        <is>
          <t>☆</t>
        </is>
      </c>
      <c r="BF103" t="inlineStr">
        <is>
          <t>☆</t>
        </is>
      </c>
      <c r="BG103" t="inlineStr">
        <is>
          <t>☆</t>
        </is>
      </c>
      <c r="BH103" t="inlineStr">
        <is>
          <t>☆</t>
        </is>
      </c>
      <c r="BI103" t="inlineStr">
        <is>
          <t>☆</t>
        </is>
      </c>
      <c r="BJ103" t="inlineStr">
        <is>
          <t>☆</t>
        </is>
      </c>
      <c r="BK103" t="inlineStr">
        <is>
          <t>☆</t>
        </is>
      </c>
      <c r="BL103" t="inlineStr">
        <is>
          <t>☆</t>
        </is>
      </c>
      <c r="BM103" t="inlineStr">
        <is>
          <t>☆</t>
        </is>
      </c>
      <c r="BN103" t="inlineStr">
        <is>
          <t>☆</t>
        </is>
      </c>
      <c r="BO103" t="inlineStr">
        <is>
          <t>☆</t>
        </is>
      </c>
      <c r="BP103" t="inlineStr">
        <is>
          <t>☆</t>
        </is>
      </c>
      <c r="BQ103" t="inlineStr">
        <is>
          <t>☆</t>
        </is>
      </c>
      <c r="BR103"/>
      <c r="BS103" t="inlineStr">
        <is>
          <t>#VALUE!</t>
        </is>
      </c>
    </row>
    <row r="104" ht="25.5" customHeight="1">
      <c r="A104" t="inlineStr">
        <is>
          <t>UK</t>
        </is>
      </c>
      <c r="B104" t="inlineStr">
        <is>
          <t>R0001UK</t>
        </is>
      </c>
      <c r="C104"/>
      <c r="D104" t="inlineStr">
        <is>
          <t>RS1棘轮（coupon-10%）</t>
        </is>
      </c>
      <c r="E104">
        <v>13.1</v>
      </c>
      <c r="F104">
        <v>18.99</v>
      </c>
      <c r="G104"/>
      <c r="H104"/>
      <c r="I104"/>
      <c r="J104"/>
      <c r="K104"/>
      <c r="L104"/>
      <c r="M104"/>
      <c r="N104"/>
      <c r="O104"/>
      <c r="P104">
        <v>50</v>
      </c>
      <c r="Q104">
        <v>9</v>
      </c>
      <c r="R104"/>
      <c r="S104"/>
      <c r="T104"/>
      <c r="U104">
        <v>0.01</v>
      </c>
      <c r="V104"/>
      <c r="W104"/>
      <c r="X104">
        <v>0.178</v>
      </c>
      <c r="Y104">
        <v>2</v>
      </c>
      <c r="Z104"/>
      <c r="AA104"/>
      <c r="AB104"/>
      <c r="AC104">
        <v>49</v>
      </c>
      <c r="AD104"/>
      <c r="AE104"/>
      <c r="AF104"/>
      <c r="AG104"/>
      <c r="AH104">
        <v>9</v>
      </c>
      <c r="AI104"/>
      <c r="AJ104"/>
      <c r="AK104"/>
      <c r="AL104"/>
      <c r="AM104"/>
      <c r="AN104"/>
      <c r="AO104"/>
      <c r="AP104"/>
      <c r="AQ104"/>
      <c r="AR104"/>
      <c r="AS104"/>
      <c r="AT104" t="inlineStr">
        <is>
          <t>☆</t>
        </is>
      </c>
      <c r="AU104" t="inlineStr">
        <is>
          <t>☆</t>
        </is>
      </c>
      <c r="AV104" t="inlineStr">
        <is>
          <t>☆</t>
        </is>
      </c>
      <c r="AW104" t="inlineStr">
        <is>
          <t>☆</t>
        </is>
      </c>
      <c r="AX104" t="inlineStr">
        <is>
          <t>☆</t>
        </is>
      </c>
      <c r="AY104" t="inlineStr">
        <is>
          <t>☆</t>
        </is>
      </c>
      <c r="AZ104" t="inlineStr">
        <is>
          <t>☆</t>
        </is>
      </c>
      <c r="BA104" t="inlineStr">
        <is>
          <t>☆</t>
        </is>
      </c>
      <c r="BB104" t="inlineStr">
        <is>
          <t>☆</t>
        </is>
      </c>
      <c r="BC104" t="inlineStr">
        <is>
          <t>☆</t>
        </is>
      </c>
      <c r="BD104" t="inlineStr">
        <is>
          <t>☆</t>
        </is>
      </c>
      <c r="BE104" t="inlineStr">
        <is>
          <t>☆</t>
        </is>
      </c>
      <c r="BF104" t="inlineStr">
        <is>
          <t>☆</t>
        </is>
      </c>
      <c r="BG104" t="inlineStr">
        <is>
          <t>☆</t>
        </is>
      </c>
      <c r="BH104" t="inlineStr">
        <is>
          <t>☆</t>
        </is>
      </c>
      <c r="BI104" t="inlineStr">
        <is>
          <t>☆</t>
        </is>
      </c>
      <c r="BJ104" t="inlineStr">
        <is>
          <t>☆</t>
        </is>
      </c>
      <c r="BK104" t="inlineStr">
        <is>
          <t>☆</t>
        </is>
      </c>
      <c r="BL104" t="inlineStr">
        <is>
          <t>☆</t>
        </is>
      </c>
      <c r="BM104" t="inlineStr">
        <is>
          <t>☆</t>
        </is>
      </c>
      <c r="BN104" t="inlineStr">
        <is>
          <t>☆</t>
        </is>
      </c>
      <c r="BO104" t="inlineStr">
        <is>
          <t>☆</t>
        </is>
      </c>
      <c r="BP104" t="inlineStr">
        <is>
          <t>☆</t>
        </is>
      </c>
      <c r="BQ104" t="inlineStr">
        <is>
          <t>☆</t>
        </is>
      </c>
      <c r="BR104"/>
      <c r="BS104" t="inlineStr">
        <is>
          <t>#VALUE!</t>
        </is>
      </c>
    </row>
    <row r="105" ht="25.5" customHeight="1">
      <c r="A105" t="inlineStr">
        <is>
          <t>UK</t>
        </is>
      </c>
      <c r="B105" t="inlineStr">
        <is>
          <t>R0001UK</t>
        </is>
      </c>
      <c r="C105"/>
      <c r="D105" t="inlineStr">
        <is>
          <t>RS1棘轮（coupon-15%）</t>
        </is>
      </c>
      <c r="E105">
        <v>13.1</v>
      </c>
      <c r="F105">
        <v>18.99</v>
      </c>
      <c r="G105"/>
      <c r="H105"/>
      <c r="I105"/>
      <c r="J105"/>
      <c r="K105"/>
      <c r="L105"/>
      <c r="M105"/>
      <c r="N105"/>
      <c r="O105"/>
      <c r="P105">
        <v>50</v>
      </c>
      <c r="Q105">
        <v>9</v>
      </c>
      <c r="R105"/>
      <c r="S105"/>
      <c r="T105"/>
      <c r="U105">
        <v>0.01</v>
      </c>
      <c r="V105"/>
      <c r="W105"/>
      <c r="X105">
        <v>0.178</v>
      </c>
      <c r="Y105">
        <v>2</v>
      </c>
      <c r="Z105"/>
      <c r="AA105"/>
      <c r="AB105"/>
      <c r="AC105">
        <v>49</v>
      </c>
      <c r="AD105"/>
      <c r="AE105"/>
      <c r="AF105"/>
      <c r="AG105"/>
      <c r="AH105">
        <v>7</v>
      </c>
      <c r="AI105"/>
      <c r="AJ105"/>
      <c r="AK105"/>
      <c r="AL105"/>
      <c r="AM105"/>
      <c r="AN105"/>
      <c r="AO105"/>
      <c r="AP105"/>
      <c r="AQ105"/>
      <c r="AR105"/>
      <c r="AS105"/>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c r="BS105" t="inlineStr">
        <is>
          <t>#VALUE!</t>
        </is>
      </c>
    </row>
    <row r="106" ht="25.5" customHeight="1">
      <c r="A106" t="inlineStr">
        <is>
          <t>DE</t>
        </is>
      </c>
      <c r="B106" t="inlineStr">
        <is>
          <t>R0001EU</t>
        </is>
      </c>
      <c r="C106"/>
      <c r="D106" t="inlineStr">
        <is>
          <t>RS1棘轮（coupon-0%）</t>
        </is>
      </c>
      <c r="E106">
        <v>13.8</v>
      </c>
      <c r="F106">
        <v>19.99</v>
      </c>
      <c r="G106"/>
      <c r="H106"/>
      <c r="I106"/>
      <c r="J106"/>
      <c r="K106"/>
      <c r="L106"/>
      <c r="M106"/>
      <c r="N106"/>
      <c r="O106"/>
      <c r="P106">
        <v>50</v>
      </c>
      <c r="Q106">
        <v>8</v>
      </c>
      <c r="R106"/>
      <c r="S106"/>
      <c r="T106"/>
      <c r="U106">
        <v>0.01</v>
      </c>
      <c r="V106"/>
      <c r="W106"/>
      <c r="X106">
        <v>0.188</v>
      </c>
      <c r="Y106">
        <v>2</v>
      </c>
      <c r="Z106">
        <v>0</v>
      </c>
      <c r="AA106"/>
      <c r="AB106"/>
      <c r="AC106">
        <v>49</v>
      </c>
      <c r="AD106"/>
      <c r="AE106"/>
      <c r="AF106"/>
      <c r="AG106"/>
      <c r="AH106">
        <v>7</v>
      </c>
      <c r="AI106"/>
      <c r="AJ106"/>
      <c r="AK106"/>
      <c r="AL106"/>
      <c r="AM106"/>
      <c r="AN106"/>
      <c r="AO106"/>
      <c r="AP106"/>
      <c r="AQ106"/>
      <c r="AR106"/>
      <c r="AS106"/>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c r="BS106" t="inlineStr">
        <is>
          <t>#VALUE!</t>
        </is>
      </c>
    </row>
    <row r="107" ht="25.5" customHeight="1">
      <c r="A107" t="inlineStr">
        <is>
          <t>DE</t>
        </is>
      </c>
      <c r="B107" t="inlineStr">
        <is>
          <t>R0001EU</t>
        </is>
      </c>
      <c r="C107"/>
      <c r="D107" t="inlineStr">
        <is>
          <t>RS1棘轮（coupon-5%）</t>
        </is>
      </c>
      <c r="E107">
        <v>13.8</v>
      </c>
      <c r="F107">
        <v>19.99</v>
      </c>
      <c r="G107"/>
      <c r="H107"/>
      <c r="I107"/>
      <c r="J107"/>
      <c r="K107"/>
      <c r="L107"/>
      <c r="M107"/>
      <c r="N107"/>
      <c r="O107"/>
      <c r="P107">
        <v>50</v>
      </c>
      <c r="Q107">
        <v>8</v>
      </c>
      <c r="R107"/>
      <c r="S107"/>
      <c r="T107"/>
      <c r="U107">
        <v>0.01</v>
      </c>
      <c r="V107"/>
      <c r="W107"/>
      <c r="X107">
        <v>0.188</v>
      </c>
      <c r="Y107">
        <v>2</v>
      </c>
      <c r="Z107"/>
      <c r="AA107"/>
      <c r="AB107"/>
      <c r="AC107">
        <v>49</v>
      </c>
      <c r="AD107"/>
      <c r="AE107"/>
      <c r="AF107"/>
      <c r="AG107"/>
      <c r="AH107">
        <v>7</v>
      </c>
      <c r="AI107"/>
      <c r="AJ107"/>
      <c r="AK107"/>
      <c r="AL107"/>
      <c r="AM107"/>
      <c r="AN107"/>
      <c r="AO107"/>
      <c r="AP107"/>
      <c r="AQ107"/>
      <c r="AR107"/>
      <c r="AS107"/>
      <c r="AT107" t="inlineStr">
        <is>
          <t>☆</t>
        </is>
      </c>
      <c r="AU107" t="inlineStr">
        <is>
          <t>☆</t>
        </is>
      </c>
      <c r="AV107" t="inlineStr">
        <is>
          <t>☆</t>
        </is>
      </c>
      <c r="AW107" t="inlineStr">
        <is>
          <t>☆</t>
        </is>
      </c>
      <c r="AX107" t="inlineStr">
        <is>
          <t>☆</t>
        </is>
      </c>
      <c r="AY107" t="inlineStr">
        <is>
          <t>☆</t>
        </is>
      </c>
      <c r="AZ107" t="inlineStr">
        <is>
          <t>☆</t>
        </is>
      </c>
      <c r="BA107" t="inlineStr">
        <is>
          <t>☆</t>
        </is>
      </c>
      <c r="BB107" t="inlineStr">
        <is>
          <t>☆</t>
        </is>
      </c>
      <c r="BC107" t="inlineStr">
        <is>
          <t>☆</t>
        </is>
      </c>
      <c r="BD107" t="inlineStr">
        <is>
          <t>☆</t>
        </is>
      </c>
      <c r="BE107" t="inlineStr">
        <is>
          <t>☆</t>
        </is>
      </c>
      <c r="BF107" t="inlineStr">
        <is>
          <t>☆</t>
        </is>
      </c>
      <c r="BG107" t="inlineStr">
        <is>
          <t>☆</t>
        </is>
      </c>
      <c r="BH107" t="inlineStr">
        <is>
          <t>☆</t>
        </is>
      </c>
      <c r="BI107" t="inlineStr">
        <is>
          <t>☆</t>
        </is>
      </c>
      <c r="BJ107" t="inlineStr">
        <is>
          <t>☆</t>
        </is>
      </c>
      <c r="BK107" t="inlineStr">
        <is>
          <t>☆</t>
        </is>
      </c>
      <c r="BL107" t="inlineStr">
        <is>
          <t>☆</t>
        </is>
      </c>
      <c r="BM107" t="inlineStr">
        <is>
          <t>☆</t>
        </is>
      </c>
      <c r="BN107" t="inlineStr">
        <is>
          <t>☆</t>
        </is>
      </c>
      <c r="BO107" t="inlineStr">
        <is>
          <t>☆</t>
        </is>
      </c>
      <c r="BP107" t="inlineStr">
        <is>
          <t>☆</t>
        </is>
      </c>
      <c r="BQ107" t="inlineStr">
        <is>
          <t>☆</t>
        </is>
      </c>
      <c r="BR107"/>
      <c r="BS107" t="inlineStr">
        <is>
          <t>#VALUE!</t>
        </is>
      </c>
    </row>
    <row r="108" ht="25.5" customHeight="1">
      <c r="A108" t="inlineStr">
        <is>
          <t>DE</t>
        </is>
      </c>
      <c r="B108" t="inlineStr">
        <is>
          <t>R0001EU</t>
        </is>
      </c>
      <c r="C108"/>
      <c r="D108" t="inlineStr">
        <is>
          <t>RS1棘轮（coupon-10%）</t>
        </is>
      </c>
      <c r="E108">
        <v>13.8</v>
      </c>
      <c r="F108">
        <v>19.99</v>
      </c>
      <c r="G108"/>
      <c r="H108"/>
      <c r="I108"/>
      <c r="J108"/>
      <c r="K108"/>
      <c r="L108"/>
      <c r="M108"/>
      <c r="N108"/>
      <c r="O108"/>
      <c r="P108">
        <v>50</v>
      </c>
      <c r="Q108">
        <v>8</v>
      </c>
      <c r="R108"/>
      <c r="S108"/>
      <c r="T108"/>
      <c r="U108">
        <v>0.01</v>
      </c>
      <c r="V108"/>
      <c r="W108"/>
      <c r="X108">
        <v>0.188</v>
      </c>
      <c r="Y108">
        <v>2</v>
      </c>
      <c r="Z108"/>
      <c r="AA108"/>
      <c r="AB108"/>
      <c r="AC108">
        <v>49</v>
      </c>
      <c r="AD108"/>
      <c r="AE108"/>
      <c r="AF108"/>
      <c r="AG108"/>
      <c r="AH108">
        <v>7</v>
      </c>
      <c r="AI108"/>
      <c r="AJ108"/>
      <c r="AK108"/>
      <c r="AL108"/>
      <c r="AM108"/>
      <c r="AN108"/>
      <c r="AO108"/>
      <c r="AP108"/>
      <c r="AQ108"/>
      <c r="AR108"/>
      <c r="AS108"/>
      <c r="AT108" t="inlineStr">
        <is>
          <t>☆</t>
        </is>
      </c>
      <c r="AU108" t="inlineStr">
        <is>
          <t>☆</t>
        </is>
      </c>
      <c r="AV108" t="inlineStr">
        <is>
          <t>☆</t>
        </is>
      </c>
      <c r="AW108" t="inlineStr">
        <is>
          <t>☆</t>
        </is>
      </c>
      <c r="AX108" t="inlineStr">
        <is>
          <t>☆</t>
        </is>
      </c>
      <c r="AY108" t="inlineStr">
        <is>
          <t>☆</t>
        </is>
      </c>
      <c r="AZ108" t="inlineStr">
        <is>
          <t>☆</t>
        </is>
      </c>
      <c r="BA108" t="inlineStr">
        <is>
          <t>☆</t>
        </is>
      </c>
      <c r="BB108" t="inlineStr">
        <is>
          <t>☆</t>
        </is>
      </c>
      <c r="BC108" t="inlineStr">
        <is>
          <t>☆</t>
        </is>
      </c>
      <c r="BD108" t="inlineStr">
        <is>
          <t>☆</t>
        </is>
      </c>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t>
        </is>
      </c>
      <c r="BR108"/>
      <c r="BS108" t="inlineStr">
        <is>
          <t>#VALUE!</t>
        </is>
      </c>
    </row>
    <row r="109" ht="25.5" customHeight="1">
      <c r="A109" t="inlineStr">
        <is>
          <t>DE</t>
        </is>
      </c>
      <c r="B109" t="inlineStr">
        <is>
          <t>R0001EU</t>
        </is>
      </c>
      <c r="C109"/>
      <c r="D109" t="inlineStr">
        <is>
          <t>RS1棘轮（coupon-15%）</t>
        </is>
      </c>
      <c r="E109">
        <v>13.8</v>
      </c>
      <c r="F109">
        <v>19.99</v>
      </c>
      <c r="G109"/>
      <c r="H109"/>
      <c r="I109"/>
      <c r="J109"/>
      <c r="K109"/>
      <c r="L109"/>
      <c r="M109"/>
      <c r="N109"/>
      <c r="O109"/>
      <c r="P109">
        <v>50</v>
      </c>
      <c r="Q109">
        <v>8</v>
      </c>
      <c r="R109"/>
      <c r="S109"/>
      <c r="T109"/>
      <c r="U109">
        <v>0.01</v>
      </c>
      <c r="V109"/>
      <c r="W109"/>
      <c r="X109">
        <v>0.188</v>
      </c>
      <c r="Y109">
        <v>2</v>
      </c>
      <c r="Z109"/>
      <c r="AA109"/>
      <c r="AB109"/>
      <c r="AC109">
        <v>49</v>
      </c>
      <c r="AD109"/>
      <c r="AE109"/>
      <c r="AF109"/>
      <c r="AG109"/>
      <c r="AH109">
        <v>7</v>
      </c>
      <c r="AI109"/>
      <c r="AJ109"/>
      <c r="AK109"/>
      <c r="AL109"/>
      <c r="AM109"/>
      <c r="AN109"/>
      <c r="AO109"/>
      <c r="AP109"/>
      <c r="AQ109"/>
      <c r="AR109"/>
      <c r="AS109"/>
      <c r="AT109" t="inlineStr">
        <is>
          <t>☆</t>
        </is>
      </c>
      <c r="AU109" t="inlineStr">
        <is>
          <t>☆</t>
        </is>
      </c>
      <c r="AV109" t="inlineStr">
        <is>
          <t>☆</t>
        </is>
      </c>
      <c r="AW109" t="inlineStr">
        <is>
          <t>☆</t>
        </is>
      </c>
      <c r="AX109" t="inlineStr">
        <is>
          <t>☆</t>
        </is>
      </c>
      <c r="AY109" t="inlineStr">
        <is>
          <t>☆</t>
        </is>
      </c>
      <c r="AZ109" t="inlineStr">
        <is>
          <t>☆</t>
        </is>
      </c>
      <c r="BA109" t="inlineStr">
        <is>
          <t>☆</t>
        </is>
      </c>
      <c r="BB109" t="inlineStr">
        <is>
          <t>☆</t>
        </is>
      </c>
      <c r="BC109" t="inlineStr">
        <is>
          <t>☆</t>
        </is>
      </c>
      <c r="BD109" t="inlineStr">
        <is>
          <t>☆</t>
        </is>
      </c>
      <c r="BE109" t="inlineStr">
        <is>
          <t>☆</t>
        </is>
      </c>
      <c r="BF109" t="inlineStr">
        <is>
          <t>☆</t>
        </is>
      </c>
      <c r="BG109" t="inlineStr">
        <is>
          <t>☆</t>
        </is>
      </c>
      <c r="BH109" t="inlineStr">
        <is>
          <t>☆</t>
        </is>
      </c>
      <c r="BI109" t="inlineStr">
        <is>
          <t>☆</t>
        </is>
      </c>
      <c r="BJ109" t="inlineStr">
        <is>
          <t>☆</t>
        </is>
      </c>
      <c r="BK109" t="inlineStr">
        <is>
          <t>☆</t>
        </is>
      </c>
      <c r="BL109" t="inlineStr">
        <is>
          <t>☆</t>
        </is>
      </c>
      <c r="BM109" t="inlineStr">
        <is>
          <t>☆</t>
        </is>
      </c>
      <c r="BN109" t="inlineStr">
        <is>
          <t>☆</t>
        </is>
      </c>
      <c r="BO109" t="inlineStr">
        <is>
          <t>☆</t>
        </is>
      </c>
      <c r="BP109" t="inlineStr">
        <is>
          <t>☆</t>
        </is>
      </c>
      <c r="BQ109" t="inlineStr">
        <is>
          <t>☆</t>
        </is>
      </c>
      <c r="BR109"/>
      <c r="BS109" t="inlineStr">
        <is>
          <t>#VALUE!</t>
        </is>
      </c>
    </row>
    <row r="110" ht="25.5" customHeight="1">
      <c r="A110" t="inlineStr">
        <is>
          <t>FR</t>
        </is>
      </c>
      <c r="B110" t="inlineStr">
        <is>
          <t>R0001EU</t>
        </is>
      </c>
      <c r="C110"/>
      <c r="D110" t="inlineStr">
        <is>
          <t>RS1棘轮（coupon-0%）</t>
        </is>
      </c>
      <c r="E110">
        <v>13.8</v>
      </c>
      <c r="F110">
        <v>19.99</v>
      </c>
      <c r="G110"/>
      <c r="H110"/>
      <c r="I110"/>
      <c r="J110"/>
      <c r="K110"/>
      <c r="L110"/>
      <c r="M110"/>
      <c r="N110"/>
      <c r="O110"/>
      <c r="P110">
        <v>50</v>
      </c>
      <c r="Q110">
        <v>8</v>
      </c>
      <c r="R110"/>
      <c r="S110"/>
      <c r="T110"/>
      <c r="U110">
        <v>0.01</v>
      </c>
      <c r="V110"/>
      <c r="W110"/>
      <c r="X110">
        <v>0.188</v>
      </c>
      <c r="Y110">
        <v>2</v>
      </c>
      <c r="Z110">
        <v>0</v>
      </c>
      <c r="AA110"/>
      <c r="AB110"/>
      <c r="AC110">
        <v>49</v>
      </c>
      <c r="AD110"/>
      <c r="AE110"/>
      <c r="AF110"/>
      <c r="AG110"/>
      <c r="AH110">
        <v>7</v>
      </c>
      <c r="AI110"/>
      <c r="AJ110"/>
      <c r="AK110"/>
      <c r="AL110"/>
      <c r="AM110"/>
      <c r="AN110"/>
      <c r="AO110"/>
      <c r="AP110"/>
      <c r="AQ110"/>
      <c r="AR110"/>
      <c r="AS110"/>
      <c r="AT110" t="inlineStr">
        <is>
          <t>☆</t>
        </is>
      </c>
      <c r="AU110" t="inlineStr">
        <is>
          <t>☆</t>
        </is>
      </c>
      <c r="AV110" t="inlineStr">
        <is>
          <t>☆</t>
        </is>
      </c>
      <c r="AW110" t="inlineStr">
        <is>
          <t>☆</t>
        </is>
      </c>
      <c r="AX110" t="inlineStr">
        <is>
          <t>☆</t>
        </is>
      </c>
      <c r="AY110" t="inlineStr">
        <is>
          <t>☆</t>
        </is>
      </c>
      <c r="AZ110" t="inlineStr">
        <is>
          <t>☆</t>
        </is>
      </c>
      <c r="BA110" t="inlineStr">
        <is>
          <t>☆</t>
        </is>
      </c>
      <c r="BB110" t="inlineStr">
        <is>
          <t>☆</t>
        </is>
      </c>
      <c r="BC110" t="inlineStr">
        <is>
          <t>☆</t>
        </is>
      </c>
      <c r="BD110" t="inlineStr">
        <is>
          <t>☆</t>
        </is>
      </c>
      <c r="BE110" t="inlineStr">
        <is>
          <t>☆</t>
        </is>
      </c>
      <c r="BF110" t="inlineStr">
        <is>
          <t>☆</t>
        </is>
      </c>
      <c r="BG110" t="inlineStr">
        <is>
          <t>☆</t>
        </is>
      </c>
      <c r="BH110" t="inlineStr">
        <is>
          <t>☆</t>
        </is>
      </c>
      <c r="BI110" t="inlineStr">
        <is>
          <t>☆</t>
        </is>
      </c>
      <c r="BJ110" t="inlineStr">
        <is>
          <t>☆</t>
        </is>
      </c>
      <c r="BK110" t="inlineStr">
        <is>
          <t>☆</t>
        </is>
      </c>
      <c r="BL110" t="inlineStr">
        <is>
          <t>☆</t>
        </is>
      </c>
      <c r="BM110" t="inlineStr">
        <is>
          <t>☆</t>
        </is>
      </c>
      <c r="BN110" t="inlineStr">
        <is>
          <t>☆</t>
        </is>
      </c>
      <c r="BO110" t="inlineStr">
        <is>
          <t>☆</t>
        </is>
      </c>
      <c r="BP110" t="inlineStr">
        <is>
          <t>☆</t>
        </is>
      </c>
      <c r="BQ110" t="inlineStr">
        <is>
          <t>☆</t>
        </is>
      </c>
      <c r="BR110"/>
      <c r="BS110" t="inlineStr">
        <is>
          <t>#VALUE!</t>
        </is>
      </c>
    </row>
    <row r="111" ht="25.5" customHeight="1">
      <c r="A111" t="inlineStr">
        <is>
          <t>FR</t>
        </is>
      </c>
      <c r="B111" t="inlineStr">
        <is>
          <t>R0001EU</t>
        </is>
      </c>
      <c r="C111"/>
      <c r="D111" t="inlineStr">
        <is>
          <t>RS1棘轮（coupon-5%）</t>
        </is>
      </c>
      <c r="E111">
        <v>13.8</v>
      </c>
      <c r="F111">
        <v>19.99</v>
      </c>
      <c r="G111"/>
      <c r="H111"/>
      <c r="I111"/>
      <c r="J111"/>
      <c r="K111"/>
      <c r="L111"/>
      <c r="M111"/>
      <c r="N111"/>
      <c r="O111"/>
      <c r="P111">
        <v>50</v>
      </c>
      <c r="Q111">
        <v>8</v>
      </c>
      <c r="R111"/>
      <c r="S111"/>
      <c r="T111"/>
      <c r="U111">
        <v>0.01</v>
      </c>
      <c r="V111"/>
      <c r="W111"/>
      <c r="X111">
        <v>0.188</v>
      </c>
      <c r="Y111">
        <v>2</v>
      </c>
      <c r="Z111"/>
      <c r="AA111"/>
      <c r="AB111"/>
      <c r="AC111">
        <v>49</v>
      </c>
      <c r="AD111"/>
      <c r="AE111"/>
      <c r="AF111"/>
      <c r="AG111"/>
      <c r="AH111">
        <v>7</v>
      </c>
      <c r="AI111"/>
      <c r="AJ111"/>
      <c r="AK111"/>
      <c r="AL111"/>
      <c r="AM111"/>
      <c r="AN111"/>
      <c r="AO111"/>
      <c r="AP111"/>
      <c r="AQ111"/>
      <c r="AR111"/>
      <c r="AS111"/>
      <c r="AT111" t="inlineStr">
        <is>
          <t>☆</t>
        </is>
      </c>
      <c r="AU111" t="inlineStr">
        <is>
          <t>☆</t>
        </is>
      </c>
      <c r="AV111" t="inlineStr">
        <is>
          <t>☆</t>
        </is>
      </c>
      <c r="AW111" t="inlineStr">
        <is>
          <t>☆</t>
        </is>
      </c>
      <c r="AX111" t="inlineStr">
        <is>
          <t>☆</t>
        </is>
      </c>
      <c r="AY111" t="inlineStr">
        <is>
          <t>☆</t>
        </is>
      </c>
      <c r="AZ111" t="inlineStr">
        <is>
          <t>☆</t>
        </is>
      </c>
      <c r="BA111" t="inlineStr">
        <is>
          <t>☆</t>
        </is>
      </c>
      <c r="BB111" t="inlineStr">
        <is>
          <t>☆</t>
        </is>
      </c>
      <c r="BC111" t="inlineStr">
        <is>
          <t>☆</t>
        </is>
      </c>
      <c r="BD111" t="inlineStr">
        <is>
          <t>☆</t>
        </is>
      </c>
      <c r="BE111" t="inlineStr">
        <is>
          <t>☆</t>
        </is>
      </c>
      <c r="BF111" t="inlineStr">
        <is>
          <t>☆</t>
        </is>
      </c>
      <c r="BG111" t="inlineStr">
        <is>
          <t>☆</t>
        </is>
      </c>
      <c r="BH111" t="inlineStr">
        <is>
          <t>☆</t>
        </is>
      </c>
      <c r="BI111" t="inlineStr">
        <is>
          <t>☆</t>
        </is>
      </c>
      <c r="BJ111" t="inlineStr">
        <is>
          <t>☆</t>
        </is>
      </c>
      <c r="BK111" t="inlineStr">
        <is>
          <t>☆</t>
        </is>
      </c>
      <c r="BL111" t="inlineStr">
        <is>
          <t>☆</t>
        </is>
      </c>
      <c r="BM111" t="inlineStr">
        <is>
          <t>☆</t>
        </is>
      </c>
      <c r="BN111" t="inlineStr">
        <is>
          <t>☆</t>
        </is>
      </c>
      <c r="BO111" t="inlineStr">
        <is>
          <t>☆</t>
        </is>
      </c>
      <c r="BP111" t="inlineStr">
        <is>
          <t>☆</t>
        </is>
      </c>
      <c r="BQ111" t="inlineStr">
        <is>
          <t>☆</t>
        </is>
      </c>
      <c r="BR111"/>
      <c r="BS111" t="inlineStr">
        <is>
          <t>#VALUE!</t>
        </is>
      </c>
    </row>
    <row r="112" ht="25.5" customHeight="1">
      <c r="A112" t="inlineStr">
        <is>
          <t>FR</t>
        </is>
      </c>
      <c r="B112" t="inlineStr">
        <is>
          <t>R0001EU</t>
        </is>
      </c>
      <c r="C112"/>
      <c r="D112" t="inlineStr">
        <is>
          <t>RS1棘轮（coupon-10%）</t>
        </is>
      </c>
      <c r="E112">
        <v>13.8</v>
      </c>
      <c r="F112">
        <v>19.99</v>
      </c>
      <c r="G112"/>
      <c r="H112"/>
      <c r="I112"/>
      <c r="J112"/>
      <c r="K112"/>
      <c r="L112"/>
      <c r="M112"/>
      <c r="N112"/>
      <c r="O112"/>
      <c r="P112">
        <v>50</v>
      </c>
      <c r="Q112">
        <v>8</v>
      </c>
      <c r="R112"/>
      <c r="S112"/>
      <c r="T112"/>
      <c r="U112">
        <v>0.01</v>
      </c>
      <c r="V112"/>
      <c r="W112"/>
      <c r="X112">
        <v>0.188</v>
      </c>
      <c r="Y112">
        <v>2</v>
      </c>
      <c r="Z112"/>
      <c r="AA112"/>
      <c r="AB112"/>
      <c r="AC112">
        <v>49</v>
      </c>
      <c r="AD112"/>
      <c r="AE112"/>
      <c r="AF112"/>
      <c r="AG112"/>
      <c r="AH112">
        <v>7</v>
      </c>
      <c r="AI112"/>
      <c r="AJ112"/>
      <c r="AK112"/>
      <c r="AL112"/>
      <c r="AM112"/>
      <c r="AN112"/>
      <c r="AO112"/>
      <c r="AP112"/>
      <c r="AQ112"/>
      <c r="AR112"/>
      <c r="AS112"/>
      <c r="AT112" t="inlineStr">
        <is>
          <t>☆</t>
        </is>
      </c>
      <c r="AU112" t="inlineStr">
        <is>
          <t>☆</t>
        </is>
      </c>
      <c r="AV112" t="inlineStr">
        <is>
          <t>☆</t>
        </is>
      </c>
      <c r="AW112" t="inlineStr">
        <is>
          <t>☆</t>
        </is>
      </c>
      <c r="AX112" t="inlineStr">
        <is>
          <t>☆</t>
        </is>
      </c>
      <c r="AY112" t="inlineStr">
        <is>
          <t>☆</t>
        </is>
      </c>
      <c r="AZ112" t="inlineStr">
        <is>
          <t>☆</t>
        </is>
      </c>
      <c r="BA112" t="inlineStr">
        <is>
          <t>☆</t>
        </is>
      </c>
      <c r="BB112" t="inlineStr">
        <is>
          <t>☆</t>
        </is>
      </c>
      <c r="BC112" t="inlineStr">
        <is>
          <t>☆</t>
        </is>
      </c>
      <c r="BD112" t="inlineStr">
        <is>
          <t>☆</t>
        </is>
      </c>
      <c r="BE112" t="inlineStr">
        <is>
          <t>☆</t>
        </is>
      </c>
      <c r="BF112" t="inlineStr">
        <is>
          <t>☆</t>
        </is>
      </c>
      <c r="BG112" t="inlineStr">
        <is>
          <t>☆</t>
        </is>
      </c>
      <c r="BH112" t="inlineStr">
        <is>
          <t>☆</t>
        </is>
      </c>
      <c r="BI112" t="inlineStr">
        <is>
          <t>☆</t>
        </is>
      </c>
      <c r="BJ112" t="inlineStr">
        <is>
          <t>☆</t>
        </is>
      </c>
      <c r="BK112" t="inlineStr">
        <is>
          <t>☆</t>
        </is>
      </c>
      <c r="BL112" t="inlineStr">
        <is>
          <t>☆</t>
        </is>
      </c>
      <c r="BM112" t="inlineStr">
        <is>
          <t>☆</t>
        </is>
      </c>
      <c r="BN112" t="inlineStr">
        <is>
          <t>☆</t>
        </is>
      </c>
      <c r="BO112" t="inlineStr">
        <is>
          <t>☆</t>
        </is>
      </c>
      <c r="BP112" t="inlineStr">
        <is>
          <t>☆</t>
        </is>
      </c>
      <c r="BQ112" t="inlineStr">
        <is>
          <t>☆</t>
        </is>
      </c>
      <c r="BR112"/>
      <c r="BS112" t="inlineStr">
        <is>
          <t>#VALUE!</t>
        </is>
      </c>
    </row>
    <row r="113" ht="25.5" customHeight="1">
      <c r="A113" t="inlineStr">
        <is>
          <t>FR</t>
        </is>
      </c>
      <c r="B113" t="inlineStr">
        <is>
          <t>R0001EU</t>
        </is>
      </c>
      <c r="C113"/>
      <c r="D113" t="inlineStr">
        <is>
          <t>RS1棘轮（coupon-15%）</t>
        </is>
      </c>
      <c r="E113">
        <v>13.8</v>
      </c>
      <c r="F113">
        <v>19.99</v>
      </c>
      <c r="G113"/>
      <c r="H113"/>
      <c r="I113"/>
      <c r="J113"/>
      <c r="K113"/>
      <c r="L113"/>
      <c r="M113"/>
      <c r="N113"/>
      <c r="O113"/>
      <c r="P113">
        <v>50</v>
      </c>
      <c r="Q113">
        <v>8</v>
      </c>
      <c r="R113"/>
      <c r="S113"/>
      <c r="T113"/>
      <c r="U113">
        <v>0.01</v>
      </c>
      <c r="V113"/>
      <c r="W113"/>
      <c r="X113">
        <v>0.188</v>
      </c>
      <c r="Y113">
        <v>2</v>
      </c>
      <c r="Z113"/>
      <c r="AA113"/>
      <c r="AB113"/>
      <c r="AC113">
        <v>49</v>
      </c>
      <c r="AD113"/>
      <c r="AE113"/>
      <c r="AF113"/>
      <c r="AG113"/>
      <c r="AH113">
        <v>7</v>
      </c>
      <c r="AI113"/>
      <c r="AJ113"/>
      <c r="AK113"/>
      <c r="AL113"/>
      <c r="AM113"/>
      <c r="AN113"/>
      <c r="AO113"/>
      <c r="AP113"/>
      <c r="AQ113"/>
      <c r="AR113"/>
      <c r="AS113"/>
      <c r="AT113" t="inlineStr">
        <is>
          <t>☆</t>
        </is>
      </c>
      <c r="AU113" t="inlineStr">
        <is>
          <t>☆</t>
        </is>
      </c>
      <c r="AV113" t="inlineStr">
        <is>
          <t>☆</t>
        </is>
      </c>
      <c r="AW113" t="inlineStr">
        <is>
          <t>☆</t>
        </is>
      </c>
      <c r="AX113" t="inlineStr">
        <is>
          <t>☆</t>
        </is>
      </c>
      <c r="AY113" t="inlineStr">
        <is>
          <t>☆</t>
        </is>
      </c>
      <c r="AZ113" t="inlineStr">
        <is>
          <t>☆</t>
        </is>
      </c>
      <c r="BA113" t="inlineStr">
        <is>
          <t>☆</t>
        </is>
      </c>
      <c r="BB113" t="inlineStr">
        <is>
          <t>☆</t>
        </is>
      </c>
      <c r="BC113" t="inlineStr">
        <is>
          <t>☆</t>
        </is>
      </c>
      <c r="BD113" t="inlineStr">
        <is>
          <t>☆</t>
        </is>
      </c>
      <c r="BE113" t="inlineStr">
        <is>
          <t>☆</t>
        </is>
      </c>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c r="BS113" t="inlineStr">
        <is>
          <t>#VALUE!</t>
        </is>
      </c>
    </row>
    <row r="114" ht="25.5" customHeight="1">
      <c r="A114" t="inlineStr">
        <is>
          <t>IT</t>
        </is>
      </c>
      <c r="B114" t="inlineStr">
        <is>
          <t>R0001EU</t>
        </is>
      </c>
      <c r="C114"/>
      <c r="D114" t="inlineStr">
        <is>
          <t>RS1棘轮（coupon-0%）</t>
        </is>
      </c>
      <c r="E114">
        <v>13.8</v>
      </c>
      <c r="F114">
        <v>19.99</v>
      </c>
      <c r="G114"/>
      <c r="H114"/>
      <c r="I114"/>
      <c r="J114"/>
      <c r="K114"/>
      <c r="L114"/>
      <c r="M114"/>
      <c r="N114"/>
      <c r="O114"/>
      <c r="P114">
        <v>50</v>
      </c>
      <c r="Q114">
        <v>8</v>
      </c>
      <c r="R114"/>
      <c r="S114"/>
      <c r="T114"/>
      <c r="U114">
        <v>0.01</v>
      </c>
      <c r="V114"/>
      <c r="W114"/>
      <c r="X114">
        <v>0.188</v>
      </c>
      <c r="Y114">
        <v>2</v>
      </c>
      <c r="Z114">
        <v>0</v>
      </c>
      <c r="AA114"/>
      <c r="AB114"/>
      <c r="AC114">
        <v>49</v>
      </c>
      <c r="AD114"/>
      <c r="AE114"/>
      <c r="AF114"/>
      <c r="AG114"/>
      <c r="AH114">
        <v>7</v>
      </c>
      <c r="AI114"/>
      <c r="AJ114"/>
      <c r="AK114"/>
      <c r="AL114"/>
      <c r="AM114"/>
      <c r="AN114"/>
      <c r="AO114"/>
      <c r="AP114"/>
      <c r="AQ114"/>
      <c r="AR114"/>
      <c r="AS114"/>
      <c r="AT114" t="inlineStr">
        <is>
          <t>☆</t>
        </is>
      </c>
      <c r="AU114" t="inlineStr">
        <is>
          <t>☆</t>
        </is>
      </c>
      <c r="AV114" t="inlineStr">
        <is>
          <t>☆</t>
        </is>
      </c>
      <c r="AW114" t="inlineStr">
        <is>
          <t>☆</t>
        </is>
      </c>
      <c r="AX114" t="inlineStr">
        <is>
          <t>☆</t>
        </is>
      </c>
      <c r="AY114" t="inlineStr">
        <is>
          <t>☆</t>
        </is>
      </c>
      <c r="AZ114" t="inlineStr">
        <is>
          <t>☆</t>
        </is>
      </c>
      <c r="BA114" t="inlineStr">
        <is>
          <t>☆</t>
        </is>
      </c>
      <c r="BB114" t="inlineStr">
        <is>
          <t>☆</t>
        </is>
      </c>
      <c r="BC114" t="inlineStr">
        <is>
          <t>☆</t>
        </is>
      </c>
      <c r="BD114" t="inlineStr">
        <is>
          <t>☆</t>
        </is>
      </c>
      <c r="BE114" t="inlineStr">
        <is>
          <t>☆</t>
        </is>
      </c>
      <c r="BF114" t="inlineStr">
        <is>
          <t>☆</t>
        </is>
      </c>
      <c r="BG114" t="inlineStr">
        <is>
          <t>☆</t>
        </is>
      </c>
      <c r="BH114" t="inlineStr">
        <is>
          <t>☆</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c r="BS114" t="inlineStr">
        <is>
          <t>#VALUE!</t>
        </is>
      </c>
    </row>
    <row r="115" ht="25.5" customHeight="1">
      <c r="A115" t="inlineStr">
        <is>
          <t>IT</t>
        </is>
      </c>
      <c r="B115" t="inlineStr">
        <is>
          <t>R0001EU</t>
        </is>
      </c>
      <c r="C115"/>
      <c r="D115" t="inlineStr">
        <is>
          <t>RS1棘轮（coupon-5%）</t>
        </is>
      </c>
      <c r="E115">
        <v>13.8</v>
      </c>
      <c r="F115">
        <v>19.99</v>
      </c>
      <c r="G115"/>
      <c r="H115"/>
      <c r="I115"/>
      <c r="J115"/>
      <c r="K115"/>
      <c r="L115"/>
      <c r="M115"/>
      <c r="N115"/>
      <c r="O115"/>
      <c r="P115">
        <v>50</v>
      </c>
      <c r="Q115">
        <v>8</v>
      </c>
      <c r="R115"/>
      <c r="S115"/>
      <c r="T115"/>
      <c r="U115">
        <v>0.01</v>
      </c>
      <c r="V115"/>
      <c r="W115"/>
      <c r="X115">
        <v>0.188</v>
      </c>
      <c r="Y115">
        <v>2</v>
      </c>
      <c r="Z115"/>
      <c r="AA115"/>
      <c r="AB115"/>
      <c r="AC115">
        <v>49</v>
      </c>
      <c r="AD115"/>
      <c r="AE115"/>
      <c r="AF115"/>
      <c r="AG115"/>
      <c r="AH115">
        <v>7</v>
      </c>
      <c r="AI115"/>
      <c r="AJ115"/>
      <c r="AK115"/>
      <c r="AL115"/>
      <c r="AM115"/>
      <c r="AN115"/>
      <c r="AO115"/>
      <c r="AP115"/>
      <c r="AQ115"/>
      <c r="AR115"/>
      <c r="AS115"/>
      <c r="AT115" t="inlineStr">
        <is>
          <t>☆</t>
        </is>
      </c>
      <c r="AU115" t="inlineStr">
        <is>
          <t>☆</t>
        </is>
      </c>
      <c r="AV115" t="inlineStr">
        <is>
          <t>☆</t>
        </is>
      </c>
      <c r="AW115" t="inlineStr">
        <is>
          <t>☆</t>
        </is>
      </c>
      <c r="AX115" t="inlineStr">
        <is>
          <t>☆</t>
        </is>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c r="BS115" t="inlineStr">
        <is>
          <t>#VALUE!</t>
        </is>
      </c>
    </row>
    <row r="116" ht="25.5" customHeight="1">
      <c r="A116" t="inlineStr">
        <is>
          <t>IT</t>
        </is>
      </c>
      <c r="B116" t="inlineStr">
        <is>
          <t>R0001EU</t>
        </is>
      </c>
      <c r="C116"/>
      <c r="D116" t="inlineStr">
        <is>
          <t>RS1棘轮（coupon-10%）</t>
        </is>
      </c>
      <c r="E116">
        <v>13.8</v>
      </c>
      <c r="F116">
        <v>19.99</v>
      </c>
      <c r="G116"/>
      <c r="H116"/>
      <c r="I116"/>
      <c r="J116"/>
      <c r="K116"/>
      <c r="L116"/>
      <c r="M116"/>
      <c r="N116"/>
      <c r="O116"/>
      <c r="P116">
        <v>50</v>
      </c>
      <c r="Q116">
        <v>8</v>
      </c>
      <c r="R116"/>
      <c r="S116"/>
      <c r="T116"/>
      <c r="U116">
        <v>0.01</v>
      </c>
      <c r="V116"/>
      <c r="W116"/>
      <c r="X116">
        <v>0.188</v>
      </c>
      <c r="Y116">
        <v>2</v>
      </c>
      <c r="Z116"/>
      <c r="AA116"/>
      <c r="AB116"/>
      <c r="AC116">
        <v>49</v>
      </c>
      <c r="AD116"/>
      <c r="AE116"/>
      <c r="AF116"/>
      <c r="AG116"/>
      <c r="AH116">
        <v>7</v>
      </c>
      <c r="AI116"/>
      <c r="AJ116"/>
      <c r="AK116"/>
      <c r="AL116"/>
      <c r="AM116"/>
      <c r="AN116"/>
      <c r="AO116"/>
      <c r="AP116"/>
      <c r="AQ116"/>
      <c r="AR116"/>
      <c r="AS116"/>
      <c r="AT116" t="inlineStr">
        <is>
          <t>☆</t>
        </is>
      </c>
      <c r="AU116" t="inlineStr">
        <is>
          <t>☆</t>
        </is>
      </c>
      <c r="AV116" t="inlineStr">
        <is>
          <t>☆</t>
        </is>
      </c>
      <c r="AW116" t="inlineStr">
        <is>
          <t>☆</t>
        </is>
      </c>
      <c r="AX116" t="inlineStr">
        <is>
          <t>☆</t>
        </is>
      </c>
      <c r="AY116" t="inlineStr">
        <is>
          <t>☆</t>
        </is>
      </c>
      <c r="AZ116" t="inlineStr">
        <is>
          <t>☆</t>
        </is>
      </c>
      <c r="BA116" t="inlineStr">
        <is>
          <t>☆</t>
        </is>
      </c>
      <c r="BB116" t="inlineStr">
        <is>
          <t>☆</t>
        </is>
      </c>
      <c r="BC116" t="inlineStr">
        <is>
          <t>☆</t>
        </is>
      </c>
      <c r="BD116" t="inlineStr">
        <is>
          <t>☆</t>
        </is>
      </c>
      <c r="BE116" t="inlineStr">
        <is>
          <t>☆</t>
        </is>
      </c>
      <c r="BF116" t="inlineStr">
        <is>
          <t>☆</t>
        </is>
      </c>
      <c r="BG116" t="inlineStr">
        <is>
          <t>☆</t>
        </is>
      </c>
      <c r="BH116" t="inlineStr">
        <is>
          <t>☆</t>
        </is>
      </c>
      <c r="BI116" t="inlineStr">
        <is>
          <t>☆</t>
        </is>
      </c>
      <c r="BJ116" t="inlineStr">
        <is>
          <t>☆</t>
        </is>
      </c>
      <c r="BK116" t="inlineStr">
        <is>
          <t>☆</t>
        </is>
      </c>
      <c r="BL116" t="inlineStr">
        <is>
          <t>☆</t>
        </is>
      </c>
      <c r="BM116" t="inlineStr">
        <is>
          <t>☆</t>
        </is>
      </c>
      <c r="BN116" t="inlineStr">
        <is>
          <t>☆</t>
        </is>
      </c>
      <c r="BO116" t="inlineStr">
        <is>
          <t>☆</t>
        </is>
      </c>
      <c r="BP116" t="inlineStr">
        <is>
          <t>☆</t>
        </is>
      </c>
      <c r="BQ116" t="inlineStr">
        <is>
          <t>☆</t>
        </is>
      </c>
      <c r="BR116"/>
      <c r="BS116" t="inlineStr">
        <is>
          <t>#VALUE!</t>
        </is>
      </c>
    </row>
    <row r="117" ht="25.5" customHeight="1">
      <c r="A117" t="inlineStr">
        <is>
          <t>IT</t>
        </is>
      </c>
      <c r="B117" t="inlineStr">
        <is>
          <t>R0001EU</t>
        </is>
      </c>
      <c r="C117"/>
      <c r="D117" t="inlineStr">
        <is>
          <t>RS1棘轮（coupon-15%）</t>
        </is>
      </c>
      <c r="E117">
        <v>13.8</v>
      </c>
      <c r="F117">
        <v>19.99</v>
      </c>
      <c r="G117"/>
      <c r="H117"/>
      <c r="I117"/>
      <c r="J117"/>
      <c r="K117"/>
      <c r="L117"/>
      <c r="M117"/>
      <c r="N117"/>
      <c r="O117"/>
      <c r="P117">
        <v>50</v>
      </c>
      <c r="Q117">
        <v>8</v>
      </c>
      <c r="R117"/>
      <c r="S117"/>
      <c r="T117"/>
      <c r="U117">
        <v>0.01</v>
      </c>
      <c r="V117"/>
      <c r="W117"/>
      <c r="X117">
        <v>0.188</v>
      </c>
      <c r="Y117">
        <v>2</v>
      </c>
      <c r="Z117"/>
      <c r="AA117"/>
      <c r="AB117"/>
      <c r="AC117">
        <v>49</v>
      </c>
      <c r="AD117"/>
      <c r="AE117"/>
      <c r="AF117"/>
      <c r="AG117"/>
      <c r="AH117">
        <v>7</v>
      </c>
      <c r="AI117"/>
      <c r="AJ117"/>
      <c r="AK117"/>
      <c r="AL117"/>
      <c r="AM117"/>
      <c r="AN117"/>
      <c r="AO117"/>
      <c r="AP117"/>
      <c r="AQ117"/>
      <c r="AR117"/>
      <c r="AS117"/>
      <c r="AT117" t="inlineStr">
        <is>
          <t>☆</t>
        </is>
      </c>
      <c r="AU117" t="inlineStr">
        <is>
          <t>☆</t>
        </is>
      </c>
      <c r="AV117" t="inlineStr">
        <is>
          <t>☆</t>
        </is>
      </c>
      <c r="AW117" t="inlineStr">
        <is>
          <t>☆</t>
        </is>
      </c>
      <c r="AX117" t="inlineStr">
        <is>
          <t>☆</t>
        </is>
      </c>
      <c r="AY117" t="inlineStr">
        <is>
          <t>☆</t>
        </is>
      </c>
      <c r="AZ117" t="inlineStr">
        <is>
          <t>☆</t>
        </is>
      </c>
      <c r="BA117" t="inlineStr">
        <is>
          <t>☆</t>
        </is>
      </c>
      <c r="BB117" t="inlineStr">
        <is>
          <t>☆</t>
        </is>
      </c>
      <c r="BC117" t="inlineStr">
        <is>
          <t>☆</t>
        </is>
      </c>
      <c r="BD117" t="inlineStr">
        <is>
          <t>☆</t>
        </is>
      </c>
      <c r="BE117" t="inlineStr">
        <is>
          <t>☆</t>
        </is>
      </c>
      <c r="BF117" t="inlineStr">
        <is>
          <t>☆</t>
        </is>
      </c>
      <c r="BG117" t="inlineStr">
        <is>
          <t>☆</t>
        </is>
      </c>
      <c r="BH117" t="inlineStr">
        <is>
          <t>☆</t>
        </is>
      </c>
      <c r="BI117" t="inlineStr">
        <is>
          <t>☆</t>
        </is>
      </c>
      <c r="BJ117" t="inlineStr">
        <is>
          <t>☆</t>
        </is>
      </c>
      <c r="BK117" t="inlineStr">
        <is>
          <t>☆</t>
        </is>
      </c>
      <c r="BL117" t="inlineStr">
        <is>
          <t>☆</t>
        </is>
      </c>
      <c r="BM117" t="inlineStr">
        <is>
          <t>☆</t>
        </is>
      </c>
      <c r="BN117" t="inlineStr">
        <is>
          <t>☆</t>
        </is>
      </c>
      <c r="BO117" t="inlineStr">
        <is>
          <t>☆</t>
        </is>
      </c>
      <c r="BP117" t="inlineStr">
        <is>
          <t>☆</t>
        </is>
      </c>
      <c r="BQ117" t="inlineStr">
        <is>
          <t>☆</t>
        </is>
      </c>
      <c r="BR117"/>
      <c r="BS117" t="inlineStr">
        <is>
          <t>#VALUE!</t>
        </is>
      </c>
    </row>
    <row r="118" ht="25.5" customHeight="1">
      <c r="A118" t="inlineStr">
        <is>
          <t>ES</t>
        </is>
      </c>
      <c r="B118" t="inlineStr">
        <is>
          <t>R0001EU</t>
        </is>
      </c>
      <c r="C118"/>
      <c r="D118" t="inlineStr">
        <is>
          <t>RS1棘轮（coupon-0%）</t>
        </is>
      </c>
      <c r="E118">
        <v>13.8</v>
      </c>
      <c r="F118">
        <v>19.99</v>
      </c>
      <c r="G118"/>
      <c r="H118"/>
      <c r="I118"/>
      <c r="J118"/>
      <c r="K118"/>
      <c r="L118"/>
      <c r="M118"/>
      <c r="N118"/>
      <c r="O118"/>
      <c r="P118">
        <v>50</v>
      </c>
      <c r="Q118">
        <v>8</v>
      </c>
      <c r="R118"/>
      <c r="S118"/>
      <c r="T118"/>
      <c r="U118">
        <v>0.01</v>
      </c>
      <c r="V118"/>
      <c r="W118"/>
      <c r="X118">
        <v>0.188</v>
      </c>
      <c r="Y118">
        <v>2</v>
      </c>
      <c r="Z118">
        <v>0</v>
      </c>
      <c r="AA118"/>
      <c r="AB118"/>
      <c r="AC118">
        <v>49</v>
      </c>
      <c r="AD118"/>
      <c r="AE118"/>
      <c r="AF118"/>
      <c r="AG118"/>
      <c r="AH118">
        <v>7</v>
      </c>
      <c r="AI118"/>
      <c r="AJ118"/>
      <c r="AK118"/>
      <c r="AL118"/>
      <c r="AM118"/>
      <c r="AN118"/>
      <c r="AO118"/>
      <c r="AP118"/>
      <c r="AQ118"/>
      <c r="AR118"/>
      <c r="AS118"/>
      <c r="AT118" t="inlineStr">
        <is>
          <t>☆</t>
        </is>
      </c>
      <c r="AU118" t="inlineStr">
        <is>
          <t>☆</t>
        </is>
      </c>
      <c r="AV118" t="inlineStr">
        <is>
          <t>☆</t>
        </is>
      </c>
      <c r="AW118" t="inlineStr">
        <is>
          <t>☆</t>
        </is>
      </c>
      <c r="AX118" t="inlineStr">
        <is>
          <t>☆</t>
        </is>
      </c>
      <c r="AY118" t="inlineStr">
        <is>
          <t>☆</t>
        </is>
      </c>
      <c r="AZ118" t="inlineStr">
        <is>
          <t>☆</t>
        </is>
      </c>
      <c r="BA118" t="inlineStr">
        <is>
          <t>☆</t>
        </is>
      </c>
      <c r="BB118" t="inlineStr">
        <is>
          <t>☆</t>
        </is>
      </c>
      <c r="BC118" t="inlineStr">
        <is>
          <t>☆</t>
        </is>
      </c>
      <c r="BD118" t="inlineStr">
        <is>
          <t>☆</t>
        </is>
      </c>
      <c r="BE118" t="inlineStr">
        <is>
          <t>☆</t>
        </is>
      </c>
      <c r="BF118" t="inlineStr">
        <is>
          <t>☆</t>
        </is>
      </c>
      <c r="BG118" t="inlineStr">
        <is>
          <t>☆</t>
        </is>
      </c>
      <c r="BH118" t="inlineStr">
        <is>
          <t>☆</t>
        </is>
      </c>
      <c r="BI118" t="inlineStr">
        <is>
          <t>☆</t>
        </is>
      </c>
      <c r="BJ118" t="inlineStr">
        <is>
          <t>☆</t>
        </is>
      </c>
      <c r="BK118" t="inlineStr">
        <is>
          <t>☆</t>
        </is>
      </c>
      <c r="BL118" t="inlineStr">
        <is>
          <t>☆</t>
        </is>
      </c>
      <c r="BM118" t="inlineStr">
        <is>
          <t>☆</t>
        </is>
      </c>
      <c r="BN118" t="inlineStr">
        <is>
          <t>☆</t>
        </is>
      </c>
      <c r="BO118" t="inlineStr">
        <is>
          <t>☆</t>
        </is>
      </c>
      <c r="BP118" t="inlineStr">
        <is>
          <t>☆</t>
        </is>
      </c>
      <c r="BQ118" t="inlineStr">
        <is>
          <t>☆</t>
        </is>
      </c>
      <c r="BR118"/>
      <c r="BS118" t="inlineStr">
        <is>
          <t>#VALUE!</t>
        </is>
      </c>
    </row>
    <row r="119" ht="25.5" customHeight="1">
      <c r="A119" t="inlineStr">
        <is>
          <t>ES</t>
        </is>
      </c>
      <c r="B119" t="inlineStr">
        <is>
          <t>R0001EU</t>
        </is>
      </c>
      <c r="C119"/>
      <c r="D119" t="inlineStr">
        <is>
          <t>RS1棘轮（coupon-5%）</t>
        </is>
      </c>
      <c r="E119">
        <v>13.8</v>
      </c>
      <c r="F119">
        <v>19.99</v>
      </c>
      <c r="G119"/>
      <c r="H119"/>
      <c r="I119"/>
      <c r="J119"/>
      <c r="K119"/>
      <c r="L119"/>
      <c r="M119"/>
      <c r="N119"/>
      <c r="O119"/>
      <c r="P119">
        <v>50</v>
      </c>
      <c r="Q119">
        <v>8</v>
      </c>
      <c r="R119"/>
      <c r="S119"/>
      <c r="T119"/>
      <c r="U119">
        <v>0.01</v>
      </c>
      <c r="V119"/>
      <c r="W119"/>
      <c r="X119">
        <v>0.188</v>
      </c>
      <c r="Y119">
        <v>2</v>
      </c>
      <c r="Z119"/>
      <c r="AA119"/>
      <c r="AB119"/>
      <c r="AC119">
        <v>49</v>
      </c>
      <c r="AD119"/>
      <c r="AE119"/>
      <c r="AF119"/>
      <c r="AG119"/>
      <c r="AH119">
        <v>7</v>
      </c>
      <c r="AI119"/>
      <c r="AJ119"/>
      <c r="AK119"/>
      <c r="AL119"/>
      <c r="AM119"/>
      <c r="AN119"/>
      <c r="AO119"/>
      <c r="AP119"/>
      <c r="AQ119"/>
      <c r="AR119"/>
      <c r="AS119"/>
      <c r="AT119" t="inlineStr">
        <is>
          <t>☆</t>
        </is>
      </c>
      <c r="AU119" t="inlineStr">
        <is>
          <t>☆</t>
        </is>
      </c>
      <c r="AV119" t="inlineStr">
        <is>
          <t>☆</t>
        </is>
      </c>
      <c r="AW119" t="inlineStr">
        <is>
          <t>☆</t>
        </is>
      </c>
      <c r="AX119" t="inlineStr">
        <is>
          <t>☆</t>
        </is>
      </c>
      <c r="AY119" t="inlineStr">
        <is>
          <t>☆</t>
        </is>
      </c>
      <c r="AZ119" t="inlineStr">
        <is>
          <t>☆</t>
        </is>
      </c>
      <c r="BA119" t="inlineStr">
        <is>
          <t>☆</t>
        </is>
      </c>
      <c r="BB119" t="inlineStr">
        <is>
          <t>☆</t>
        </is>
      </c>
      <c r="BC119" t="inlineStr">
        <is>
          <t>☆</t>
        </is>
      </c>
      <c r="BD119" t="inlineStr">
        <is>
          <t>☆</t>
        </is>
      </c>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t>
        </is>
      </c>
      <c r="BR119"/>
      <c r="BS119" t="inlineStr">
        <is>
          <t>#VALUE!</t>
        </is>
      </c>
    </row>
    <row r="120" ht="25.5" customHeight="1">
      <c r="A120" t="inlineStr">
        <is>
          <t>ES</t>
        </is>
      </c>
      <c r="B120" t="inlineStr">
        <is>
          <t>R0001EU</t>
        </is>
      </c>
      <c r="C120"/>
      <c r="D120" t="inlineStr">
        <is>
          <t>RS1棘轮（coupon-10%）</t>
        </is>
      </c>
      <c r="E120">
        <v>13.8</v>
      </c>
      <c r="F120">
        <v>19.99</v>
      </c>
      <c r="G120"/>
      <c r="H120"/>
      <c r="I120"/>
      <c r="J120"/>
      <c r="K120"/>
      <c r="L120"/>
      <c r="M120"/>
      <c r="N120"/>
      <c r="O120"/>
      <c r="P120">
        <v>50</v>
      </c>
      <c r="Q120">
        <v>8</v>
      </c>
      <c r="R120"/>
      <c r="S120"/>
      <c r="T120"/>
      <c r="U120">
        <v>0.01</v>
      </c>
      <c r="V120"/>
      <c r="W120"/>
      <c r="X120">
        <v>0.188</v>
      </c>
      <c r="Y120">
        <v>2</v>
      </c>
      <c r="Z120"/>
      <c r="AA120"/>
      <c r="AB120"/>
      <c r="AC120">
        <v>49</v>
      </c>
      <c r="AD120"/>
      <c r="AE120"/>
      <c r="AF120"/>
      <c r="AG120"/>
      <c r="AH120">
        <v>7</v>
      </c>
      <c r="AI120"/>
      <c r="AJ120"/>
      <c r="AK120"/>
      <c r="AL120"/>
      <c r="AM120"/>
      <c r="AN120"/>
      <c r="AO120"/>
      <c r="AP120"/>
      <c r="AQ120"/>
      <c r="AR120"/>
      <c r="AS120"/>
      <c r="AT120" t="inlineStr">
        <is>
          <t>☆</t>
        </is>
      </c>
      <c r="AU120" t="inlineStr">
        <is>
          <t>☆</t>
        </is>
      </c>
      <c r="AV120" t="inlineStr">
        <is>
          <t>☆</t>
        </is>
      </c>
      <c r="AW120" t="inlineStr">
        <is>
          <t>☆</t>
        </is>
      </c>
      <c r="AX120" t="inlineStr">
        <is>
          <t>☆</t>
        </is>
      </c>
      <c r="AY120" t="inlineStr">
        <is>
          <t>☆</t>
        </is>
      </c>
      <c r="AZ120" t="inlineStr">
        <is>
          <t>☆</t>
        </is>
      </c>
      <c r="BA120" t="inlineStr">
        <is>
          <t>☆</t>
        </is>
      </c>
      <c r="BB120" t="inlineStr">
        <is>
          <t>☆</t>
        </is>
      </c>
      <c r="BC120" t="inlineStr">
        <is>
          <t>☆</t>
        </is>
      </c>
      <c r="BD120" t="inlineStr">
        <is>
          <t>☆</t>
        </is>
      </c>
      <c r="BE120" t="inlineStr">
        <is>
          <t>☆</t>
        </is>
      </c>
      <c r="BF120" t="inlineStr">
        <is>
          <t>☆</t>
        </is>
      </c>
      <c r="BG120" t="inlineStr">
        <is>
          <t>☆</t>
        </is>
      </c>
      <c r="BH120" t="inlineStr">
        <is>
          <t>☆</t>
        </is>
      </c>
      <c r="BI120" t="inlineStr">
        <is>
          <t>☆</t>
        </is>
      </c>
      <c r="BJ120" t="inlineStr">
        <is>
          <t>☆</t>
        </is>
      </c>
      <c r="BK120" t="inlineStr">
        <is>
          <t>☆</t>
        </is>
      </c>
      <c r="BL120" t="inlineStr">
        <is>
          <t>☆</t>
        </is>
      </c>
      <c r="BM120" t="inlineStr">
        <is>
          <t>☆</t>
        </is>
      </c>
      <c r="BN120" t="inlineStr">
        <is>
          <t>☆</t>
        </is>
      </c>
      <c r="BO120" t="inlineStr">
        <is>
          <t>☆</t>
        </is>
      </c>
      <c r="BP120" t="inlineStr">
        <is>
          <t>☆</t>
        </is>
      </c>
      <c r="BQ120" t="inlineStr">
        <is>
          <t>☆</t>
        </is>
      </c>
      <c r="BR120"/>
      <c r="BS120" t="inlineStr">
        <is>
          <t>#VALUE!</t>
        </is>
      </c>
    </row>
    <row r="121" ht="25.5" customHeight="1">
      <c r="A121" t="inlineStr">
        <is>
          <t>ES</t>
        </is>
      </c>
      <c r="B121" t="inlineStr">
        <is>
          <t>R0001EU</t>
        </is>
      </c>
      <c r="C121"/>
      <c r="D121" t="inlineStr">
        <is>
          <t>RS1棘轮（coupon-15%）</t>
        </is>
      </c>
      <c r="E121">
        <v>13.8</v>
      </c>
      <c r="F121">
        <v>19.99</v>
      </c>
      <c r="G121"/>
      <c r="H121"/>
      <c r="I121"/>
      <c r="J121"/>
      <c r="K121"/>
      <c r="L121"/>
      <c r="M121"/>
      <c r="N121"/>
      <c r="O121"/>
      <c r="P121">
        <v>50</v>
      </c>
      <c r="Q121">
        <v>8</v>
      </c>
      <c r="R121"/>
      <c r="S121"/>
      <c r="T121"/>
      <c r="U121">
        <v>0.01</v>
      </c>
      <c r="V121"/>
      <c r="W121"/>
      <c r="X121">
        <v>0.188</v>
      </c>
      <c r="Y121">
        <v>2</v>
      </c>
      <c r="Z121"/>
      <c r="AA121"/>
      <c r="AB121"/>
      <c r="AC121">
        <v>49</v>
      </c>
      <c r="AD121"/>
      <c r="AE121"/>
      <c r="AF121"/>
      <c r="AG121"/>
      <c r="AH121">
        <v>7</v>
      </c>
      <c r="AI121"/>
      <c r="AJ121"/>
      <c r="AK121"/>
      <c r="AL121"/>
      <c r="AM121"/>
      <c r="AN121"/>
      <c r="AO121"/>
      <c r="AP121"/>
      <c r="AQ121"/>
      <c r="AR121"/>
      <c r="AS121"/>
      <c r="AT121" t="inlineStr">
        <is>
          <t>☆</t>
        </is>
      </c>
      <c r="AU121" t="inlineStr">
        <is>
          <t>☆</t>
        </is>
      </c>
      <c r="AV121" t="inlineStr">
        <is>
          <t>☆</t>
        </is>
      </c>
      <c r="AW121" t="inlineStr">
        <is>
          <t>☆</t>
        </is>
      </c>
      <c r="AX121" t="inlineStr">
        <is>
          <t>☆</t>
        </is>
      </c>
      <c r="AY121" t="inlineStr">
        <is>
          <t>☆</t>
        </is>
      </c>
      <c r="AZ121" t="inlineStr">
        <is>
          <t>☆</t>
        </is>
      </c>
      <c r="BA121" t="inlineStr">
        <is>
          <t>☆</t>
        </is>
      </c>
      <c r="BB121" t="inlineStr">
        <is>
          <t>☆</t>
        </is>
      </c>
      <c r="BC121" t="inlineStr">
        <is>
          <t>☆</t>
        </is>
      </c>
      <c r="BD121" t="inlineStr">
        <is>
          <t>☆</t>
        </is>
      </c>
      <c r="BE121" t="inlineStr">
        <is>
          <t>☆</t>
        </is>
      </c>
      <c r="BF121" t="inlineStr">
        <is>
          <t>☆</t>
        </is>
      </c>
      <c r="BG121" t="inlineStr">
        <is>
          <t>☆</t>
        </is>
      </c>
      <c r="BH121" t="inlineStr">
        <is>
          <t>☆</t>
        </is>
      </c>
      <c r="BI121" t="inlineStr">
        <is>
          <t>☆</t>
        </is>
      </c>
      <c r="BJ121" t="inlineStr">
        <is>
          <t>☆</t>
        </is>
      </c>
      <c r="BK121" t="inlineStr">
        <is>
          <t>☆</t>
        </is>
      </c>
      <c r="BL121" t="inlineStr">
        <is>
          <t>☆</t>
        </is>
      </c>
      <c r="BM121" t="inlineStr">
        <is>
          <t>☆</t>
        </is>
      </c>
      <c r="BN121" t="inlineStr">
        <is>
          <t>☆</t>
        </is>
      </c>
      <c r="BO121" t="inlineStr">
        <is>
          <t>☆</t>
        </is>
      </c>
      <c r="BP121" t="inlineStr">
        <is>
          <t>☆</t>
        </is>
      </c>
      <c r="BQ121" t="inlineStr">
        <is>
          <t>☆</t>
        </is>
      </c>
      <c r="BR121"/>
      <c r="BS121" t="inlineStr">
        <is>
          <t>#VALUE!</t>
        </is>
      </c>
    </row>
    <row r="122" ht="25.5" customHeight="1">
      <c r="A122" t="inlineStr">
        <is>
          <t>NL</t>
        </is>
      </c>
      <c r="B122" t="inlineStr">
        <is>
          <t>R0001EU</t>
        </is>
      </c>
      <c r="C122"/>
      <c r="D122" t="inlineStr">
        <is>
          <t>RS1棘轮荷兰</t>
        </is>
      </c>
      <c r="E122">
        <v>20.5</v>
      </c>
      <c r="F122">
        <v>29.99</v>
      </c>
      <c r="G122"/>
      <c r="H122"/>
      <c r="I122"/>
      <c r="J122"/>
      <c r="K122"/>
      <c r="L122"/>
      <c r="M122"/>
      <c r="N122"/>
      <c r="O122"/>
      <c r="P122">
        <v>50</v>
      </c>
      <c r="Q122">
        <v>8</v>
      </c>
      <c r="R122"/>
      <c r="S122"/>
      <c r="T122"/>
      <c r="U122">
        <v>0.01</v>
      </c>
      <c r="V122"/>
      <c r="W122"/>
      <c r="X122">
        <v>0.188</v>
      </c>
      <c r="Y122">
        <v>0</v>
      </c>
      <c r="Z122"/>
      <c r="AA122"/>
      <c r="AB122"/>
      <c r="AC122">
        <v>49</v>
      </c>
      <c r="AD122"/>
      <c r="AE122"/>
      <c r="AF122"/>
      <c r="AG122"/>
      <c r="AH122">
        <v>7</v>
      </c>
      <c r="AI122"/>
      <c r="AJ122"/>
      <c r="AK122"/>
      <c r="AL122"/>
      <c r="AM122"/>
      <c r="AN122"/>
      <c r="AO122"/>
      <c r="AP122"/>
      <c r="AQ122"/>
      <c r="AR122"/>
      <c r="AS122"/>
      <c r="AT122" t="inlineStr">
        <is>
          <t>☆</t>
        </is>
      </c>
      <c r="AU122" t="inlineStr">
        <is>
          <t>☆</t>
        </is>
      </c>
      <c r="AV122" t="inlineStr">
        <is>
          <t>☆</t>
        </is>
      </c>
      <c r="AW122" t="inlineStr">
        <is>
          <t>☆</t>
        </is>
      </c>
      <c r="AX122" t="inlineStr">
        <is>
          <t>☆</t>
        </is>
      </c>
      <c r="AY122" t="inlineStr">
        <is>
          <t>☆</t>
        </is>
      </c>
      <c r="AZ122" t="inlineStr">
        <is>
          <t>☆</t>
        </is>
      </c>
      <c r="BA122" t="inlineStr">
        <is>
          <t>☆</t>
        </is>
      </c>
      <c r="BB122" t="inlineStr">
        <is>
          <t>☆</t>
        </is>
      </c>
      <c r="BC122" t="inlineStr">
        <is>
          <t>☆</t>
        </is>
      </c>
      <c r="BD122" t="inlineStr">
        <is>
          <t>☆</t>
        </is>
      </c>
      <c r="BE122" t="inlineStr">
        <is>
          <t>☆</t>
        </is>
      </c>
      <c r="BF122" t="inlineStr">
        <is>
          <t>☆</t>
        </is>
      </c>
      <c r="BG122" t="inlineStr">
        <is>
          <t>☆</t>
        </is>
      </c>
      <c r="BH122" t="inlineStr">
        <is>
          <t>☆</t>
        </is>
      </c>
      <c r="BI122" t="inlineStr">
        <is>
          <t>☆</t>
        </is>
      </c>
      <c r="BJ122" t="inlineStr">
        <is>
          <t>☆</t>
        </is>
      </c>
      <c r="BK122" t="inlineStr">
        <is>
          <t>☆</t>
        </is>
      </c>
      <c r="BL122" t="inlineStr">
        <is>
          <t>☆</t>
        </is>
      </c>
      <c r="BM122" t="inlineStr">
        <is>
          <t>☆</t>
        </is>
      </c>
      <c r="BN122" t="inlineStr">
        <is>
          <t>☆</t>
        </is>
      </c>
      <c r="BO122" t="inlineStr">
        <is>
          <t>☆</t>
        </is>
      </c>
      <c r="BP122" t="inlineStr">
        <is>
          <t>☆</t>
        </is>
      </c>
      <c r="BQ122" t="inlineStr">
        <is>
          <t>☆</t>
        </is>
      </c>
      <c r="BR122"/>
      <c r="BS122" t="inlineStr">
        <is>
          <t>#VALUE!</t>
        </is>
      </c>
    </row>
    <row r="123" ht="25.5" customHeight="1">
      <c r="A123" t="inlineStr">
        <is>
          <t>PL</t>
        </is>
      </c>
      <c r="B123" t="inlineStr">
        <is>
          <t>R0001EU</t>
        </is>
      </c>
      <c r="C123"/>
      <c r="D123" t="inlineStr">
        <is>
          <t>RS1棘轮波兰</t>
        </is>
      </c>
      <c r="E123">
        <v>20.5</v>
      </c>
      <c r="F123">
        <v>29.99</v>
      </c>
      <c r="G123"/>
      <c r="H123"/>
      <c r="I123"/>
      <c r="J123"/>
      <c r="K123"/>
      <c r="L123"/>
      <c r="M123"/>
      <c r="N123"/>
      <c r="O123"/>
      <c r="P123">
        <v>50</v>
      </c>
      <c r="Q123">
        <v>8</v>
      </c>
      <c r="R123"/>
      <c r="S123"/>
      <c r="T123"/>
      <c r="U123">
        <v>0.01</v>
      </c>
      <c r="V123"/>
      <c r="W123"/>
      <c r="X123">
        <v>0.188</v>
      </c>
      <c r="Y123">
        <v>0</v>
      </c>
      <c r="Z123"/>
      <c r="AA123"/>
      <c r="AB123"/>
      <c r="AC123">
        <v>49</v>
      </c>
      <c r="AD123"/>
      <c r="AE123"/>
      <c r="AF123"/>
      <c r="AG123"/>
      <c r="AH123">
        <v>7</v>
      </c>
      <c r="AI123"/>
      <c r="AJ123"/>
      <c r="AK123"/>
      <c r="AL123"/>
      <c r="AM123"/>
      <c r="AN123"/>
      <c r="AO123"/>
      <c r="AP123"/>
      <c r="AQ123"/>
      <c r="AR123"/>
      <c r="AS123"/>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c r="BR123"/>
      <c r="BS123" t="inlineStr">
        <is>
          <t>#VALUE!</t>
        </is>
      </c>
    </row>
    <row r="124" ht="25.5" customHeight="1">
      <c r="A124" t="inlineStr">
        <is>
          <t>SE</t>
        </is>
      </c>
      <c r="B124" t="inlineStr">
        <is>
          <t>R0001EU</t>
        </is>
      </c>
      <c r="C124"/>
      <c r="D124" t="inlineStr">
        <is>
          <t>RS1棘轮瑞典</t>
        </is>
      </c>
      <c r="E124">
        <v>20.5</v>
      </c>
      <c r="F124">
        <v>29.99</v>
      </c>
      <c r="G124"/>
      <c r="H124"/>
      <c r="I124"/>
      <c r="J124"/>
      <c r="K124"/>
      <c r="L124"/>
      <c r="M124"/>
      <c r="N124"/>
      <c r="O124"/>
      <c r="P124">
        <v>50</v>
      </c>
      <c r="Q124">
        <v>8</v>
      </c>
      <c r="R124"/>
      <c r="S124"/>
      <c r="T124"/>
      <c r="U124">
        <v>0.01</v>
      </c>
      <c r="V124"/>
      <c r="W124"/>
      <c r="X124">
        <v>0.188</v>
      </c>
      <c r="Y124">
        <v>0</v>
      </c>
      <c r="Z124"/>
      <c r="AA124"/>
      <c r="AB124"/>
      <c r="AC124">
        <v>49</v>
      </c>
      <c r="AD124"/>
      <c r="AE124"/>
      <c r="AF124"/>
      <c r="AG124"/>
      <c r="AH124">
        <v>7</v>
      </c>
      <c r="AI124"/>
      <c r="AJ124"/>
      <c r="AK124"/>
      <c r="AL124"/>
      <c r="AM124"/>
      <c r="AN124"/>
      <c r="AO124"/>
      <c r="AP124"/>
      <c r="AQ124"/>
      <c r="AR124"/>
      <c r="AS124"/>
      <c r="AT124" t="inlineStr">
        <is>
          <t>☆</t>
        </is>
      </c>
      <c r="AU124" t="inlineStr">
        <is>
          <t>☆</t>
        </is>
      </c>
      <c r="AV124" t="inlineStr">
        <is>
          <t>☆</t>
        </is>
      </c>
      <c r="AW124" t="inlineStr">
        <is>
          <t>☆</t>
        </is>
      </c>
      <c r="AX124" t="inlineStr">
        <is>
          <t>☆</t>
        </is>
      </c>
      <c r="AY124" t="inlineStr">
        <is>
          <t>☆</t>
        </is>
      </c>
      <c r="AZ124" t="inlineStr">
        <is>
          <t>☆</t>
        </is>
      </c>
      <c r="BA124" t="inlineStr">
        <is>
          <t>☆</t>
        </is>
      </c>
      <c r="BB124" t="inlineStr">
        <is>
          <t>☆</t>
        </is>
      </c>
      <c r="BC124" t="inlineStr">
        <is>
          <t>☆</t>
        </is>
      </c>
      <c r="BD124" t="inlineStr">
        <is>
          <t>☆</t>
        </is>
      </c>
      <c r="BE124" t="inlineStr">
        <is>
          <t>☆</t>
        </is>
      </c>
      <c r="BF124" t="inlineStr">
        <is>
          <t>☆</t>
        </is>
      </c>
      <c r="BG124" t="inlineStr">
        <is>
          <t>☆</t>
        </is>
      </c>
      <c r="BH124" t="inlineStr">
        <is>
          <t>☆</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c r="BS124" t="inlineStr">
        <is>
          <t>#VALUE!</t>
        </is>
      </c>
    </row>
    <row r="125" ht="25.5" customHeight="1">
      <c r="A125" t="inlineStr">
        <is>
          <t>BE</t>
        </is>
      </c>
      <c r="B125" t="inlineStr">
        <is>
          <t>R0001EU</t>
        </is>
      </c>
      <c r="C125"/>
      <c r="D125" t="inlineStr">
        <is>
          <t>RS1棘轮比利时</t>
        </is>
      </c>
      <c r="E125">
        <v>20.5</v>
      </c>
      <c r="F125">
        <v>29.99</v>
      </c>
      <c r="G125"/>
      <c r="H125"/>
      <c r="I125"/>
      <c r="J125"/>
      <c r="K125"/>
      <c r="L125"/>
      <c r="M125"/>
      <c r="N125"/>
      <c r="O125"/>
      <c r="P125">
        <v>50</v>
      </c>
      <c r="Q125">
        <v>8</v>
      </c>
      <c r="R125"/>
      <c r="S125"/>
      <c r="T125"/>
      <c r="U125">
        <v>0.01</v>
      </c>
      <c r="V125"/>
      <c r="W125"/>
      <c r="X125">
        <v>0.188</v>
      </c>
      <c r="Y125">
        <v>0</v>
      </c>
      <c r="Z125"/>
      <c r="AA125"/>
      <c r="AB125"/>
      <c r="AC125">
        <v>49</v>
      </c>
      <c r="AD125"/>
      <c r="AE125"/>
      <c r="AF125"/>
      <c r="AG125"/>
      <c r="AH125">
        <v>7</v>
      </c>
      <c r="AI125"/>
      <c r="AJ125"/>
      <c r="AK125"/>
      <c r="AL125"/>
      <c r="AM125"/>
      <c r="AN125"/>
      <c r="AO125"/>
      <c r="AP125"/>
      <c r="AQ125"/>
      <c r="AR125"/>
      <c r="AS125"/>
      <c r="AT125" t="inlineStr">
        <is>
          <t>☆</t>
        </is>
      </c>
      <c r="AU125" t="inlineStr">
        <is>
          <t>☆</t>
        </is>
      </c>
      <c r="AV125" t="inlineStr">
        <is>
          <t>☆</t>
        </is>
      </c>
      <c r="AW125" t="inlineStr">
        <is>
          <t>☆</t>
        </is>
      </c>
      <c r="AX125" t="inlineStr">
        <is>
          <t>☆</t>
        </is>
      </c>
      <c r="AY125" t="inlineStr">
        <is>
          <t>☆</t>
        </is>
      </c>
      <c r="AZ125" t="inlineStr">
        <is>
          <t>☆</t>
        </is>
      </c>
      <c r="BA125" t="inlineStr">
        <is>
          <t>☆</t>
        </is>
      </c>
      <c r="BB125" t="inlineStr">
        <is>
          <t>☆</t>
        </is>
      </c>
      <c r="BC125" t="inlineStr">
        <is>
          <t>☆</t>
        </is>
      </c>
      <c r="BD125" t="inlineStr">
        <is>
          <t>☆</t>
        </is>
      </c>
      <c r="BE125" t="inlineStr">
        <is>
          <t>☆</t>
        </is>
      </c>
      <c r="BF125" t="inlineStr">
        <is>
          <t>☆</t>
        </is>
      </c>
      <c r="BG125" t="inlineStr">
        <is>
          <t>☆</t>
        </is>
      </c>
      <c r="BH125" t="inlineStr">
        <is>
          <t>☆</t>
        </is>
      </c>
      <c r="BI125" t="inlineStr">
        <is>
          <t>☆</t>
        </is>
      </c>
      <c r="BJ125" t="inlineStr">
        <is>
          <t>☆</t>
        </is>
      </c>
      <c r="BK125" t="inlineStr">
        <is>
          <t>☆</t>
        </is>
      </c>
      <c r="BL125" t="inlineStr">
        <is>
          <t>☆</t>
        </is>
      </c>
      <c r="BM125" t="inlineStr">
        <is>
          <t>☆</t>
        </is>
      </c>
      <c r="BN125" t="inlineStr">
        <is>
          <t>☆</t>
        </is>
      </c>
      <c r="BO125" t="inlineStr">
        <is>
          <t>☆</t>
        </is>
      </c>
      <c r="BP125" t="inlineStr">
        <is>
          <t>☆</t>
        </is>
      </c>
      <c r="BQ125" t="inlineStr">
        <is>
          <t>☆</t>
        </is>
      </c>
      <c r="BR125"/>
      <c r="BS125" t="inlineStr">
        <is>
          <t>#VALUE!</t>
        </is>
      </c>
    </row>
    <row r="126" ht="25.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row>
    <row r="127" ht="25.5" customHeight="1">
      <c r="A127" t="inlineStr">
        <is>
          <t>DE</t>
        </is>
      </c>
      <c r="B127" t="inlineStr">
        <is>
          <t>R0001EU</t>
        </is>
      </c>
      <c r="C127"/>
      <c r="D127" t="inlineStr">
        <is>
          <t>手持吸尘器（coupon-0%）</t>
        </is>
      </c>
      <c r="E127">
        <v>24</v>
      </c>
      <c r="F127">
        <v>34.99</v>
      </c>
      <c r="G127"/>
      <c r="H127"/>
      <c r="I127"/>
      <c r="J127"/>
      <c r="K127"/>
      <c r="L127"/>
      <c r="M127"/>
      <c r="N127"/>
      <c r="O127"/>
      <c r="P127">
        <v>20</v>
      </c>
      <c r="Q127">
        <v>8</v>
      </c>
      <c r="R127"/>
      <c r="S127"/>
      <c r="T127"/>
      <c r="U127">
        <v>0.01</v>
      </c>
      <c r="V127"/>
      <c r="W127"/>
      <c r="X127">
        <v>0.188</v>
      </c>
      <c r="Y127">
        <v>2</v>
      </c>
      <c r="Z127">
        <v>0</v>
      </c>
      <c r="AA127"/>
      <c r="AB127"/>
      <c r="AC127">
        <v>100.1</v>
      </c>
      <c r="AD127"/>
      <c r="AE127"/>
      <c r="AF127"/>
      <c r="AG127"/>
      <c r="AH127">
        <v>8</v>
      </c>
      <c r="AI127"/>
      <c r="AJ127"/>
      <c r="AK127"/>
      <c r="AL127"/>
      <c r="AM127"/>
      <c r="AN127"/>
      <c r="AO127"/>
      <c r="AP127"/>
      <c r="AQ127"/>
      <c r="AR127"/>
      <c r="AS127"/>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c r="BS127" t="inlineStr">
        <is>
          <t>#VALUE!</t>
        </is>
      </c>
    </row>
    <row r="128" ht="25.5" customHeight="1">
      <c r="A128" t="inlineStr">
        <is>
          <t>DE</t>
        </is>
      </c>
      <c r="B128" t="inlineStr">
        <is>
          <t>R0001EU</t>
        </is>
      </c>
      <c r="C128"/>
      <c r="D128" t="inlineStr">
        <is>
          <t>手持吸尘器（coupon-10%）</t>
        </is>
      </c>
      <c r="E128">
        <v>24</v>
      </c>
      <c r="F128">
        <v>34.99</v>
      </c>
      <c r="G128"/>
      <c r="H128"/>
      <c r="I128"/>
      <c r="J128"/>
      <c r="K128"/>
      <c r="L128"/>
      <c r="M128"/>
      <c r="N128"/>
      <c r="O128"/>
      <c r="P128">
        <v>20</v>
      </c>
      <c r="Q128">
        <v>8</v>
      </c>
      <c r="R128"/>
      <c r="S128"/>
      <c r="T128"/>
      <c r="U128">
        <v>0.01</v>
      </c>
      <c r="V128"/>
      <c r="W128"/>
      <c r="X128">
        <v>0.188</v>
      </c>
      <c r="Y128">
        <v>2</v>
      </c>
      <c r="Z128"/>
      <c r="AA128"/>
      <c r="AB128"/>
      <c r="AC128">
        <v>100.1</v>
      </c>
      <c r="AD128"/>
      <c r="AE128"/>
      <c r="AF128"/>
      <c r="AG128"/>
      <c r="AH128">
        <v>8</v>
      </c>
      <c r="AI128"/>
      <c r="AJ128"/>
      <c r="AK128"/>
      <c r="AL128"/>
      <c r="AM128"/>
      <c r="AN128"/>
      <c r="AO128"/>
      <c r="AP128"/>
      <c r="AQ128"/>
      <c r="AR128"/>
      <c r="AS128"/>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c r="BS128" t="inlineStr">
        <is>
          <t>#VALUE!</t>
        </is>
      </c>
    </row>
    <row r="129" ht="25.5" customHeight="1">
      <c r="A129" t="inlineStr">
        <is>
          <t>DE</t>
        </is>
      </c>
      <c r="B129" t="inlineStr">
        <is>
          <t>R0001EU</t>
        </is>
      </c>
      <c r="C129"/>
      <c r="D129" t="inlineStr">
        <is>
          <t>手持吸尘器（coupon-15%）</t>
        </is>
      </c>
      <c r="E129">
        <v>24</v>
      </c>
      <c r="F129">
        <v>34.99</v>
      </c>
      <c r="G129"/>
      <c r="H129"/>
      <c r="I129"/>
      <c r="J129"/>
      <c r="K129"/>
      <c r="L129"/>
      <c r="M129"/>
      <c r="N129"/>
      <c r="O129"/>
      <c r="P129">
        <v>20</v>
      </c>
      <c r="Q129">
        <v>8</v>
      </c>
      <c r="R129"/>
      <c r="S129"/>
      <c r="T129"/>
      <c r="U129">
        <v>0.01</v>
      </c>
      <c r="V129"/>
      <c r="W129"/>
      <c r="X129">
        <v>0.188</v>
      </c>
      <c r="Y129">
        <v>2</v>
      </c>
      <c r="Z129"/>
      <c r="AA129"/>
      <c r="AB129"/>
      <c r="AC129">
        <v>100.1</v>
      </c>
      <c r="AD129"/>
      <c r="AE129"/>
      <c r="AF129"/>
      <c r="AG129"/>
      <c r="AH129">
        <v>8</v>
      </c>
      <c r="AI129"/>
      <c r="AJ129"/>
      <c r="AK129"/>
      <c r="AL129"/>
      <c r="AM129"/>
      <c r="AN129"/>
      <c r="AO129"/>
      <c r="AP129"/>
      <c r="AQ129"/>
      <c r="AR129"/>
      <c r="AS129"/>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c r="BS129" t="inlineStr">
        <is>
          <t>#VALUE!</t>
        </is>
      </c>
    </row>
    <row r="130" ht="25.5" customHeight="1">
      <c r="A130" t="inlineStr">
        <is>
          <t>FR</t>
        </is>
      </c>
      <c r="B130" t="inlineStr">
        <is>
          <t>R0001EU</t>
        </is>
      </c>
      <c r="C130"/>
      <c r="D130" t="inlineStr">
        <is>
          <t>手持吸尘器（coupon-0%）</t>
        </is>
      </c>
      <c r="E130">
        <v>24</v>
      </c>
      <c r="F130">
        <v>34.99</v>
      </c>
      <c r="G130"/>
      <c r="H130"/>
      <c r="I130"/>
      <c r="J130"/>
      <c r="K130"/>
      <c r="L130"/>
      <c r="M130"/>
      <c r="N130"/>
      <c r="O130"/>
      <c r="P130">
        <v>20</v>
      </c>
      <c r="Q130">
        <v>8</v>
      </c>
      <c r="R130"/>
      <c r="S130"/>
      <c r="T130"/>
      <c r="U130">
        <v>0.01</v>
      </c>
      <c r="V130"/>
      <c r="W130"/>
      <c r="X130">
        <v>0.188</v>
      </c>
      <c r="Y130">
        <v>2</v>
      </c>
      <c r="Z130">
        <v>0</v>
      </c>
      <c r="AA130"/>
      <c r="AB130"/>
      <c r="AC130">
        <v>100.1</v>
      </c>
      <c r="AD130"/>
      <c r="AE130"/>
      <c r="AF130"/>
      <c r="AG130"/>
      <c r="AH130">
        <v>8</v>
      </c>
      <c r="AI130"/>
      <c r="AJ130"/>
      <c r="AK130"/>
      <c r="AL130"/>
      <c r="AM130"/>
      <c r="AN130"/>
      <c r="AO130"/>
      <c r="AP130"/>
      <c r="AQ130"/>
      <c r="AR130"/>
      <c r="AS130"/>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c r="BS130" t="inlineStr">
        <is>
          <t>#VALUE!</t>
        </is>
      </c>
    </row>
    <row r="131" ht="25.5" customHeight="1">
      <c r="A131" t="inlineStr">
        <is>
          <t>FR</t>
        </is>
      </c>
      <c r="B131" t="inlineStr">
        <is>
          <t>R0001EU</t>
        </is>
      </c>
      <c r="C131"/>
      <c r="D131" t="inlineStr">
        <is>
          <t>手持吸尘器（coupon-10%）</t>
        </is>
      </c>
      <c r="E131">
        <v>24</v>
      </c>
      <c r="F131">
        <v>34.99</v>
      </c>
      <c r="G131"/>
      <c r="H131"/>
      <c r="I131"/>
      <c r="J131"/>
      <c r="K131"/>
      <c r="L131"/>
      <c r="M131"/>
      <c r="N131"/>
      <c r="O131"/>
      <c r="P131">
        <v>20</v>
      </c>
      <c r="Q131">
        <v>8</v>
      </c>
      <c r="R131"/>
      <c r="S131"/>
      <c r="T131"/>
      <c r="U131">
        <v>0.01</v>
      </c>
      <c r="V131"/>
      <c r="W131"/>
      <c r="X131">
        <v>0.188</v>
      </c>
      <c r="Y131">
        <v>2</v>
      </c>
      <c r="Z131"/>
      <c r="AA131"/>
      <c r="AB131"/>
      <c r="AC131">
        <v>100.1</v>
      </c>
      <c r="AD131"/>
      <c r="AE131"/>
      <c r="AF131"/>
      <c r="AG131"/>
      <c r="AH131">
        <v>8</v>
      </c>
      <c r="AI131"/>
      <c r="AJ131"/>
      <c r="AK131"/>
      <c r="AL131"/>
      <c r="AM131"/>
      <c r="AN131"/>
      <c r="AO131"/>
      <c r="AP131"/>
      <c r="AQ131"/>
      <c r="AR131"/>
      <c r="AS131"/>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c r="BS131" t="inlineStr">
        <is>
          <t>#VALUE!</t>
        </is>
      </c>
    </row>
    <row r="132" ht="25.5" customHeight="1">
      <c r="A132" t="inlineStr">
        <is>
          <t>FR</t>
        </is>
      </c>
      <c r="B132" t="inlineStr">
        <is>
          <t>R0001EU</t>
        </is>
      </c>
      <c r="C132"/>
      <c r="D132" t="inlineStr">
        <is>
          <t>手持吸尘器（coupon-15%）</t>
        </is>
      </c>
      <c r="E132">
        <v>24</v>
      </c>
      <c r="F132">
        <v>34.99</v>
      </c>
      <c r="G132"/>
      <c r="H132"/>
      <c r="I132"/>
      <c r="J132"/>
      <c r="K132"/>
      <c r="L132"/>
      <c r="M132"/>
      <c r="N132"/>
      <c r="O132"/>
      <c r="P132">
        <v>20</v>
      </c>
      <c r="Q132">
        <v>8</v>
      </c>
      <c r="R132"/>
      <c r="S132"/>
      <c r="T132"/>
      <c r="U132">
        <v>0.01</v>
      </c>
      <c r="V132"/>
      <c r="W132"/>
      <c r="X132">
        <v>0.188</v>
      </c>
      <c r="Y132">
        <v>2</v>
      </c>
      <c r="Z132"/>
      <c r="AA132"/>
      <c r="AB132"/>
      <c r="AC132">
        <v>100.1</v>
      </c>
      <c r="AD132"/>
      <c r="AE132"/>
      <c r="AF132"/>
      <c r="AG132"/>
      <c r="AH132">
        <v>8</v>
      </c>
      <c r="AI132"/>
      <c r="AJ132"/>
      <c r="AK132"/>
      <c r="AL132"/>
      <c r="AM132"/>
      <c r="AN132"/>
      <c r="AO132"/>
      <c r="AP132"/>
      <c r="AQ132"/>
      <c r="AR132"/>
      <c r="AS132"/>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c r="BS132" t="inlineStr">
        <is>
          <t>#VALUE!</t>
        </is>
      </c>
    </row>
    <row r="133" ht="25.5" customHeight="1">
      <c r="A133" t="inlineStr">
        <is>
          <t>IT</t>
        </is>
      </c>
      <c r="B133" t="inlineStr">
        <is>
          <t>R0001EU</t>
        </is>
      </c>
      <c r="C133"/>
      <c r="D133" t="inlineStr">
        <is>
          <t>手持吸尘器（coupon-0%）</t>
        </is>
      </c>
      <c r="E133">
        <v>24</v>
      </c>
      <c r="F133">
        <v>34.99</v>
      </c>
      <c r="G133"/>
      <c r="H133"/>
      <c r="I133"/>
      <c r="J133"/>
      <c r="K133"/>
      <c r="L133"/>
      <c r="M133"/>
      <c r="N133"/>
      <c r="O133"/>
      <c r="P133">
        <v>20</v>
      </c>
      <c r="Q133">
        <v>8</v>
      </c>
      <c r="R133"/>
      <c r="S133"/>
      <c r="T133"/>
      <c r="U133">
        <v>0.01</v>
      </c>
      <c r="V133"/>
      <c r="W133"/>
      <c r="X133">
        <v>0.188</v>
      </c>
      <c r="Y133">
        <v>2</v>
      </c>
      <c r="Z133">
        <v>0</v>
      </c>
      <c r="AA133"/>
      <c r="AB133"/>
      <c r="AC133">
        <v>100.1</v>
      </c>
      <c r="AD133"/>
      <c r="AE133"/>
      <c r="AF133"/>
      <c r="AG133"/>
      <c r="AH133">
        <v>8</v>
      </c>
      <c r="AI133"/>
      <c r="AJ133"/>
      <c r="AK133"/>
      <c r="AL133"/>
      <c r="AM133"/>
      <c r="AN133"/>
      <c r="AO133"/>
      <c r="AP133"/>
      <c r="AQ133"/>
      <c r="AR133"/>
      <c r="AS133"/>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c r="BS133" t="inlineStr">
        <is>
          <t>#VALUE!</t>
        </is>
      </c>
    </row>
    <row r="134" ht="25.5" customHeight="1">
      <c r="A134" t="inlineStr">
        <is>
          <t>IT</t>
        </is>
      </c>
      <c r="B134" t="inlineStr">
        <is>
          <t>R0001EU</t>
        </is>
      </c>
      <c r="C134"/>
      <c r="D134" t="inlineStr">
        <is>
          <t>手持吸尘器（coupon-10%）</t>
        </is>
      </c>
      <c r="E134">
        <v>24</v>
      </c>
      <c r="F134">
        <v>34.99</v>
      </c>
      <c r="G134"/>
      <c r="H134"/>
      <c r="I134"/>
      <c r="J134"/>
      <c r="K134"/>
      <c r="L134"/>
      <c r="M134"/>
      <c r="N134"/>
      <c r="O134"/>
      <c r="P134">
        <v>20</v>
      </c>
      <c r="Q134">
        <v>8</v>
      </c>
      <c r="R134"/>
      <c r="S134"/>
      <c r="T134"/>
      <c r="U134">
        <v>0.01</v>
      </c>
      <c r="V134"/>
      <c r="W134"/>
      <c r="X134">
        <v>0.188</v>
      </c>
      <c r="Y134">
        <v>2</v>
      </c>
      <c r="Z134"/>
      <c r="AA134"/>
      <c r="AB134"/>
      <c r="AC134">
        <v>100.1</v>
      </c>
      <c r="AD134"/>
      <c r="AE134"/>
      <c r="AF134"/>
      <c r="AG134"/>
      <c r="AH134">
        <v>8</v>
      </c>
      <c r="AI134"/>
      <c r="AJ134"/>
      <c r="AK134"/>
      <c r="AL134"/>
      <c r="AM134"/>
      <c r="AN134"/>
      <c r="AO134"/>
      <c r="AP134"/>
      <c r="AQ134"/>
      <c r="AR134"/>
      <c r="AS134"/>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c r="BS134" t="inlineStr">
        <is>
          <t>#VALUE!</t>
        </is>
      </c>
    </row>
    <row r="135" ht="25.5" customHeight="1">
      <c r="A135" t="inlineStr">
        <is>
          <t>IT</t>
        </is>
      </c>
      <c r="B135" t="inlineStr">
        <is>
          <t>R0001EU</t>
        </is>
      </c>
      <c r="C135"/>
      <c r="D135" t="inlineStr">
        <is>
          <t>手持吸尘器（coupon-15%）</t>
        </is>
      </c>
      <c r="E135">
        <v>24</v>
      </c>
      <c r="F135">
        <v>34.99</v>
      </c>
      <c r="G135"/>
      <c r="H135"/>
      <c r="I135"/>
      <c r="J135"/>
      <c r="K135"/>
      <c r="L135"/>
      <c r="M135"/>
      <c r="N135"/>
      <c r="O135"/>
      <c r="P135">
        <v>20</v>
      </c>
      <c r="Q135">
        <v>8</v>
      </c>
      <c r="R135"/>
      <c r="S135"/>
      <c r="T135"/>
      <c r="U135">
        <v>0.01</v>
      </c>
      <c r="V135"/>
      <c r="W135"/>
      <c r="X135">
        <v>0.188</v>
      </c>
      <c r="Y135">
        <v>2</v>
      </c>
      <c r="Z135"/>
      <c r="AA135"/>
      <c r="AB135"/>
      <c r="AC135">
        <v>100.1</v>
      </c>
      <c r="AD135"/>
      <c r="AE135"/>
      <c r="AF135"/>
      <c r="AG135"/>
      <c r="AH135">
        <v>8</v>
      </c>
      <c r="AI135"/>
      <c r="AJ135"/>
      <c r="AK135"/>
      <c r="AL135"/>
      <c r="AM135"/>
      <c r="AN135"/>
      <c r="AO135"/>
      <c r="AP135"/>
      <c r="AQ135"/>
      <c r="AR135"/>
      <c r="AS135"/>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c r="BS135" t="inlineStr">
        <is>
          <t>#VALUE!</t>
        </is>
      </c>
    </row>
    <row r="136" ht="25.5" customHeight="1">
      <c r="A136" t="inlineStr">
        <is>
          <t>ES</t>
        </is>
      </c>
      <c r="B136" t="inlineStr">
        <is>
          <t>R0001EU</t>
        </is>
      </c>
      <c r="C136"/>
      <c r="D136" t="inlineStr">
        <is>
          <t>手持吸尘器（coupon-0%）</t>
        </is>
      </c>
      <c r="E136">
        <v>24</v>
      </c>
      <c r="F136">
        <v>34.99</v>
      </c>
      <c r="G136"/>
      <c r="H136"/>
      <c r="I136"/>
      <c r="J136"/>
      <c r="K136"/>
      <c r="L136"/>
      <c r="M136"/>
      <c r="N136"/>
      <c r="O136"/>
      <c r="P136">
        <v>20</v>
      </c>
      <c r="Q136">
        <v>8</v>
      </c>
      <c r="R136"/>
      <c r="S136"/>
      <c r="T136"/>
      <c r="U136">
        <v>0.01</v>
      </c>
      <c r="V136"/>
      <c r="W136"/>
      <c r="X136">
        <v>0.188</v>
      </c>
      <c r="Y136">
        <v>2</v>
      </c>
      <c r="Z136">
        <v>0</v>
      </c>
      <c r="AA136"/>
      <c r="AB136"/>
      <c r="AC136">
        <v>100.1</v>
      </c>
      <c r="AD136"/>
      <c r="AE136"/>
      <c r="AF136"/>
      <c r="AG136"/>
      <c r="AH136">
        <v>8</v>
      </c>
      <c r="AI136"/>
      <c r="AJ136"/>
      <c r="AK136"/>
      <c r="AL136"/>
      <c r="AM136"/>
      <c r="AN136"/>
      <c r="AO136"/>
      <c r="AP136"/>
      <c r="AQ136"/>
      <c r="AR136"/>
      <c r="AS136"/>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c r="BS136" t="inlineStr">
        <is>
          <t>#VALUE!</t>
        </is>
      </c>
    </row>
    <row r="137" ht="25.5" customHeight="1">
      <c r="A137" t="inlineStr">
        <is>
          <t>ES</t>
        </is>
      </c>
      <c r="B137" t="inlineStr">
        <is>
          <t>R0001EU</t>
        </is>
      </c>
      <c r="C137"/>
      <c r="D137" t="inlineStr">
        <is>
          <t>手持吸尘器（coupon-10%）</t>
        </is>
      </c>
      <c r="E137">
        <v>24</v>
      </c>
      <c r="F137">
        <v>34.99</v>
      </c>
      <c r="G137"/>
      <c r="H137"/>
      <c r="I137"/>
      <c r="J137"/>
      <c r="K137"/>
      <c r="L137"/>
      <c r="M137"/>
      <c r="N137"/>
      <c r="O137"/>
      <c r="P137">
        <v>20</v>
      </c>
      <c r="Q137">
        <v>8</v>
      </c>
      <c r="R137"/>
      <c r="S137"/>
      <c r="T137"/>
      <c r="U137">
        <v>0.01</v>
      </c>
      <c r="V137"/>
      <c r="W137"/>
      <c r="X137">
        <v>0.188</v>
      </c>
      <c r="Y137">
        <v>2</v>
      </c>
      <c r="Z137"/>
      <c r="AA137"/>
      <c r="AB137"/>
      <c r="AC137">
        <v>100.1</v>
      </c>
      <c r="AD137"/>
      <c r="AE137"/>
      <c r="AF137"/>
      <c r="AG137"/>
      <c r="AH137">
        <v>8</v>
      </c>
      <c r="AI137"/>
      <c r="AJ137"/>
      <c r="AK137"/>
      <c r="AL137"/>
      <c r="AM137"/>
      <c r="AN137"/>
      <c r="AO137"/>
      <c r="AP137"/>
      <c r="AQ137"/>
      <c r="AR137"/>
      <c r="AS137"/>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is>
          <t>☆</t>
        </is>
      </c>
      <c r="BR137"/>
      <c r="BS137" t="inlineStr">
        <is>
          <t>#VALUE!</t>
        </is>
      </c>
    </row>
    <row r="138" ht="25.5" customHeight="1">
      <c r="A138" t="inlineStr">
        <is>
          <t>ES</t>
        </is>
      </c>
      <c r="B138" t="inlineStr">
        <is>
          <t>R0001EU</t>
        </is>
      </c>
      <c r="C138"/>
      <c r="D138" t="inlineStr">
        <is>
          <t>手持吸尘器（coupon-15%）</t>
        </is>
      </c>
      <c r="E138">
        <v>24</v>
      </c>
      <c r="F138">
        <v>34.99</v>
      </c>
      <c r="G138"/>
      <c r="H138"/>
      <c r="I138"/>
      <c r="J138"/>
      <c r="K138"/>
      <c r="L138"/>
      <c r="M138"/>
      <c r="N138"/>
      <c r="O138"/>
      <c r="P138">
        <v>20</v>
      </c>
      <c r="Q138">
        <v>8</v>
      </c>
      <c r="R138"/>
      <c r="S138"/>
      <c r="T138"/>
      <c r="U138">
        <v>0.01</v>
      </c>
      <c r="V138"/>
      <c r="W138"/>
      <c r="X138">
        <v>0.188</v>
      </c>
      <c r="Y138">
        <v>2</v>
      </c>
      <c r="Z138"/>
      <c r="AA138"/>
      <c r="AB138"/>
      <c r="AC138">
        <v>100.1</v>
      </c>
      <c r="AD138"/>
      <c r="AE138"/>
      <c r="AF138"/>
      <c r="AG138"/>
      <c r="AH138">
        <v>8</v>
      </c>
      <c r="AI138"/>
      <c r="AJ138"/>
      <c r="AK138"/>
      <c r="AL138"/>
      <c r="AM138"/>
      <c r="AN138"/>
      <c r="AO138"/>
      <c r="AP138"/>
      <c r="AQ138"/>
      <c r="AR138"/>
      <c r="AS138"/>
      <c r="AT138" t="inlineStr">
        <is>
          <t>☆</t>
        </is>
      </c>
      <c r="AU138" t="inlineStr">
        <is>
          <t>☆</t>
        </is>
      </c>
      <c r="AV138" t="inlineStr">
        <is>
          <t>☆</t>
        </is>
      </c>
      <c r="AW138" t="inlineStr">
        <is>
          <t>☆</t>
        </is>
      </c>
      <c r="AX138" t="inlineStr">
        <is>
          <t>☆</t>
        </is>
      </c>
      <c r="AY138" t="inlineStr">
        <is>
          <t>☆</t>
        </is>
      </c>
      <c r="AZ138" t="inlineStr">
        <is>
          <t>☆</t>
        </is>
      </c>
      <c r="BA138" t="inlineStr">
        <is>
          <t>☆</t>
        </is>
      </c>
      <c r="BB138" t="inlineStr">
        <is>
          <t>☆</t>
        </is>
      </c>
      <c r="BC138" t="inlineStr">
        <is>
          <t>☆</t>
        </is>
      </c>
      <c r="BD138" t="inlineStr">
        <is>
          <t>☆</t>
        </is>
      </c>
      <c r="BE138" t="inlineStr">
        <is>
          <t>☆</t>
        </is>
      </c>
      <c r="BF138" t="inlineStr">
        <is>
          <t>☆</t>
        </is>
      </c>
      <c r="BG138" t="inlineStr">
        <is>
          <t>☆</t>
        </is>
      </c>
      <c r="BH138" t="inlineStr">
        <is>
          <t>☆</t>
        </is>
      </c>
      <c r="BI138" t="inlineStr">
        <is>
          <t>☆</t>
        </is>
      </c>
      <c r="BJ138" t="inlineStr">
        <is>
          <t>☆</t>
        </is>
      </c>
      <c r="BK138" t="inlineStr">
        <is>
          <t>☆</t>
        </is>
      </c>
      <c r="BL138" t="inlineStr">
        <is>
          <t>☆</t>
        </is>
      </c>
      <c r="BM138" t="inlineStr">
        <is>
          <t>☆</t>
        </is>
      </c>
      <c r="BN138" t="inlineStr">
        <is>
          <t>☆</t>
        </is>
      </c>
      <c r="BO138" t="inlineStr">
        <is>
          <t>☆</t>
        </is>
      </c>
      <c r="BP138" t="inlineStr">
        <is>
          <t>☆</t>
        </is>
      </c>
      <c r="BQ138" t="inlineStr">
        <is>
          <t>☆</t>
        </is>
      </c>
      <c r="BR138"/>
      <c r="BS138" t="inlineStr">
        <is>
          <t>#VALUE!</t>
        </is>
      </c>
    </row>
    <row r="139" ht="25.5" customHeight="1">
      <c r="A139" t="inlineStr">
        <is>
          <t>NL</t>
        </is>
      </c>
      <c r="B139" t="inlineStr">
        <is>
          <t>R0001EU</t>
        </is>
      </c>
      <c r="C139"/>
      <c r="D139" t="inlineStr">
        <is>
          <t>手持吸尘器荷兰</t>
        </is>
      </c>
      <c r="E139">
        <v>37.8</v>
      </c>
      <c r="F139">
        <v>54.99</v>
      </c>
      <c r="G139"/>
      <c r="H139"/>
      <c r="I139"/>
      <c r="J139"/>
      <c r="K139"/>
      <c r="L139"/>
      <c r="M139"/>
      <c r="N139"/>
      <c r="O139"/>
      <c r="P139">
        <v>20</v>
      </c>
      <c r="Q139">
        <v>8</v>
      </c>
      <c r="R139"/>
      <c r="S139"/>
      <c r="T139"/>
      <c r="U139">
        <v>0.01</v>
      </c>
      <c r="V139"/>
      <c r="W139"/>
      <c r="X139">
        <v>0.188</v>
      </c>
      <c r="Y139">
        <v>0</v>
      </c>
      <c r="Z139"/>
      <c r="AA139"/>
      <c r="AB139"/>
      <c r="AC139">
        <v>100.1</v>
      </c>
      <c r="AD139"/>
      <c r="AE139"/>
      <c r="AF139"/>
      <c r="AG139"/>
      <c r="AH139">
        <v>8</v>
      </c>
      <c r="AI139"/>
      <c r="AJ139"/>
      <c r="AK139"/>
      <c r="AL139"/>
      <c r="AM139"/>
      <c r="AN139"/>
      <c r="AO139"/>
      <c r="AP139"/>
      <c r="AQ139"/>
      <c r="AR139"/>
      <c r="AS139"/>
      <c r="AT139" t="inlineStr">
        <is>
          <t>☆</t>
        </is>
      </c>
      <c r="AU139" t="inlineStr">
        <is>
          <t>☆</t>
        </is>
      </c>
      <c r="AV139" t="inlineStr">
        <is>
          <t>☆</t>
        </is>
      </c>
      <c r="AW139" t="inlineStr">
        <is>
          <t>☆</t>
        </is>
      </c>
      <c r="AX139" t="inlineStr">
        <is>
          <t>☆</t>
        </is>
      </c>
      <c r="AY139" t="inlineStr">
        <is>
          <t>☆</t>
        </is>
      </c>
      <c r="AZ139" t="inlineStr">
        <is>
          <t>☆</t>
        </is>
      </c>
      <c r="BA139" t="inlineStr">
        <is>
          <t>☆</t>
        </is>
      </c>
      <c r="BB139" t="inlineStr">
        <is>
          <t>☆</t>
        </is>
      </c>
      <c r="BC139" t="inlineStr">
        <is>
          <t>☆</t>
        </is>
      </c>
      <c r="BD139" t="inlineStr">
        <is>
          <t>☆</t>
        </is>
      </c>
      <c r="BE139" t="inlineStr">
        <is>
          <t>☆</t>
        </is>
      </c>
      <c r="BF139" t="inlineStr">
        <is>
          <t>☆</t>
        </is>
      </c>
      <c r="BG139" t="inlineStr">
        <is>
          <t>☆</t>
        </is>
      </c>
      <c r="BH139" t="inlineStr">
        <is>
          <t>☆</t>
        </is>
      </c>
      <c r="BI139" t="inlineStr">
        <is>
          <t>☆</t>
        </is>
      </c>
      <c r="BJ139" t="inlineStr">
        <is>
          <t>☆</t>
        </is>
      </c>
      <c r="BK139" t="inlineStr">
        <is>
          <t>☆</t>
        </is>
      </c>
      <c r="BL139" t="inlineStr">
        <is>
          <t>☆</t>
        </is>
      </c>
      <c r="BM139" t="inlineStr">
        <is>
          <t>☆</t>
        </is>
      </c>
      <c r="BN139" t="inlineStr">
        <is>
          <t>☆</t>
        </is>
      </c>
      <c r="BO139" t="inlineStr">
        <is>
          <t>☆</t>
        </is>
      </c>
      <c r="BP139" t="inlineStr">
        <is>
          <t>☆</t>
        </is>
      </c>
      <c r="BQ139" t="inlineStr">
        <is>
          <t>☆</t>
        </is>
      </c>
      <c r="BR139"/>
      <c r="BS139" t="inlineStr">
        <is>
          <t>#VALUE!</t>
        </is>
      </c>
    </row>
    <row r="140" ht="25.5" customHeight="1">
      <c r="A140" t="inlineStr">
        <is>
          <t>PL</t>
        </is>
      </c>
      <c r="B140" t="inlineStr">
        <is>
          <t>R0001EU</t>
        </is>
      </c>
      <c r="C140"/>
      <c r="D140" t="inlineStr">
        <is>
          <t>手持吸尘器波兰</t>
        </is>
      </c>
      <c r="E140">
        <v>37.8</v>
      </c>
      <c r="F140">
        <v>54.99</v>
      </c>
      <c r="G140"/>
      <c r="H140"/>
      <c r="I140"/>
      <c r="J140"/>
      <c r="K140"/>
      <c r="L140"/>
      <c r="M140"/>
      <c r="N140"/>
      <c r="O140"/>
      <c r="P140">
        <v>20</v>
      </c>
      <c r="Q140">
        <v>8</v>
      </c>
      <c r="R140"/>
      <c r="S140"/>
      <c r="T140"/>
      <c r="U140">
        <v>0.01</v>
      </c>
      <c r="V140"/>
      <c r="W140"/>
      <c r="X140">
        <v>0.188</v>
      </c>
      <c r="Y140">
        <v>0</v>
      </c>
      <c r="Z140"/>
      <c r="AA140"/>
      <c r="AB140"/>
      <c r="AC140">
        <v>100.1</v>
      </c>
      <c r="AD140"/>
      <c r="AE140"/>
      <c r="AF140"/>
      <c r="AG140"/>
      <c r="AH140">
        <v>8</v>
      </c>
      <c r="AI140"/>
      <c r="AJ140"/>
      <c r="AK140"/>
      <c r="AL140"/>
      <c r="AM140"/>
      <c r="AN140"/>
      <c r="AO140"/>
      <c r="AP140"/>
      <c r="AQ140"/>
      <c r="AR140"/>
      <c r="AS140"/>
      <c r="AT140" t="inlineStr">
        <is>
          <t>☆</t>
        </is>
      </c>
      <c r="AU140" t="inlineStr">
        <is>
          <t>☆</t>
        </is>
      </c>
      <c r="AV140" t="inlineStr">
        <is>
          <t>☆</t>
        </is>
      </c>
      <c r="AW140" t="inlineStr">
        <is>
          <t>☆</t>
        </is>
      </c>
      <c r="AX140" t="inlineStr">
        <is>
          <t>☆</t>
        </is>
      </c>
      <c r="AY140" t="inlineStr">
        <is>
          <t>☆</t>
        </is>
      </c>
      <c r="AZ140" t="inlineStr">
        <is>
          <t>☆</t>
        </is>
      </c>
      <c r="BA140" t="inlineStr">
        <is>
          <t>☆</t>
        </is>
      </c>
      <c r="BB140" t="inlineStr">
        <is>
          <t>☆</t>
        </is>
      </c>
      <c r="BC140" t="inlineStr">
        <is>
          <t>☆</t>
        </is>
      </c>
      <c r="BD140" t="inlineStr">
        <is>
          <t>☆</t>
        </is>
      </c>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t>
        </is>
      </c>
      <c r="BR140"/>
      <c r="BS140" t="inlineStr">
        <is>
          <t>#VALUE!</t>
        </is>
      </c>
    </row>
    <row r="141" ht="25.5" customHeight="1">
      <c r="A141" t="inlineStr">
        <is>
          <t>SE</t>
        </is>
      </c>
      <c r="B141" t="inlineStr">
        <is>
          <t>R0001EU</t>
        </is>
      </c>
      <c r="C141"/>
      <c r="D141" t="inlineStr">
        <is>
          <t>手持吸尘器瑞典</t>
        </is>
      </c>
      <c r="E141">
        <v>37.8</v>
      </c>
      <c r="F141">
        <v>54.99</v>
      </c>
      <c r="G141"/>
      <c r="H141"/>
      <c r="I141"/>
      <c r="J141"/>
      <c r="K141"/>
      <c r="L141"/>
      <c r="M141"/>
      <c r="N141"/>
      <c r="O141"/>
      <c r="P141">
        <v>20</v>
      </c>
      <c r="Q141">
        <v>8</v>
      </c>
      <c r="R141"/>
      <c r="S141"/>
      <c r="T141"/>
      <c r="U141">
        <v>0.01</v>
      </c>
      <c r="V141"/>
      <c r="W141"/>
      <c r="X141">
        <v>0.188</v>
      </c>
      <c r="Y141">
        <v>0</v>
      </c>
      <c r="Z141"/>
      <c r="AA141"/>
      <c r="AB141"/>
      <c r="AC141">
        <v>100.1</v>
      </c>
      <c r="AD141"/>
      <c r="AE141"/>
      <c r="AF141"/>
      <c r="AG141"/>
      <c r="AH141">
        <v>8</v>
      </c>
      <c r="AI141"/>
      <c r="AJ141"/>
      <c r="AK141"/>
      <c r="AL141"/>
      <c r="AM141"/>
      <c r="AN141"/>
      <c r="AO141"/>
      <c r="AP141"/>
      <c r="AQ141"/>
      <c r="AR141"/>
      <c r="AS141"/>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c r="BS141" t="inlineStr">
        <is>
          <t>#VALUE!</t>
        </is>
      </c>
    </row>
    <row r="142" ht="25.5" customHeight="1">
      <c r="A142" t="inlineStr">
        <is>
          <t>BE</t>
        </is>
      </c>
      <c r="B142" t="inlineStr">
        <is>
          <t>R0001EU</t>
        </is>
      </c>
      <c r="C142"/>
      <c r="D142" t="inlineStr">
        <is>
          <t>手持吸尘器比利时</t>
        </is>
      </c>
      <c r="E142">
        <v>37.8</v>
      </c>
      <c r="F142">
        <v>54.99</v>
      </c>
      <c r="G142"/>
      <c r="H142"/>
      <c r="I142"/>
      <c r="J142"/>
      <c r="K142"/>
      <c r="L142"/>
      <c r="M142"/>
      <c r="N142"/>
      <c r="O142"/>
      <c r="P142">
        <v>20</v>
      </c>
      <c r="Q142">
        <v>8</v>
      </c>
      <c r="R142"/>
      <c r="S142"/>
      <c r="T142"/>
      <c r="U142">
        <v>0.01</v>
      </c>
      <c r="V142"/>
      <c r="W142"/>
      <c r="X142">
        <v>0.188</v>
      </c>
      <c r="Y142">
        <v>0</v>
      </c>
      <c r="Z142"/>
      <c r="AA142"/>
      <c r="AB142"/>
      <c r="AC142">
        <v>100.1</v>
      </c>
      <c r="AD142"/>
      <c r="AE142"/>
      <c r="AF142"/>
      <c r="AG142"/>
      <c r="AH142">
        <v>8</v>
      </c>
      <c r="AI142"/>
      <c r="AJ142"/>
      <c r="AK142"/>
      <c r="AL142"/>
      <c r="AM142"/>
      <c r="AN142"/>
      <c r="AO142"/>
      <c r="AP142"/>
      <c r="AQ142"/>
      <c r="AR142"/>
      <c r="AS142"/>
      <c r="AT142" t="inlineStr">
        <is>
          <t>☆</t>
        </is>
      </c>
      <c r="AU142" t="inlineStr">
        <is>
          <t>☆</t>
        </is>
      </c>
      <c r="AV142" t="inlineStr">
        <is>
          <t>☆</t>
        </is>
      </c>
      <c r="AW142" t="inlineStr">
        <is>
          <t>☆</t>
        </is>
      </c>
      <c r="AX142" t="inlineStr">
        <is>
          <t>☆</t>
        </is>
      </c>
      <c r="AY142" t="inlineStr">
        <is>
          <t>☆</t>
        </is>
      </c>
      <c r="AZ142" t="inlineStr">
        <is>
          <t>☆</t>
        </is>
      </c>
      <c r="BA142" t="inlineStr">
        <is>
          <t>☆</t>
        </is>
      </c>
      <c r="BB142" t="inlineStr">
        <is>
          <t>☆</t>
        </is>
      </c>
      <c r="BC142" t="inlineStr">
        <is>
          <t>☆</t>
        </is>
      </c>
      <c r="BD142" t="inlineStr">
        <is>
          <t>☆</t>
        </is>
      </c>
      <c r="BE142" t="inlineStr">
        <is>
          <t>☆</t>
        </is>
      </c>
      <c r="BF142" t="inlineStr">
        <is>
          <t>☆</t>
        </is>
      </c>
      <c r="BG142" t="inlineStr">
        <is>
          <t>☆</t>
        </is>
      </c>
      <c r="BH142" t="inlineStr">
        <is>
          <t>☆</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c r="BS142" t="inlineStr">
        <is>
          <t>#VALUE!</t>
        </is>
      </c>
    </row>
    <row r="143" ht="25.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row>
    <row r="144" ht="25.5" customHeight="1">
      <c r="A144" t="inlineStr">
        <is>
          <t>UK</t>
        </is>
      </c>
      <c r="B144" t="inlineStr">
        <is>
          <t>R0001EU</t>
        </is>
      </c>
      <c r="C144"/>
      <c r="D144" t="inlineStr">
        <is>
          <t>气泵（coupon-0%）</t>
        </is>
      </c>
      <c r="E144">
        <v>51.5</v>
      </c>
      <c r="F144">
        <v>74.99</v>
      </c>
      <c r="G144"/>
      <c r="H144"/>
      <c r="I144"/>
      <c r="J144"/>
      <c r="K144"/>
      <c r="L144"/>
      <c r="M144"/>
      <c r="N144"/>
      <c r="O144"/>
      <c r="P144">
        <v>12</v>
      </c>
      <c r="Q144">
        <v>9</v>
      </c>
      <c r="R144"/>
      <c r="S144"/>
      <c r="T144"/>
      <c r="U144">
        <v>0.01</v>
      </c>
      <c r="V144"/>
      <c r="W144"/>
      <c r="X144">
        <v>0.178</v>
      </c>
      <c r="Y144">
        <v>8</v>
      </c>
      <c r="Z144">
        <v>0</v>
      </c>
      <c r="AA144"/>
      <c r="AB144"/>
      <c r="AC144">
        <v>208</v>
      </c>
      <c r="AD144"/>
      <c r="AE144"/>
      <c r="AF144"/>
      <c r="AG144"/>
      <c r="AH144">
        <v>18</v>
      </c>
      <c r="AI144"/>
      <c r="AJ144"/>
      <c r="AK144"/>
      <c r="AL144"/>
      <c r="AM144"/>
      <c r="AN144"/>
      <c r="AO144"/>
      <c r="AP144"/>
      <c r="AQ144"/>
      <c r="AR144"/>
      <c r="AS144"/>
      <c r="AT144" t="inlineStr">
        <is>
          <t>☆</t>
        </is>
      </c>
      <c r="AU144" t="inlineStr">
        <is>
          <t>☆</t>
        </is>
      </c>
      <c r="AV144" t="inlineStr">
        <is>
          <t>☆</t>
        </is>
      </c>
      <c r="AW144" t="inlineStr">
        <is>
          <t>☆</t>
        </is>
      </c>
      <c r="AX144" t="inlineStr">
        <is>
          <t>☆</t>
        </is>
      </c>
      <c r="AY144" t="inlineStr">
        <is>
          <t>☆</t>
        </is>
      </c>
      <c r="AZ144" t="inlineStr">
        <is>
          <t>☆</t>
        </is>
      </c>
      <c r="BA144" t="inlineStr">
        <is>
          <t>☆</t>
        </is>
      </c>
      <c r="BB144" t="inlineStr">
        <is>
          <t>☆</t>
        </is>
      </c>
      <c r="BC144" t="inlineStr">
        <is>
          <t>☆</t>
        </is>
      </c>
      <c r="BD144" t="inlineStr">
        <is>
          <t>☆</t>
        </is>
      </c>
      <c r="BE144" t="inlineStr">
        <is>
          <t>☆</t>
        </is>
      </c>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t>
        </is>
      </c>
      <c r="BQ144" t="inlineStr">
        <is>
          <t>☆</t>
        </is>
      </c>
      <c r="BR144"/>
      <c r="BS144" t="inlineStr">
        <is>
          <t>#VALUE!</t>
        </is>
      </c>
    </row>
    <row r="145" ht="25.5" customHeight="1">
      <c r="A145" t="inlineStr">
        <is>
          <t>UK</t>
        </is>
      </c>
      <c r="B145" t="inlineStr">
        <is>
          <t>R0001EU</t>
        </is>
      </c>
      <c r="C145"/>
      <c r="D145" t="inlineStr">
        <is>
          <t>气泵（coupon-10%）</t>
        </is>
      </c>
      <c r="E145">
        <v>51.5</v>
      </c>
      <c r="F145">
        <v>74.99</v>
      </c>
      <c r="G145"/>
      <c r="H145"/>
      <c r="I145"/>
      <c r="J145"/>
      <c r="K145"/>
      <c r="L145"/>
      <c r="M145"/>
      <c r="N145"/>
      <c r="O145"/>
      <c r="P145">
        <v>12</v>
      </c>
      <c r="Q145">
        <v>9</v>
      </c>
      <c r="R145"/>
      <c r="S145"/>
      <c r="T145"/>
      <c r="U145">
        <v>0.01</v>
      </c>
      <c r="V145"/>
      <c r="W145"/>
      <c r="X145">
        <v>0.178</v>
      </c>
      <c r="Y145">
        <v>8</v>
      </c>
      <c r="Z145"/>
      <c r="AA145"/>
      <c r="AB145"/>
      <c r="AC145">
        <v>208</v>
      </c>
      <c r="AD145"/>
      <c r="AE145"/>
      <c r="AF145"/>
      <c r="AG145"/>
      <c r="AH145">
        <v>18</v>
      </c>
      <c r="AI145"/>
      <c r="AJ145"/>
      <c r="AK145"/>
      <c r="AL145"/>
      <c r="AM145"/>
      <c r="AN145"/>
      <c r="AO145"/>
      <c r="AP145"/>
      <c r="AQ145"/>
      <c r="AR145"/>
      <c r="AS145"/>
      <c r="AT145" t="inlineStr">
        <is>
          <t>☆</t>
        </is>
      </c>
      <c r="AU145" t="inlineStr">
        <is>
          <t>☆</t>
        </is>
      </c>
      <c r="AV145" t="inlineStr">
        <is>
          <t>☆</t>
        </is>
      </c>
      <c r="AW145" t="inlineStr">
        <is>
          <t>☆</t>
        </is>
      </c>
      <c r="AX145" t="inlineStr">
        <is>
          <t>☆</t>
        </is>
      </c>
      <c r="AY145" t="inlineStr">
        <is>
          <t>☆</t>
        </is>
      </c>
      <c r="AZ145" t="inlineStr">
        <is>
          <t>☆</t>
        </is>
      </c>
      <c r="BA145" t="inlineStr">
        <is>
          <t>☆</t>
        </is>
      </c>
      <c r="BB145" t="inlineStr">
        <is>
          <t>☆</t>
        </is>
      </c>
      <c r="BC145" t="inlineStr">
        <is>
          <t>☆</t>
        </is>
      </c>
      <c r="BD145" t="inlineStr">
        <is>
          <t>☆</t>
        </is>
      </c>
      <c r="BE145" t="inlineStr">
        <is>
          <t>☆</t>
        </is>
      </c>
      <c r="BF145" t="inlineStr">
        <is>
          <t>☆</t>
        </is>
      </c>
      <c r="BG145" t="inlineStr">
        <is>
          <t>☆</t>
        </is>
      </c>
      <c r="BH145" t="inlineStr">
        <is>
          <t>☆</t>
        </is>
      </c>
      <c r="BI145" t="inlineStr">
        <is>
          <t>☆</t>
        </is>
      </c>
      <c r="BJ145" t="inlineStr">
        <is>
          <t>☆</t>
        </is>
      </c>
      <c r="BK145" t="inlineStr">
        <is>
          <t>☆</t>
        </is>
      </c>
      <c r="BL145" t="inlineStr">
        <is>
          <t>☆</t>
        </is>
      </c>
      <c r="BM145" t="inlineStr">
        <is>
          <t>☆</t>
        </is>
      </c>
      <c r="BN145" t="inlineStr">
        <is>
          <t>☆</t>
        </is>
      </c>
      <c r="BO145" t="inlineStr">
        <is>
          <t>☆</t>
        </is>
      </c>
      <c r="BP145" t="inlineStr">
        <is>
          <t>☆</t>
        </is>
      </c>
      <c r="BQ145" t="inlineStr">
        <is>
          <t>☆</t>
        </is>
      </c>
      <c r="BR145"/>
      <c r="BS145" t="inlineStr">
        <is>
          <t>#VALUE!</t>
        </is>
      </c>
    </row>
    <row r="146" ht="25.5" customHeight="1">
      <c r="A146" t="inlineStr">
        <is>
          <t>UK</t>
        </is>
      </c>
      <c r="B146" t="inlineStr">
        <is>
          <t>R0001EU</t>
        </is>
      </c>
      <c r="C146"/>
      <c r="D146" t="inlineStr">
        <is>
          <t>气泵（coupon-15%）</t>
        </is>
      </c>
      <c r="E146">
        <v>51.5</v>
      </c>
      <c r="F146">
        <v>74.99</v>
      </c>
      <c r="G146"/>
      <c r="H146"/>
      <c r="I146"/>
      <c r="J146"/>
      <c r="K146"/>
      <c r="L146"/>
      <c r="M146"/>
      <c r="N146"/>
      <c r="O146"/>
      <c r="P146">
        <v>12</v>
      </c>
      <c r="Q146">
        <v>9</v>
      </c>
      <c r="R146"/>
      <c r="S146"/>
      <c r="T146"/>
      <c r="U146">
        <v>0.01</v>
      </c>
      <c r="V146"/>
      <c r="W146"/>
      <c r="X146">
        <v>0.178</v>
      </c>
      <c r="Y146">
        <v>8</v>
      </c>
      <c r="Z146"/>
      <c r="AA146"/>
      <c r="AB146"/>
      <c r="AC146">
        <v>208</v>
      </c>
      <c r="AD146"/>
      <c r="AE146"/>
      <c r="AF146"/>
      <c r="AG146"/>
      <c r="AH146">
        <v>18</v>
      </c>
      <c r="AI146"/>
      <c r="AJ146"/>
      <c r="AK146"/>
      <c r="AL146"/>
      <c r="AM146"/>
      <c r="AN146"/>
      <c r="AO146"/>
      <c r="AP146"/>
      <c r="AQ146"/>
      <c r="AR146"/>
      <c r="AS146"/>
      <c r="AT146" t="inlineStr">
        <is>
          <t>☆</t>
        </is>
      </c>
      <c r="AU146" t="inlineStr">
        <is>
          <t>☆</t>
        </is>
      </c>
      <c r="AV146" t="inlineStr">
        <is>
          <t>☆</t>
        </is>
      </c>
      <c r="AW146" t="inlineStr">
        <is>
          <t>☆</t>
        </is>
      </c>
      <c r="AX146" t="inlineStr">
        <is>
          <t>☆</t>
        </is>
      </c>
      <c r="AY146" t="inlineStr">
        <is>
          <t>☆</t>
        </is>
      </c>
      <c r="AZ146" t="inlineStr">
        <is>
          <t>☆</t>
        </is>
      </c>
      <c r="BA146" t="inlineStr">
        <is>
          <t>☆</t>
        </is>
      </c>
      <c r="BB146" t="inlineStr">
        <is>
          <t>☆</t>
        </is>
      </c>
      <c r="BC146" t="inlineStr">
        <is>
          <t>☆</t>
        </is>
      </c>
      <c r="BD146" t="inlineStr">
        <is>
          <t>☆</t>
        </is>
      </c>
      <c r="BE146" t="inlineStr">
        <is>
          <t>☆</t>
        </is>
      </c>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t>
        </is>
      </c>
      <c r="BQ146" t="inlineStr">
        <is>
          <t>☆</t>
        </is>
      </c>
      <c r="BR146"/>
      <c r="BS146" t="inlineStr">
        <is>
          <t>#VALUE!</t>
        </is>
      </c>
    </row>
    <row r="147" ht="25.5" customHeight="1">
      <c r="A147" t="inlineStr">
        <is>
          <t>DE</t>
        </is>
      </c>
      <c r="B147" t="inlineStr">
        <is>
          <t>R0001EU</t>
        </is>
      </c>
      <c r="C147"/>
      <c r="D147" t="inlineStr">
        <is>
          <t>气泵（coupon-0%）</t>
        </is>
      </c>
      <c r="E147">
        <v>56.5</v>
      </c>
      <c r="F147">
        <v>81.99</v>
      </c>
      <c r="G147"/>
      <c r="H147"/>
      <c r="I147"/>
      <c r="J147"/>
      <c r="K147"/>
      <c r="L147"/>
      <c r="M147"/>
      <c r="N147"/>
      <c r="O147"/>
      <c r="P147">
        <v>12</v>
      </c>
      <c r="Q147">
        <v>8</v>
      </c>
      <c r="R147"/>
      <c r="S147"/>
      <c r="T147"/>
      <c r="U147">
        <v>0.01</v>
      </c>
      <c r="V147"/>
      <c r="W147"/>
      <c r="X147">
        <v>0.188</v>
      </c>
      <c r="Y147">
        <v>8</v>
      </c>
      <c r="Z147">
        <v>0</v>
      </c>
      <c r="AA147"/>
      <c r="AB147"/>
      <c r="AC147">
        <v>208</v>
      </c>
      <c r="AD147"/>
      <c r="AE147"/>
      <c r="AF147"/>
      <c r="AG147"/>
      <c r="AH147">
        <v>13</v>
      </c>
      <c r="AI147"/>
      <c r="AJ147"/>
      <c r="AK147"/>
      <c r="AL147"/>
      <c r="AM147"/>
      <c r="AN147"/>
      <c r="AO147"/>
      <c r="AP147"/>
      <c r="AQ147"/>
      <c r="AR147"/>
      <c r="AS147"/>
      <c r="AT147" t="inlineStr">
        <is>
          <t>☆</t>
        </is>
      </c>
      <c r="AU147" t="inlineStr">
        <is>
          <t>☆</t>
        </is>
      </c>
      <c r="AV147" t="inlineStr">
        <is>
          <t>☆</t>
        </is>
      </c>
      <c r="AW147" t="inlineStr">
        <is>
          <t>☆</t>
        </is>
      </c>
      <c r="AX147" t="inlineStr">
        <is>
          <t>☆</t>
        </is>
      </c>
      <c r="AY147" t="inlineStr">
        <is>
          <t>☆</t>
        </is>
      </c>
      <c r="AZ147" t="inlineStr">
        <is>
          <t>☆</t>
        </is>
      </c>
      <c r="BA147" t="inlineStr">
        <is>
          <t>☆</t>
        </is>
      </c>
      <c r="BB147" t="inlineStr">
        <is>
          <t>☆</t>
        </is>
      </c>
      <c r="BC147" t="inlineStr">
        <is>
          <t>☆</t>
        </is>
      </c>
      <c r="BD147" t="inlineStr">
        <is>
          <t>☆</t>
        </is>
      </c>
      <c r="BE147" t="inlineStr">
        <is>
          <t>☆</t>
        </is>
      </c>
      <c r="BF147" t="inlineStr">
        <is>
          <t>☆</t>
        </is>
      </c>
      <c r="BG147" t="inlineStr">
        <is>
          <t>☆</t>
        </is>
      </c>
      <c r="BH147" t="inlineStr">
        <is>
          <t>☆</t>
        </is>
      </c>
      <c r="BI147" t="inlineStr">
        <is>
          <t>☆</t>
        </is>
      </c>
      <c r="BJ147" t="inlineStr">
        <is>
          <t>☆</t>
        </is>
      </c>
      <c r="BK147" t="inlineStr">
        <is>
          <t>☆</t>
        </is>
      </c>
      <c r="BL147" t="inlineStr">
        <is>
          <t>☆</t>
        </is>
      </c>
      <c r="BM147" t="inlineStr">
        <is>
          <t>☆</t>
        </is>
      </c>
      <c r="BN147" t="inlineStr">
        <is>
          <t>☆</t>
        </is>
      </c>
      <c r="BO147" t="inlineStr">
        <is>
          <t>☆</t>
        </is>
      </c>
      <c r="BP147" t="inlineStr">
        <is>
          <t>☆</t>
        </is>
      </c>
      <c r="BQ147" t="inlineStr">
        <is>
          <t>☆</t>
        </is>
      </c>
      <c r="BR147"/>
      <c r="BS147" t="inlineStr">
        <is>
          <t>#VALUE!</t>
        </is>
      </c>
    </row>
    <row r="148" ht="25.5" customHeight="1">
      <c r="A148" t="inlineStr">
        <is>
          <t>DE</t>
        </is>
      </c>
      <c r="B148" t="inlineStr">
        <is>
          <t>R0001EU</t>
        </is>
      </c>
      <c r="C148"/>
      <c r="D148" t="inlineStr">
        <is>
          <t>气泵（coupon-10%）</t>
        </is>
      </c>
      <c r="E148">
        <v>56.5</v>
      </c>
      <c r="F148">
        <v>81.99</v>
      </c>
      <c r="G148"/>
      <c r="H148"/>
      <c r="I148"/>
      <c r="J148"/>
      <c r="K148"/>
      <c r="L148"/>
      <c r="M148"/>
      <c r="N148"/>
      <c r="O148"/>
      <c r="P148">
        <v>12</v>
      </c>
      <c r="Q148">
        <v>8</v>
      </c>
      <c r="R148"/>
      <c r="S148"/>
      <c r="T148"/>
      <c r="U148">
        <v>0.01</v>
      </c>
      <c r="V148"/>
      <c r="W148"/>
      <c r="X148">
        <v>0.188</v>
      </c>
      <c r="Y148">
        <v>8</v>
      </c>
      <c r="Z148"/>
      <c r="AA148"/>
      <c r="AB148"/>
      <c r="AC148">
        <v>208</v>
      </c>
      <c r="AD148"/>
      <c r="AE148"/>
      <c r="AF148"/>
      <c r="AG148"/>
      <c r="AH148">
        <v>13</v>
      </c>
      <c r="AI148"/>
      <c r="AJ148"/>
      <c r="AK148"/>
      <c r="AL148"/>
      <c r="AM148"/>
      <c r="AN148"/>
      <c r="AO148"/>
      <c r="AP148"/>
      <c r="AQ148"/>
      <c r="AR148"/>
      <c r="AS148"/>
      <c r="AT148" t="inlineStr">
        <is>
          <t>☆</t>
        </is>
      </c>
      <c r="AU148" t="inlineStr">
        <is>
          <t>☆</t>
        </is>
      </c>
      <c r="AV148" t="inlineStr">
        <is>
          <t>☆</t>
        </is>
      </c>
      <c r="AW148" t="inlineStr">
        <is>
          <t>☆</t>
        </is>
      </c>
      <c r="AX148" t="inlineStr">
        <is>
          <t>☆</t>
        </is>
      </c>
      <c r="AY148" t="inlineStr">
        <is>
          <t>☆</t>
        </is>
      </c>
      <c r="AZ148" t="inlineStr">
        <is>
          <t>☆</t>
        </is>
      </c>
      <c r="BA148" t="inlineStr">
        <is>
          <t>☆</t>
        </is>
      </c>
      <c r="BB148" t="inlineStr">
        <is>
          <t>☆</t>
        </is>
      </c>
      <c r="BC148" t="inlineStr">
        <is>
          <t>☆</t>
        </is>
      </c>
      <c r="BD148" t="inlineStr">
        <is>
          <t>☆</t>
        </is>
      </c>
      <c r="BE148" t="inlineStr">
        <is>
          <t>☆</t>
        </is>
      </c>
      <c r="BF148" t="inlineStr">
        <is>
          <t>☆</t>
        </is>
      </c>
      <c r="BG148" t="inlineStr">
        <is>
          <t>☆</t>
        </is>
      </c>
      <c r="BH148" t="inlineStr">
        <is>
          <t>☆</t>
        </is>
      </c>
      <c r="BI148" t="inlineStr">
        <is>
          <t>☆</t>
        </is>
      </c>
      <c r="BJ148" t="inlineStr">
        <is>
          <t>☆</t>
        </is>
      </c>
      <c r="BK148" t="inlineStr">
        <is>
          <t>☆</t>
        </is>
      </c>
      <c r="BL148" t="inlineStr">
        <is>
          <t>☆</t>
        </is>
      </c>
      <c r="BM148" t="inlineStr">
        <is>
          <t>☆</t>
        </is>
      </c>
      <c r="BN148" t="inlineStr">
        <is>
          <t>☆</t>
        </is>
      </c>
      <c r="BO148" t="inlineStr">
        <is>
          <t>☆</t>
        </is>
      </c>
      <c r="BP148" t="inlineStr">
        <is>
          <t>☆</t>
        </is>
      </c>
      <c r="BQ148" t="inlineStr">
        <is>
          <t>☆</t>
        </is>
      </c>
      <c r="BR148"/>
      <c r="BS148" t="inlineStr">
        <is>
          <t>#VALUE!</t>
        </is>
      </c>
    </row>
    <row r="149" ht="25.5" customHeight="1">
      <c r="A149" t="inlineStr">
        <is>
          <t>DE</t>
        </is>
      </c>
      <c r="B149" t="inlineStr">
        <is>
          <t>R0001EU</t>
        </is>
      </c>
      <c r="C149"/>
      <c r="D149" t="inlineStr">
        <is>
          <t>气泵（coupon-15%）</t>
        </is>
      </c>
      <c r="E149">
        <v>56.5</v>
      </c>
      <c r="F149">
        <v>81.99</v>
      </c>
      <c r="G149"/>
      <c r="H149"/>
      <c r="I149"/>
      <c r="J149"/>
      <c r="K149"/>
      <c r="L149"/>
      <c r="M149"/>
      <c r="N149"/>
      <c r="O149"/>
      <c r="P149">
        <v>12</v>
      </c>
      <c r="Q149">
        <v>8</v>
      </c>
      <c r="R149"/>
      <c r="S149"/>
      <c r="T149"/>
      <c r="U149">
        <v>0.01</v>
      </c>
      <c r="V149"/>
      <c r="W149"/>
      <c r="X149">
        <v>0.188</v>
      </c>
      <c r="Y149">
        <v>8</v>
      </c>
      <c r="Z149"/>
      <c r="AA149"/>
      <c r="AB149"/>
      <c r="AC149">
        <v>208</v>
      </c>
      <c r="AD149"/>
      <c r="AE149"/>
      <c r="AF149"/>
      <c r="AG149"/>
      <c r="AH149">
        <v>13</v>
      </c>
      <c r="AI149"/>
      <c r="AJ149"/>
      <c r="AK149"/>
      <c r="AL149"/>
      <c r="AM149"/>
      <c r="AN149"/>
      <c r="AO149"/>
      <c r="AP149"/>
      <c r="AQ149"/>
      <c r="AR149"/>
      <c r="AS149"/>
      <c r="AT149" t="inlineStr">
        <is>
          <t>☆</t>
        </is>
      </c>
      <c r="AU149" t="inlineStr">
        <is>
          <t>☆</t>
        </is>
      </c>
      <c r="AV149" t="inlineStr">
        <is>
          <t>☆</t>
        </is>
      </c>
      <c r="AW149" t="inlineStr">
        <is>
          <t>☆</t>
        </is>
      </c>
      <c r="AX149" t="inlineStr">
        <is>
          <t>☆</t>
        </is>
      </c>
      <c r="AY149" t="inlineStr">
        <is>
          <t>☆</t>
        </is>
      </c>
      <c r="AZ149" t="inlineStr">
        <is>
          <t>☆</t>
        </is>
      </c>
      <c r="BA149" t="inlineStr">
        <is>
          <t>☆</t>
        </is>
      </c>
      <c r="BB149" t="inlineStr">
        <is>
          <t>☆</t>
        </is>
      </c>
      <c r="BC149" t="inlineStr">
        <is>
          <t>☆</t>
        </is>
      </c>
      <c r="BD149" t="inlineStr">
        <is>
          <t>☆</t>
        </is>
      </c>
      <c r="BE149" t="inlineStr">
        <is>
          <t>☆</t>
        </is>
      </c>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is>
          <t>☆</t>
        </is>
      </c>
      <c r="BR149"/>
      <c r="BS149" t="inlineStr">
        <is>
          <t>#VALUE!</t>
        </is>
      </c>
    </row>
    <row r="150" ht="25.5" customHeight="1">
      <c r="A150" t="inlineStr">
        <is>
          <t>FR</t>
        </is>
      </c>
      <c r="B150" t="inlineStr">
        <is>
          <t>R0001EU</t>
        </is>
      </c>
      <c r="C150"/>
      <c r="D150" t="inlineStr">
        <is>
          <t>气泵（coupon-0%）</t>
        </is>
      </c>
      <c r="E150">
        <v>56.5</v>
      </c>
      <c r="F150">
        <v>81.99</v>
      </c>
      <c r="G150"/>
      <c r="H150"/>
      <c r="I150"/>
      <c r="J150"/>
      <c r="K150"/>
      <c r="L150"/>
      <c r="M150"/>
      <c r="N150"/>
      <c r="O150"/>
      <c r="P150">
        <v>12</v>
      </c>
      <c r="Q150">
        <v>8</v>
      </c>
      <c r="R150"/>
      <c r="S150"/>
      <c r="T150"/>
      <c r="U150">
        <v>0.01</v>
      </c>
      <c r="V150"/>
      <c r="W150"/>
      <c r="X150">
        <v>0.188</v>
      </c>
      <c r="Y150">
        <v>8</v>
      </c>
      <c r="Z150">
        <v>0</v>
      </c>
      <c r="AA150"/>
      <c r="AB150"/>
      <c r="AC150">
        <v>208</v>
      </c>
      <c r="AD150"/>
      <c r="AE150"/>
      <c r="AF150"/>
      <c r="AG150"/>
      <c r="AH150">
        <v>13</v>
      </c>
      <c r="AI150"/>
      <c r="AJ150"/>
      <c r="AK150"/>
      <c r="AL150"/>
      <c r="AM150"/>
      <c r="AN150"/>
      <c r="AO150"/>
      <c r="AP150"/>
      <c r="AQ150"/>
      <c r="AR150"/>
      <c r="AS150"/>
      <c r="AT150" t="inlineStr">
        <is>
          <t>☆</t>
        </is>
      </c>
      <c r="AU150" t="inlineStr">
        <is>
          <t>☆</t>
        </is>
      </c>
      <c r="AV150" t="inlineStr">
        <is>
          <t>☆</t>
        </is>
      </c>
      <c r="AW150" t="inlineStr">
        <is>
          <t>☆</t>
        </is>
      </c>
      <c r="AX150" t="inlineStr">
        <is>
          <t>☆</t>
        </is>
      </c>
      <c r="AY150" t="inlineStr">
        <is>
          <t>☆</t>
        </is>
      </c>
      <c r="AZ150" t="inlineStr">
        <is>
          <t>☆</t>
        </is>
      </c>
      <c r="BA150" t="inlineStr">
        <is>
          <t>☆</t>
        </is>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c r="BS150" t="inlineStr">
        <is>
          <t>#VALUE!</t>
        </is>
      </c>
    </row>
    <row r="151" ht="25.5" customHeight="1">
      <c r="A151" t="inlineStr">
        <is>
          <t>FR</t>
        </is>
      </c>
      <c r="B151" t="inlineStr">
        <is>
          <t>R0001EU</t>
        </is>
      </c>
      <c r="C151"/>
      <c r="D151" t="inlineStr">
        <is>
          <t>气泵（coupon-10%）</t>
        </is>
      </c>
      <c r="E151">
        <v>56.5</v>
      </c>
      <c r="F151">
        <v>81.99</v>
      </c>
      <c r="G151"/>
      <c r="H151"/>
      <c r="I151"/>
      <c r="J151"/>
      <c r="K151"/>
      <c r="L151"/>
      <c r="M151"/>
      <c r="N151"/>
      <c r="O151"/>
      <c r="P151">
        <v>12</v>
      </c>
      <c r="Q151">
        <v>8</v>
      </c>
      <c r="R151"/>
      <c r="S151"/>
      <c r="T151"/>
      <c r="U151">
        <v>0.01</v>
      </c>
      <c r="V151"/>
      <c r="W151"/>
      <c r="X151">
        <v>0.188</v>
      </c>
      <c r="Y151">
        <v>8</v>
      </c>
      <c r="Z151"/>
      <c r="AA151"/>
      <c r="AB151"/>
      <c r="AC151">
        <v>208</v>
      </c>
      <c r="AD151"/>
      <c r="AE151"/>
      <c r="AF151"/>
      <c r="AG151"/>
      <c r="AH151">
        <v>13</v>
      </c>
      <c r="AI151"/>
      <c r="AJ151"/>
      <c r="AK151"/>
      <c r="AL151"/>
      <c r="AM151"/>
      <c r="AN151"/>
      <c r="AO151"/>
      <c r="AP151"/>
      <c r="AQ151"/>
      <c r="AR151"/>
      <c r="AS151"/>
      <c r="AT151" t="inlineStr">
        <is>
          <t>☆</t>
        </is>
      </c>
      <c r="AU151" t="inlineStr">
        <is>
          <t>☆</t>
        </is>
      </c>
      <c r="AV151" t="inlineStr">
        <is>
          <t>☆</t>
        </is>
      </c>
      <c r="AW151" t="inlineStr">
        <is>
          <t>☆</t>
        </is>
      </c>
      <c r="AX151" t="inlineStr">
        <is>
          <t>☆</t>
        </is>
      </c>
      <c r="AY151" t="inlineStr">
        <is>
          <t>☆</t>
        </is>
      </c>
      <c r="AZ151" t="inlineStr">
        <is>
          <t>☆</t>
        </is>
      </c>
      <c r="BA151" t="inlineStr">
        <is>
          <t>☆</t>
        </is>
      </c>
      <c r="BB151" t="inlineStr">
        <is>
          <t>☆</t>
        </is>
      </c>
      <c r="BC151" t="inlineStr">
        <is>
          <t>☆</t>
        </is>
      </c>
      <c r="BD151" t="inlineStr">
        <is>
          <t>☆</t>
        </is>
      </c>
      <c r="BE151" t="inlineStr">
        <is>
          <t>☆</t>
        </is>
      </c>
      <c r="BF151" t="inlineStr">
        <is>
          <t>☆</t>
        </is>
      </c>
      <c r="BG151" t="inlineStr">
        <is>
          <t>☆</t>
        </is>
      </c>
      <c r="BH151" t="inlineStr">
        <is>
          <t>☆</t>
        </is>
      </c>
      <c r="BI151" t="inlineStr">
        <is>
          <t>☆</t>
        </is>
      </c>
      <c r="BJ151" t="inlineStr">
        <is>
          <t>☆</t>
        </is>
      </c>
      <c r="BK151" t="inlineStr">
        <is>
          <t>☆</t>
        </is>
      </c>
      <c r="BL151" t="inlineStr">
        <is>
          <t>☆</t>
        </is>
      </c>
      <c r="BM151" t="inlineStr">
        <is>
          <t>☆</t>
        </is>
      </c>
      <c r="BN151" t="inlineStr">
        <is>
          <t>☆</t>
        </is>
      </c>
      <c r="BO151" t="inlineStr">
        <is>
          <t>☆</t>
        </is>
      </c>
      <c r="BP151" t="inlineStr">
        <is>
          <t>☆</t>
        </is>
      </c>
      <c r="BQ151" t="inlineStr">
        <is>
          <t>☆</t>
        </is>
      </c>
      <c r="BR151"/>
      <c r="BS151" t="inlineStr">
        <is>
          <t>#VALUE!</t>
        </is>
      </c>
    </row>
    <row r="152" ht="25.5" customHeight="1">
      <c r="A152" t="inlineStr">
        <is>
          <t>FR</t>
        </is>
      </c>
      <c r="B152" t="inlineStr">
        <is>
          <t>R0001EU</t>
        </is>
      </c>
      <c r="C152"/>
      <c r="D152" t="inlineStr">
        <is>
          <t>气泵（coupon-15%）</t>
        </is>
      </c>
      <c r="E152">
        <v>56.5</v>
      </c>
      <c r="F152">
        <v>81.99</v>
      </c>
      <c r="G152"/>
      <c r="H152"/>
      <c r="I152"/>
      <c r="J152"/>
      <c r="K152"/>
      <c r="L152"/>
      <c r="M152"/>
      <c r="N152"/>
      <c r="O152"/>
      <c r="P152">
        <v>12</v>
      </c>
      <c r="Q152">
        <v>8</v>
      </c>
      <c r="R152"/>
      <c r="S152"/>
      <c r="T152"/>
      <c r="U152">
        <v>0.01</v>
      </c>
      <c r="V152"/>
      <c r="W152"/>
      <c r="X152">
        <v>0.188</v>
      </c>
      <c r="Y152">
        <v>8</v>
      </c>
      <c r="Z152"/>
      <c r="AA152"/>
      <c r="AB152"/>
      <c r="AC152">
        <v>208</v>
      </c>
      <c r="AD152"/>
      <c r="AE152"/>
      <c r="AF152"/>
      <c r="AG152"/>
      <c r="AH152">
        <v>13</v>
      </c>
      <c r="AI152"/>
      <c r="AJ152"/>
      <c r="AK152"/>
      <c r="AL152"/>
      <c r="AM152"/>
      <c r="AN152"/>
      <c r="AO152"/>
      <c r="AP152"/>
      <c r="AQ152"/>
      <c r="AR152"/>
      <c r="AS152"/>
      <c r="AT152" t="inlineStr">
        <is>
          <t>☆</t>
        </is>
      </c>
      <c r="AU152" t="inlineStr">
        <is>
          <t>☆</t>
        </is>
      </c>
      <c r="AV152" t="inlineStr">
        <is>
          <t>☆</t>
        </is>
      </c>
      <c r="AW152" t="inlineStr">
        <is>
          <t>☆</t>
        </is>
      </c>
      <c r="AX152" t="inlineStr">
        <is>
          <t>☆</t>
        </is>
      </c>
      <c r="AY152" t="inlineStr">
        <is>
          <t>☆</t>
        </is>
      </c>
      <c r="AZ152" t="inlineStr">
        <is>
          <t>☆</t>
        </is>
      </c>
      <c r="BA152" t="inlineStr">
        <is>
          <t>☆</t>
        </is>
      </c>
      <c r="BB152" t="inlineStr">
        <is>
          <t>☆</t>
        </is>
      </c>
      <c r="BC152" t="inlineStr">
        <is>
          <t>☆</t>
        </is>
      </c>
      <c r="BD152" t="inlineStr">
        <is>
          <t>☆</t>
        </is>
      </c>
      <c r="BE152" t="inlineStr">
        <is>
          <t>☆</t>
        </is>
      </c>
      <c r="BF152" t="inlineStr">
        <is>
          <t>☆</t>
        </is>
      </c>
      <c r="BG152" t="inlineStr">
        <is>
          <t>☆</t>
        </is>
      </c>
      <c r="BH152" t="inlineStr">
        <is>
          <t>☆</t>
        </is>
      </c>
      <c r="BI152" t="inlineStr">
        <is>
          <t>☆</t>
        </is>
      </c>
      <c r="BJ152" t="inlineStr">
        <is>
          <t>☆</t>
        </is>
      </c>
      <c r="BK152" t="inlineStr">
        <is>
          <t>☆</t>
        </is>
      </c>
      <c r="BL152" t="inlineStr">
        <is>
          <t>☆</t>
        </is>
      </c>
      <c r="BM152" t="inlineStr">
        <is>
          <t>☆</t>
        </is>
      </c>
      <c r="BN152" t="inlineStr">
        <is>
          <t>☆</t>
        </is>
      </c>
      <c r="BO152" t="inlineStr">
        <is>
          <t>☆</t>
        </is>
      </c>
      <c r="BP152" t="inlineStr">
        <is>
          <t>☆</t>
        </is>
      </c>
      <c r="BQ152" t="inlineStr">
        <is>
          <t>☆</t>
        </is>
      </c>
      <c r="BR152"/>
      <c r="BS152" t="inlineStr">
        <is>
          <t>#VALUE!</t>
        </is>
      </c>
    </row>
    <row r="153" ht="25.5" customHeight="1">
      <c r="A153" t="inlineStr">
        <is>
          <t>IT</t>
        </is>
      </c>
      <c r="B153" t="inlineStr">
        <is>
          <t>R0001EU</t>
        </is>
      </c>
      <c r="C153"/>
      <c r="D153" t="inlineStr">
        <is>
          <t>气泵（coupon-0%）</t>
        </is>
      </c>
      <c r="E153">
        <v>56.5</v>
      </c>
      <c r="F153">
        <v>81.99</v>
      </c>
      <c r="G153"/>
      <c r="H153"/>
      <c r="I153"/>
      <c r="J153"/>
      <c r="K153"/>
      <c r="L153"/>
      <c r="M153"/>
      <c r="N153"/>
      <c r="O153"/>
      <c r="P153">
        <v>12</v>
      </c>
      <c r="Q153">
        <v>8</v>
      </c>
      <c r="R153"/>
      <c r="S153"/>
      <c r="T153"/>
      <c r="U153">
        <v>0.01</v>
      </c>
      <c r="V153"/>
      <c r="W153"/>
      <c r="X153">
        <v>0.188</v>
      </c>
      <c r="Y153">
        <v>8</v>
      </c>
      <c r="Z153">
        <v>0</v>
      </c>
      <c r="AA153"/>
      <c r="AB153"/>
      <c r="AC153">
        <v>208</v>
      </c>
      <c r="AD153"/>
      <c r="AE153"/>
      <c r="AF153"/>
      <c r="AG153"/>
      <c r="AH153">
        <v>13</v>
      </c>
      <c r="AI153"/>
      <c r="AJ153"/>
      <c r="AK153"/>
      <c r="AL153"/>
      <c r="AM153"/>
      <c r="AN153"/>
      <c r="AO153"/>
      <c r="AP153"/>
      <c r="AQ153"/>
      <c r="AR153"/>
      <c r="AS153"/>
      <c r="AT153" t="inlineStr">
        <is>
          <t>☆</t>
        </is>
      </c>
      <c r="AU153" t="inlineStr">
        <is>
          <t>☆</t>
        </is>
      </c>
      <c r="AV153" t="inlineStr">
        <is>
          <t>☆</t>
        </is>
      </c>
      <c r="AW153" t="inlineStr">
        <is>
          <t>☆</t>
        </is>
      </c>
      <c r="AX153" t="inlineStr">
        <is>
          <t>☆</t>
        </is>
      </c>
      <c r="AY153" t="inlineStr">
        <is>
          <t>☆</t>
        </is>
      </c>
      <c r="AZ153" t="inlineStr">
        <is>
          <t>☆</t>
        </is>
      </c>
      <c r="BA153" t="inlineStr">
        <is>
          <t>☆</t>
        </is>
      </c>
      <c r="BB153" t="inlineStr">
        <is>
          <t>☆</t>
        </is>
      </c>
      <c r="BC153" t="inlineStr">
        <is>
          <t>☆</t>
        </is>
      </c>
      <c r="BD153" t="inlineStr">
        <is>
          <t>☆</t>
        </is>
      </c>
      <c r="BE153" t="inlineStr">
        <is>
          <t>☆</t>
        </is>
      </c>
      <c r="BF153" t="inlineStr">
        <is>
          <t>☆</t>
        </is>
      </c>
      <c r="BG153" t="inlineStr">
        <is>
          <t>☆</t>
        </is>
      </c>
      <c r="BH153" t="inlineStr">
        <is>
          <t>☆</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c r="BS153" t="inlineStr">
        <is>
          <t>#VALUE!</t>
        </is>
      </c>
    </row>
    <row r="154" ht="25.5" customHeight="1">
      <c r="A154" t="inlineStr">
        <is>
          <t>IT</t>
        </is>
      </c>
      <c r="B154" t="inlineStr">
        <is>
          <t>R0001EU</t>
        </is>
      </c>
      <c r="C154"/>
      <c r="D154" t="inlineStr">
        <is>
          <t>气泵（coupon-10%）</t>
        </is>
      </c>
      <c r="E154">
        <v>56.5</v>
      </c>
      <c r="F154">
        <v>81.99</v>
      </c>
      <c r="G154"/>
      <c r="H154"/>
      <c r="I154"/>
      <c r="J154"/>
      <c r="K154"/>
      <c r="L154"/>
      <c r="M154"/>
      <c r="N154"/>
      <c r="O154"/>
      <c r="P154">
        <v>12</v>
      </c>
      <c r="Q154">
        <v>8</v>
      </c>
      <c r="R154"/>
      <c r="S154"/>
      <c r="T154"/>
      <c r="U154">
        <v>0.01</v>
      </c>
      <c r="V154"/>
      <c r="W154"/>
      <c r="X154">
        <v>0.188</v>
      </c>
      <c r="Y154">
        <v>8</v>
      </c>
      <c r="Z154"/>
      <c r="AA154"/>
      <c r="AB154"/>
      <c r="AC154">
        <v>208</v>
      </c>
      <c r="AD154"/>
      <c r="AE154"/>
      <c r="AF154"/>
      <c r="AG154"/>
      <c r="AH154">
        <v>13</v>
      </c>
      <c r="AI154"/>
      <c r="AJ154"/>
      <c r="AK154"/>
      <c r="AL154"/>
      <c r="AM154"/>
      <c r="AN154"/>
      <c r="AO154"/>
      <c r="AP154"/>
      <c r="AQ154"/>
      <c r="AR154"/>
      <c r="AS154"/>
      <c r="AT154" t="inlineStr">
        <is>
          <t>☆</t>
        </is>
      </c>
      <c r="AU154" t="inlineStr">
        <is>
          <t>☆</t>
        </is>
      </c>
      <c r="AV154" t="inlineStr">
        <is>
          <t>☆</t>
        </is>
      </c>
      <c r="AW154" t="inlineStr">
        <is>
          <t>☆</t>
        </is>
      </c>
      <c r="AX154" t="inlineStr">
        <is>
          <t>☆</t>
        </is>
      </c>
      <c r="AY154" t="inlineStr">
        <is>
          <t>☆</t>
        </is>
      </c>
      <c r="AZ154" t="inlineStr">
        <is>
          <t>☆</t>
        </is>
      </c>
      <c r="BA154" t="inlineStr">
        <is>
          <t>☆</t>
        </is>
      </c>
      <c r="BB154" t="inlineStr">
        <is>
          <t>☆</t>
        </is>
      </c>
      <c r="BC154" t="inlineStr">
        <is>
          <t>☆</t>
        </is>
      </c>
      <c r="BD154" t="inlineStr">
        <is>
          <t>☆</t>
        </is>
      </c>
      <c r="BE154" t="inlineStr">
        <is>
          <t>☆</t>
        </is>
      </c>
      <c r="BF154" t="inlineStr">
        <is>
          <t>☆</t>
        </is>
      </c>
      <c r="BG154" t="inlineStr">
        <is>
          <t>☆</t>
        </is>
      </c>
      <c r="BH154" t="inlineStr">
        <is>
          <t>☆</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c r="BS154" t="inlineStr">
        <is>
          <t>#VALUE!</t>
        </is>
      </c>
    </row>
    <row r="155" ht="25.5" customHeight="1">
      <c r="A155" t="inlineStr">
        <is>
          <t>IT</t>
        </is>
      </c>
      <c r="B155" t="inlineStr">
        <is>
          <t>R0001EU</t>
        </is>
      </c>
      <c r="C155"/>
      <c r="D155" t="inlineStr">
        <is>
          <t>气泵（coupon-15%）</t>
        </is>
      </c>
      <c r="E155">
        <v>56.5</v>
      </c>
      <c r="F155">
        <v>81.99</v>
      </c>
      <c r="G155"/>
      <c r="H155"/>
      <c r="I155"/>
      <c r="J155"/>
      <c r="K155"/>
      <c r="L155"/>
      <c r="M155"/>
      <c r="N155"/>
      <c r="O155"/>
      <c r="P155">
        <v>12</v>
      </c>
      <c r="Q155">
        <v>8</v>
      </c>
      <c r="R155"/>
      <c r="S155"/>
      <c r="T155"/>
      <c r="U155">
        <v>0.01</v>
      </c>
      <c r="V155"/>
      <c r="W155"/>
      <c r="X155">
        <v>0.188</v>
      </c>
      <c r="Y155">
        <v>8</v>
      </c>
      <c r="Z155"/>
      <c r="AA155"/>
      <c r="AB155"/>
      <c r="AC155">
        <v>208</v>
      </c>
      <c r="AD155"/>
      <c r="AE155"/>
      <c r="AF155"/>
      <c r="AG155"/>
      <c r="AH155">
        <v>13</v>
      </c>
      <c r="AI155"/>
      <c r="AJ155"/>
      <c r="AK155"/>
      <c r="AL155"/>
      <c r="AM155"/>
      <c r="AN155"/>
      <c r="AO155"/>
      <c r="AP155"/>
      <c r="AQ155"/>
      <c r="AR155"/>
      <c r="AS155"/>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c r="BS155" t="inlineStr">
        <is>
          <t>#VALUE!</t>
        </is>
      </c>
    </row>
    <row r="156" ht="25.5" customHeight="1">
      <c r="A156" t="inlineStr">
        <is>
          <t>ES</t>
        </is>
      </c>
      <c r="B156" t="inlineStr">
        <is>
          <t>R0001EU</t>
        </is>
      </c>
      <c r="C156"/>
      <c r="D156" t="inlineStr">
        <is>
          <t>气泵（coupon-0%）</t>
        </is>
      </c>
      <c r="E156">
        <v>56.5</v>
      </c>
      <c r="F156">
        <v>81.99</v>
      </c>
      <c r="G156"/>
      <c r="H156"/>
      <c r="I156"/>
      <c r="J156"/>
      <c r="K156"/>
      <c r="L156"/>
      <c r="M156"/>
      <c r="N156"/>
      <c r="O156"/>
      <c r="P156">
        <v>12</v>
      </c>
      <c r="Q156">
        <v>8</v>
      </c>
      <c r="R156"/>
      <c r="S156"/>
      <c r="T156"/>
      <c r="U156">
        <v>0.01</v>
      </c>
      <c r="V156"/>
      <c r="W156"/>
      <c r="X156">
        <v>0.188</v>
      </c>
      <c r="Y156">
        <v>8</v>
      </c>
      <c r="Z156">
        <v>0</v>
      </c>
      <c r="AA156"/>
      <c r="AB156"/>
      <c r="AC156">
        <v>208</v>
      </c>
      <c r="AD156"/>
      <c r="AE156"/>
      <c r="AF156"/>
      <c r="AG156"/>
      <c r="AH156">
        <v>13</v>
      </c>
      <c r="AI156"/>
      <c r="AJ156"/>
      <c r="AK156"/>
      <c r="AL156"/>
      <c r="AM156"/>
      <c r="AN156"/>
      <c r="AO156"/>
      <c r="AP156"/>
      <c r="AQ156"/>
      <c r="AR156"/>
      <c r="AS156"/>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c r="BS156" t="inlineStr">
        <is>
          <t>#VALUE!</t>
        </is>
      </c>
    </row>
    <row r="157" ht="25.5" customHeight="1">
      <c r="A157" t="inlineStr">
        <is>
          <t>ES</t>
        </is>
      </c>
      <c r="B157" t="inlineStr">
        <is>
          <t>R0001EU</t>
        </is>
      </c>
      <c r="C157"/>
      <c r="D157" t="inlineStr">
        <is>
          <t>气泵（coupon-10%）</t>
        </is>
      </c>
      <c r="E157">
        <v>56.5</v>
      </c>
      <c r="F157">
        <v>81.99</v>
      </c>
      <c r="G157"/>
      <c r="H157"/>
      <c r="I157"/>
      <c r="J157"/>
      <c r="K157"/>
      <c r="L157"/>
      <c r="M157"/>
      <c r="N157"/>
      <c r="O157"/>
      <c r="P157">
        <v>12</v>
      </c>
      <c r="Q157">
        <v>8</v>
      </c>
      <c r="R157"/>
      <c r="S157"/>
      <c r="T157"/>
      <c r="U157">
        <v>0.01</v>
      </c>
      <c r="V157"/>
      <c r="W157"/>
      <c r="X157">
        <v>0.188</v>
      </c>
      <c r="Y157">
        <v>8</v>
      </c>
      <c r="Z157"/>
      <c r="AA157"/>
      <c r="AB157"/>
      <c r="AC157">
        <v>208</v>
      </c>
      <c r="AD157"/>
      <c r="AE157"/>
      <c r="AF157"/>
      <c r="AG157"/>
      <c r="AH157">
        <v>13</v>
      </c>
      <c r="AI157"/>
      <c r="AJ157"/>
      <c r="AK157"/>
      <c r="AL157"/>
      <c r="AM157"/>
      <c r="AN157"/>
      <c r="AO157"/>
      <c r="AP157"/>
      <c r="AQ157"/>
      <c r="AR157"/>
      <c r="AS157"/>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c r="BS157" t="inlineStr">
        <is>
          <t>#VALUE!</t>
        </is>
      </c>
    </row>
    <row r="158" ht="25.5" customHeight="1">
      <c r="A158" t="inlineStr">
        <is>
          <t>ES</t>
        </is>
      </c>
      <c r="B158" t="inlineStr">
        <is>
          <t>R0001EU</t>
        </is>
      </c>
      <c r="C158"/>
      <c r="D158" t="inlineStr">
        <is>
          <t>气泵（coupon-15%）</t>
        </is>
      </c>
      <c r="E158">
        <v>56.5</v>
      </c>
      <c r="F158">
        <v>81.99</v>
      </c>
      <c r="G158"/>
      <c r="H158"/>
      <c r="I158"/>
      <c r="J158"/>
      <c r="K158"/>
      <c r="L158"/>
      <c r="M158"/>
      <c r="N158"/>
      <c r="O158"/>
      <c r="P158">
        <v>12</v>
      </c>
      <c r="Q158">
        <v>8</v>
      </c>
      <c r="R158"/>
      <c r="S158"/>
      <c r="T158"/>
      <c r="U158">
        <v>0.01</v>
      </c>
      <c r="V158"/>
      <c r="W158"/>
      <c r="X158">
        <v>0.188</v>
      </c>
      <c r="Y158">
        <v>8</v>
      </c>
      <c r="Z158"/>
      <c r="AA158"/>
      <c r="AB158"/>
      <c r="AC158">
        <v>208</v>
      </c>
      <c r="AD158"/>
      <c r="AE158"/>
      <c r="AF158"/>
      <c r="AG158"/>
      <c r="AH158">
        <v>13</v>
      </c>
      <c r="AI158"/>
      <c r="AJ158"/>
      <c r="AK158"/>
      <c r="AL158"/>
      <c r="AM158"/>
      <c r="AN158"/>
      <c r="AO158"/>
      <c r="AP158"/>
      <c r="AQ158"/>
      <c r="AR158"/>
      <c r="AS158"/>
      <c r="AT158" t="inlineStr">
        <is>
          <t>☆</t>
        </is>
      </c>
      <c r="AU158" t="inlineStr">
        <is>
          <t>☆</t>
        </is>
      </c>
      <c r="AV158" t="inlineStr">
        <is>
          <t>☆</t>
        </is>
      </c>
      <c r="AW158" t="inlineStr">
        <is>
          <t>☆</t>
        </is>
      </c>
      <c r="AX158" t="inlineStr">
        <is>
          <t>☆</t>
        </is>
      </c>
      <c r="AY158" t="inlineStr">
        <is>
          <t>☆</t>
        </is>
      </c>
      <c r="AZ158" t="inlineStr">
        <is>
          <t>☆</t>
        </is>
      </c>
      <c r="BA158" t="inlineStr">
        <is>
          <t>☆</t>
        </is>
      </c>
      <c r="BB158" t="inlineStr">
        <is>
          <t>☆</t>
        </is>
      </c>
      <c r="BC158" t="inlineStr">
        <is>
          <t>☆</t>
        </is>
      </c>
      <c r="BD158" t="inlineStr">
        <is>
          <t>☆</t>
        </is>
      </c>
      <c r="BE158" t="inlineStr">
        <is>
          <t>☆</t>
        </is>
      </c>
      <c r="BF158" t="inlineStr">
        <is>
          <t>☆</t>
        </is>
      </c>
      <c r="BG158" t="inlineStr">
        <is>
          <t>☆</t>
        </is>
      </c>
      <c r="BH158" t="inlineStr">
        <is>
          <t>☆</t>
        </is>
      </c>
      <c r="BI158" t="inlineStr">
        <is>
          <t>☆</t>
        </is>
      </c>
      <c r="BJ158" t="inlineStr">
        <is>
          <t>☆</t>
        </is>
      </c>
      <c r="BK158" t="inlineStr">
        <is>
          <t>☆</t>
        </is>
      </c>
      <c r="BL158" t="inlineStr">
        <is>
          <t>☆</t>
        </is>
      </c>
      <c r="BM158" t="inlineStr">
        <is>
          <t>☆</t>
        </is>
      </c>
      <c r="BN158" t="inlineStr">
        <is>
          <t>☆</t>
        </is>
      </c>
      <c r="BO158" t="inlineStr">
        <is>
          <t>☆</t>
        </is>
      </c>
      <c r="BP158" t="inlineStr">
        <is>
          <t>☆</t>
        </is>
      </c>
      <c r="BQ158" t="inlineStr">
        <is>
          <t>☆</t>
        </is>
      </c>
      <c r="BR158"/>
      <c r="BS158" t="inlineStr">
        <is>
          <t>#VALUE!</t>
        </is>
      </c>
    </row>
    <row r="159" ht="25.5" customHeight="1">
      <c r="A159" t="inlineStr">
        <is>
          <t>NL</t>
        </is>
      </c>
      <c r="B159" t="inlineStr">
        <is>
          <t>R0001EU</t>
        </is>
      </c>
      <c r="C159"/>
      <c r="D159" t="inlineStr">
        <is>
          <t>气泵荷兰</t>
        </is>
      </c>
      <c r="E159">
        <v>68.5</v>
      </c>
      <c r="F159">
        <v>99.99</v>
      </c>
      <c r="G159"/>
      <c r="H159"/>
      <c r="I159"/>
      <c r="J159"/>
      <c r="K159"/>
      <c r="L159"/>
      <c r="M159"/>
      <c r="N159"/>
      <c r="O159"/>
      <c r="P159">
        <v>12</v>
      </c>
      <c r="Q159">
        <v>8</v>
      </c>
      <c r="R159"/>
      <c r="S159"/>
      <c r="T159"/>
      <c r="U159">
        <v>0.01</v>
      </c>
      <c r="V159"/>
      <c r="W159"/>
      <c r="X159">
        <v>0.188</v>
      </c>
      <c r="Y159">
        <v>0</v>
      </c>
      <c r="Z159"/>
      <c r="AA159"/>
      <c r="AB159"/>
      <c r="AC159">
        <v>208</v>
      </c>
      <c r="AD159"/>
      <c r="AE159"/>
      <c r="AF159"/>
      <c r="AG159"/>
      <c r="AH159">
        <v>13</v>
      </c>
      <c r="AI159"/>
      <c r="AJ159"/>
      <c r="AK159"/>
      <c r="AL159"/>
      <c r="AM159"/>
      <c r="AN159"/>
      <c r="AO159"/>
      <c r="AP159"/>
      <c r="AQ159"/>
      <c r="AR159"/>
      <c r="AS159"/>
      <c r="AT159" t="inlineStr">
        <is>
          <t>☆</t>
        </is>
      </c>
      <c r="AU159" t="inlineStr">
        <is>
          <t>☆</t>
        </is>
      </c>
      <c r="AV159" t="inlineStr">
        <is>
          <t>☆</t>
        </is>
      </c>
      <c r="AW159" t="inlineStr">
        <is>
          <t>☆</t>
        </is>
      </c>
      <c r="AX159" t="inlineStr">
        <is>
          <t>☆</t>
        </is>
      </c>
      <c r="AY159" t="inlineStr">
        <is>
          <t>☆</t>
        </is>
      </c>
      <c r="AZ159" t="inlineStr">
        <is>
          <t>☆</t>
        </is>
      </c>
      <c r="BA159" t="inlineStr">
        <is>
          <t>☆</t>
        </is>
      </c>
      <c r="BB159" t="inlineStr">
        <is>
          <t>☆</t>
        </is>
      </c>
      <c r="BC159" t="inlineStr">
        <is>
          <t>☆</t>
        </is>
      </c>
      <c r="BD159" t="inlineStr">
        <is>
          <t>☆</t>
        </is>
      </c>
      <c r="BE159" t="inlineStr">
        <is>
          <t>☆</t>
        </is>
      </c>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is>
          <t>☆</t>
        </is>
      </c>
      <c r="BR159"/>
      <c r="BS159" t="inlineStr">
        <is>
          <t>#VALUE!</t>
        </is>
      </c>
    </row>
    <row r="160" ht="25.5" customHeight="1">
      <c r="A160" t="inlineStr">
        <is>
          <t>PL</t>
        </is>
      </c>
      <c r="B160" t="inlineStr">
        <is>
          <t>R0001EU</t>
        </is>
      </c>
      <c r="C160"/>
      <c r="D160" t="inlineStr">
        <is>
          <t>气泵波兰</t>
        </is>
      </c>
      <c r="E160">
        <v>68.5</v>
      </c>
      <c r="F160">
        <v>99.99</v>
      </c>
      <c r="G160"/>
      <c r="H160"/>
      <c r="I160"/>
      <c r="J160"/>
      <c r="K160"/>
      <c r="L160"/>
      <c r="M160"/>
      <c r="N160"/>
      <c r="O160"/>
      <c r="P160">
        <v>12</v>
      </c>
      <c r="Q160">
        <v>8</v>
      </c>
      <c r="R160"/>
      <c r="S160"/>
      <c r="T160"/>
      <c r="U160">
        <v>0.01</v>
      </c>
      <c r="V160"/>
      <c r="W160"/>
      <c r="X160">
        <v>0.188</v>
      </c>
      <c r="Y160">
        <v>0</v>
      </c>
      <c r="Z160"/>
      <c r="AA160"/>
      <c r="AB160"/>
      <c r="AC160">
        <v>208</v>
      </c>
      <c r="AD160"/>
      <c r="AE160"/>
      <c r="AF160"/>
      <c r="AG160"/>
      <c r="AH160">
        <v>13</v>
      </c>
      <c r="AI160"/>
      <c r="AJ160"/>
      <c r="AK160"/>
      <c r="AL160"/>
      <c r="AM160"/>
      <c r="AN160"/>
      <c r="AO160"/>
      <c r="AP160"/>
      <c r="AQ160"/>
      <c r="AR160"/>
      <c r="AS160"/>
      <c r="AT160" t="inlineStr">
        <is>
          <t>☆</t>
        </is>
      </c>
      <c r="AU160" t="inlineStr">
        <is>
          <t>☆</t>
        </is>
      </c>
      <c r="AV160" t="inlineStr">
        <is>
          <t>☆</t>
        </is>
      </c>
      <c r="AW160" t="inlineStr">
        <is>
          <t>☆</t>
        </is>
      </c>
      <c r="AX160" t="inlineStr">
        <is>
          <t>☆</t>
        </is>
      </c>
      <c r="AY160" t="inlineStr">
        <is>
          <t>☆</t>
        </is>
      </c>
      <c r="AZ160" t="inlineStr">
        <is>
          <t>☆</t>
        </is>
      </c>
      <c r="BA160" t="inlineStr">
        <is>
          <t>☆</t>
        </is>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c r="BS160" t="inlineStr">
        <is>
          <t>#VALUE!</t>
        </is>
      </c>
    </row>
    <row r="161" ht="25.5" customHeight="1">
      <c r="A161" t="inlineStr">
        <is>
          <t>SE</t>
        </is>
      </c>
      <c r="B161" t="inlineStr">
        <is>
          <t>R0001EU</t>
        </is>
      </c>
      <c r="C161"/>
      <c r="D161" t="inlineStr">
        <is>
          <t>气泵瑞典</t>
        </is>
      </c>
      <c r="E161">
        <v>68.5</v>
      </c>
      <c r="F161">
        <v>99.99</v>
      </c>
      <c r="G161"/>
      <c r="H161"/>
      <c r="I161"/>
      <c r="J161"/>
      <c r="K161"/>
      <c r="L161"/>
      <c r="M161"/>
      <c r="N161"/>
      <c r="O161"/>
      <c r="P161">
        <v>12</v>
      </c>
      <c r="Q161">
        <v>8</v>
      </c>
      <c r="R161"/>
      <c r="S161"/>
      <c r="T161"/>
      <c r="U161">
        <v>0.01</v>
      </c>
      <c r="V161"/>
      <c r="W161"/>
      <c r="X161">
        <v>0.188</v>
      </c>
      <c r="Y161">
        <v>0</v>
      </c>
      <c r="Z161"/>
      <c r="AA161"/>
      <c r="AB161"/>
      <c r="AC161">
        <v>208</v>
      </c>
      <c r="AD161"/>
      <c r="AE161"/>
      <c r="AF161"/>
      <c r="AG161"/>
      <c r="AH161">
        <v>13</v>
      </c>
      <c r="AI161"/>
      <c r="AJ161"/>
      <c r="AK161"/>
      <c r="AL161"/>
      <c r="AM161"/>
      <c r="AN161"/>
      <c r="AO161"/>
      <c r="AP161"/>
      <c r="AQ161"/>
      <c r="AR161"/>
      <c r="AS161"/>
      <c r="AT161" t="inlineStr">
        <is>
          <t>☆</t>
        </is>
      </c>
      <c r="AU161" t="inlineStr">
        <is>
          <t>☆</t>
        </is>
      </c>
      <c r="AV161" t="inlineStr">
        <is>
          <t>☆</t>
        </is>
      </c>
      <c r="AW161" t="inlineStr">
        <is>
          <t>☆</t>
        </is>
      </c>
      <c r="AX161" t="inlineStr">
        <is>
          <t>☆</t>
        </is>
      </c>
      <c r="AY161" t="inlineStr">
        <is>
          <t>☆</t>
        </is>
      </c>
      <c r="AZ161" t="inlineStr">
        <is>
          <t>☆</t>
        </is>
      </c>
      <c r="BA161" t="inlineStr">
        <is>
          <t>☆</t>
        </is>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c r="BS161" t="inlineStr">
        <is>
          <t>#VALUE!</t>
        </is>
      </c>
    </row>
    <row r="162" ht="25.5" customHeight="1">
      <c r="A162" t="inlineStr">
        <is>
          <t>BE</t>
        </is>
      </c>
      <c r="B162" t="inlineStr">
        <is>
          <t>R0001EU</t>
        </is>
      </c>
      <c r="C162"/>
      <c r="D162" t="inlineStr">
        <is>
          <t>气泵比利时</t>
        </is>
      </c>
      <c r="E162">
        <v>68.5</v>
      </c>
      <c r="F162">
        <v>99.99</v>
      </c>
      <c r="G162"/>
      <c r="H162"/>
      <c r="I162"/>
      <c r="J162"/>
      <c r="K162"/>
      <c r="L162"/>
      <c r="M162"/>
      <c r="N162"/>
      <c r="O162"/>
      <c r="P162">
        <v>12</v>
      </c>
      <c r="Q162">
        <v>8</v>
      </c>
      <c r="R162"/>
      <c r="S162"/>
      <c r="T162"/>
      <c r="U162">
        <v>0.01</v>
      </c>
      <c r="V162"/>
      <c r="W162"/>
      <c r="X162">
        <v>0.188</v>
      </c>
      <c r="Y162">
        <v>0</v>
      </c>
      <c r="Z162"/>
      <c r="AA162"/>
      <c r="AB162"/>
      <c r="AC162">
        <v>208</v>
      </c>
      <c r="AD162"/>
      <c r="AE162"/>
      <c r="AF162"/>
      <c r="AG162"/>
      <c r="AH162">
        <v>13</v>
      </c>
      <c r="AI162"/>
      <c r="AJ162"/>
      <c r="AK162"/>
      <c r="AL162"/>
      <c r="AM162"/>
      <c r="AN162"/>
      <c r="AO162"/>
      <c r="AP162"/>
      <c r="AQ162"/>
      <c r="AR162"/>
      <c r="AS162"/>
      <c r="AT162" t="inlineStr">
        <is>
          <t>☆</t>
        </is>
      </c>
      <c r="AU162" t="inlineStr">
        <is>
          <t>☆</t>
        </is>
      </c>
      <c r="AV162" t="inlineStr">
        <is>
          <t>☆</t>
        </is>
      </c>
      <c r="AW162" t="inlineStr">
        <is>
          <t>☆</t>
        </is>
      </c>
      <c r="AX162" t="inlineStr">
        <is>
          <t>☆</t>
        </is>
      </c>
      <c r="AY162" t="inlineStr">
        <is>
          <t>☆</t>
        </is>
      </c>
      <c r="AZ162" t="inlineStr">
        <is>
          <t>☆</t>
        </is>
      </c>
      <c r="BA162" t="inlineStr">
        <is>
          <t>☆</t>
        </is>
      </c>
      <c r="BB162" t="inlineStr">
        <is>
          <t>☆</t>
        </is>
      </c>
      <c r="BC162" t="inlineStr">
        <is>
          <t>☆</t>
        </is>
      </c>
      <c r="BD162" t="inlineStr">
        <is>
          <t>☆</t>
        </is>
      </c>
      <c r="BE162" t="inlineStr">
        <is>
          <t>☆</t>
        </is>
      </c>
      <c r="BF162" t="inlineStr">
        <is>
          <t>☆</t>
        </is>
      </c>
      <c r="BG162" t="inlineStr">
        <is>
          <t>☆</t>
        </is>
      </c>
      <c r="BH162" t="inlineStr">
        <is>
          <t>☆</t>
        </is>
      </c>
      <c r="BI162" t="inlineStr">
        <is>
          <t>☆</t>
        </is>
      </c>
      <c r="BJ162" t="inlineStr">
        <is>
          <t>☆</t>
        </is>
      </c>
      <c r="BK162" t="inlineStr">
        <is>
          <t>☆</t>
        </is>
      </c>
      <c r="BL162" t="inlineStr">
        <is>
          <t>☆</t>
        </is>
      </c>
      <c r="BM162" t="inlineStr">
        <is>
          <t>☆</t>
        </is>
      </c>
      <c r="BN162" t="inlineStr">
        <is>
          <t>☆</t>
        </is>
      </c>
      <c r="BO162" t="inlineStr">
        <is>
          <t>☆</t>
        </is>
      </c>
      <c r="BP162" t="inlineStr">
        <is>
          <t>☆</t>
        </is>
      </c>
      <c r="BQ162" t="inlineStr">
        <is>
          <t>☆</t>
        </is>
      </c>
      <c r="BR162"/>
      <c r="BS162" t="inlineStr">
        <is>
          <t>#VALUE!</t>
        </is>
      </c>
    </row>
    <row r="163" ht="25.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row>
    <row r="164" ht="25.5" customHeight="1">
      <c r="A164" t="inlineStr">
        <is>
          <t>DE</t>
        </is>
      </c>
      <c r="B164" t="inlineStr">
        <is>
          <t>R0001EU</t>
        </is>
      </c>
      <c r="C164"/>
      <c r="D164" t="inlineStr">
        <is>
          <t>HES62-电（coupon-0%）</t>
        </is>
      </c>
      <c r="E164">
        <v>25.55</v>
      </c>
      <c r="F164">
        <v>36.99</v>
      </c>
      <c r="G164"/>
      <c r="H164"/>
      <c r="I164"/>
      <c r="J164"/>
      <c r="K164"/>
      <c r="L164"/>
      <c r="M164"/>
      <c r="N164"/>
      <c r="O164"/>
      <c r="P164">
        <v>30</v>
      </c>
      <c r="Q164">
        <v>8</v>
      </c>
      <c r="R164"/>
      <c r="S164"/>
      <c r="T164"/>
      <c r="U164">
        <v>0.01</v>
      </c>
      <c r="V164"/>
      <c r="W164"/>
      <c r="X164">
        <v>0.188</v>
      </c>
      <c r="Y164">
        <v>4</v>
      </c>
      <c r="Z164">
        <v>0</v>
      </c>
      <c r="AA164"/>
      <c r="AB164"/>
      <c r="AC164">
        <v>80.4</v>
      </c>
      <c r="AD164"/>
      <c r="AE164"/>
      <c r="AF164"/>
      <c r="AG164"/>
      <c r="AH164">
        <v>8</v>
      </c>
      <c r="AI164"/>
      <c r="AJ164"/>
      <c r="AK164"/>
      <c r="AL164"/>
      <c r="AM164"/>
      <c r="AN164"/>
      <c r="AO164"/>
      <c r="AP164"/>
      <c r="AQ164"/>
      <c r="AR164"/>
      <c r="AS164"/>
      <c r="AT164" t="inlineStr">
        <is>
          <t>☆</t>
        </is>
      </c>
      <c r="AU164" t="inlineStr">
        <is>
          <t>☆</t>
        </is>
      </c>
      <c r="AV164" t="inlineStr">
        <is>
          <t>☆</t>
        </is>
      </c>
      <c r="AW164" t="inlineStr">
        <is>
          <t>☆</t>
        </is>
      </c>
      <c r="AX164" t="inlineStr">
        <is>
          <t>☆</t>
        </is>
      </c>
      <c r="AY164" t="inlineStr">
        <is>
          <t>☆</t>
        </is>
      </c>
      <c r="AZ164" t="inlineStr">
        <is>
          <t>☆</t>
        </is>
      </c>
      <c r="BA164" t="inlineStr">
        <is>
          <t>☆</t>
        </is>
      </c>
      <c r="BB164" t="inlineStr">
        <is>
          <t>☆</t>
        </is>
      </c>
      <c r="BC164" t="inlineStr">
        <is>
          <t>☆</t>
        </is>
      </c>
      <c r="BD164" t="inlineStr">
        <is>
          <t>☆</t>
        </is>
      </c>
      <c r="BE164" t="inlineStr">
        <is>
          <t>☆</t>
        </is>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c r="BS164" t="inlineStr">
        <is>
          <t>#VALUE!</t>
        </is>
      </c>
    </row>
    <row r="165" ht="25.5" customHeight="1">
      <c r="A165" t="inlineStr">
        <is>
          <t>DE</t>
        </is>
      </c>
      <c r="B165" t="inlineStr">
        <is>
          <t>R0001EU</t>
        </is>
      </c>
      <c r="C165"/>
      <c r="D165" t="inlineStr">
        <is>
          <t>HES62-电（coupon-10%）</t>
        </is>
      </c>
      <c r="E165">
        <v>25.55</v>
      </c>
      <c r="F165">
        <v>36.99</v>
      </c>
      <c r="G165"/>
      <c r="H165"/>
      <c r="I165"/>
      <c r="J165"/>
      <c r="K165"/>
      <c r="L165"/>
      <c r="M165"/>
      <c r="N165"/>
      <c r="O165"/>
      <c r="P165">
        <v>30</v>
      </c>
      <c r="Q165">
        <v>8</v>
      </c>
      <c r="R165"/>
      <c r="S165"/>
      <c r="T165"/>
      <c r="U165">
        <v>0.01</v>
      </c>
      <c r="V165"/>
      <c r="W165"/>
      <c r="X165">
        <v>0.188</v>
      </c>
      <c r="Y165">
        <v>4</v>
      </c>
      <c r="Z165"/>
      <c r="AA165"/>
      <c r="AB165"/>
      <c r="AC165">
        <v>80.4</v>
      </c>
      <c r="AD165"/>
      <c r="AE165"/>
      <c r="AF165"/>
      <c r="AG165"/>
      <c r="AH165">
        <v>8</v>
      </c>
      <c r="AI165"/>
      <c r="AJ165"/>
      <c r="AK165"/>
      <c r="AL165"/>
      <c r="AM165"/>
      <c r="AN165"/>
      <c r="AO165"/>
      <c r="AP165"/>
      <c r="AQ165"/>
      <c r="AR165"/>
      <c r="AS165"/>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c r="BS165" t="inlineStr">
        <is>
          <t>#VALUE!</t>
        </is>
      </c>
    </row>
    <row r="166" ht="25.5" customHeight="1">
      <c r="A166" t="inlineStr">
        <is>
          <t>DE</t>
        </is>
      </c>
      <c r="B166" t="inlineStr">
        <is>
          <t>R0001EU</t>
        </is>
      </c>
      <c r="C166"/>
      <c r="D166" t="inlineStr">
        <is>
          <t>HES62-电（coupon-15%）</t>
        </is>
      </c>
      <c r="E166">
        <v>25.55</v>
      </c>
      <c r="F166">
        <v>36.99</v>
      </c>
      <c r="G166"/>
      <c r="H166"/>
      <c r="I166"/>
      <c r="J166"/>
      <c r="K166"/>
      <c r="L166"/>
      <c r="M166"/>
      <c r="N166"/>
      <c r="O166"/>
      <c r="P166">
        <v>30</v>
      </c>
      <c r="Q166">
        <v>8</v>
      </c>
      <c r="R166"/>
      <c r="S166"/>
      <c r="T166"/>
      <c r="U166">
        <v>0.01</v>
      </c>
      <c r="V166"/>
      <c r="W166"/>
      <c r="X166">
        <v>0.188</v>
      </c>
      <c r="Y166">
        <v>4</v>
      </c>
      <c r="Z166"/>
      <c r="AA166"/>
      <c r="AB166"/>
      <c r="AC166">
        <v>80.4</v>
      </c>
      <c r="AD166"/>
      <c r="AE166"/>
      <c r="AF166"/>
      <c r="AG166"/>
      <c r="AH166">
        <v>8</v>
      </c>
      <c r="AI166"/>
      <c r="AJ166"/>
      <c r="AK166"/>
      <c r="AL166"/>
      <c r="AM166"/>
      <c r="AN166"/>
      <c r="AO166"/>
      <c r="AP166"/>
      <c r="AQ166"/>
      <c r="AR166"/>
      <c r="AS166"/>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c r="BS166" t="inlineStr">
        <is>
          <t>#VALUE!</t>
        </is>
      </c>
    </row>
    <row r="167" ht="25.5" customHeight="1">
      <c r="A167" t="inlineStr">
        <is>
          <t>FR</t>
        </is>
      </c>
      <c r="B167" t="inlineStr">
        <is>
          <t>R0001EU</t>
        </is>
      </c>
      <c r="C167"/>
      <c r="D167" t="inlineStr">
        <is>
          <t>HES62-电（coupon-0%）</t>
        </is>
      </c>
      <c r="E167">
        <v>25.55</v>
      </c>
      <c r="F167">
        <v>36.99</v>
      </c>
      <c r="G167"/>
      <c r="H167"/>
      <c r="I167"/>
      <c r="J167"/>
      <c r="K167"/>
      <c r="L167"/>
      <c r="M167"/>
      <c r="N167"/>
      <c r="O167"/>
      <c r="P167">
        <v>30</v>
      </c>
      <c r="Q167">
        <v>8</v>
      </c>
      <c r="R167"/>
      <c r="S167"/>
      <c r="T167"/>
      <c r="U167">
        <v>0.01</v>
      </c>
      <c r="V167"/>
      <c r="W167"/>
      <c r="X167">
        <v>0.188</v>
      </c>
      <c r="Y167">
        <v>4</v>
      </c>
      <c r="Z167">
        <v>0</v>
      </c>
      <c r="AA167"/>
      <c r="AB167"/>
      <c r="AC167">
        <v>80.4</v>
      </c>
      <c r="AD167"/>
      <c r="AE167"/>
      <c r="AF167"/>
      <c r="AG167"/>
      <c r="AH167">
        <v>8</v>
      </c>
      <c r="AI167"/>
      <c r="AJ167"/>
      <c r="AK167"/>
      <c r="AL167"/>
      <c r="AM167"/>
      <c r="AN167"/>
      <c r="AO167"/>
      <c r="AP167"/>
      <c r="AQ167"/>
      <c r="AR167"/>
      <c r="AS167"/>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c r="BS167" t="inlineStr">
        <is>
          <t>#VALUE!</t>
        </is>
      </c>
    </row>
    <row r="168" ht="25.5" customHeight="1">
      <c r="A168" t="inlineStr">
        <is>
          <t>FR</t>
        </is>
      </c>
      <c r="B168" t="inlineStr">
        <is>
          <t>R0001EU</t>
        </is>
      </c>
      <c r="C168"/>
      <c r="D168" t="inlineStr">
        <is>
          <t>HES62-电（coupon-10%）</t>
        </is>
      </c>
      <c r="E168">
        <v>25.55</v>
      </c>
      <c r="F168">
        <v>36.99</v>
      </c>
      <c r="G168"/>
      <c r="H168"/>
      <c r="I168"/>
      <c r="J168"/>
      <c r="K168"/>
      <c r="L168"/>
      <c r="M168"/>
      <c r="N168"/>
      <c r="O168"/>
      <c r="P168">
        <v>30</v>
      </c>
      <c r="Q168">
        <v>8</v>
      </c>
      <c r="R168"/>
      <c r="S168"/>
      <c r="T168"/>
      <c r="U168">
        <v>0.01</v>
      </c>
      <c r="V168"/>
      <c r="W168"/>
      <c r="X168">
        <v>0.188</v>
      </c>
      <c r="Y168">
        <v>4</v>
      </c>
      <c r="Z168"/>
      <c r="AA168"/>
      <c r="AB168"/>
      <c r="AC168">
        <v>80.4</v>
      </c>
      <c r="AD168"/>
      <c r="AE168"/>
      <c r="AF168"/>
      <c r="AG168"/>
      <c r="AH168">
        <v>8</v>
      </c>
      <c r="AI168"/>
      <c r="AJ168"/>
      <c r="AK168"/>
      <c r="AL168"/>
      <c r="AM168"/>
      <c r="AN168"/>
      <c r="AO168"/>
      <c r="AP168"/>
      <c r="AQ168"/>
      <c r="AR168"/>
      <c r="AS168"/>
      <c r="AT168" t="inlineStr">
        <is>
          <t>☆</t>
        </is>
      </c>
      <c r="AU168" t="inlineStr">
        <is>
          <t>☆</t>
        </is>
      </c>
      <c r="AV168" t="inlineStr">
        <is>
          <t>☆</t>
        </is>
      </c>
      <c r="AW168" t="inlineStr">
        <is>
          <t>☆</t>
        </is>
      </c>
      <c r="AX168" t="inlineStr">
        <is>
          <t>☆</t>
        </is>
      </c>
      <c r="AY168" t="inlineStr">
        <is>
          <t>☆</t>
        </is>
      </c>
      <c r="AZ168" t="inlineStr">
        <is>
          <t>☆</t>
        </is>
      </c>
      <c r="BA168" t="inlineStr">
        <is>
          <t>☆</t>
        </is>
      </c>
      <c r="BB168" t="inlineStr">
        <is>
          <t>☆</t>
        </is>
      </c>
      <c r="BC168" t="inlineStr">
        <is>
          <t>☆</t>
        </is>
      </c>
      <c r="BD168" t="inlineStr">
        <is>
          <t>☆</t>
        </is>
      </c>
      <c r="BE168" t="inlineStr">
        <is>
          <t>☆</t>
        </is>
      </c>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c r="BS168" t="inlineStr">
        <is>
          <t>#VALUE!</t>
        </is>
      </c>
    </row>
    <row r="169" ht="25.5" customHeight="1">
      <c r="A169" t="inlineStr">
        <is>
          <t>FR</t>
        </is>
      </c>
      <c r="B169" t="inlineStr">
        <is>
          <t>R0001EU</t>
        </is>
      </c>
      <c r="C169"/>
      <c r="D169" t="inlineStr">
        <is>
          <t>HES62-电（coupon-15%）</t>
        </is>
      </c>
      <c r="E169">
        <v>25.55</v>
      </c>
      <c r="F169">
        <v>36.99</v>
      </c>
      <c r="G169"/>
      <c r="H169"/>
      <c r="I169"/>
      <c r="J169"/>
      <c r="K169"/>
      <c r="L169"/>
      <c r="M169"/>
      <c r="N169"/>
      <c r="O169"/>
      <c r="P169">
        <v>30</v>
      </c>
      <c r="Q169">
        <v>8</v>
      </c>
      <c r="R169"/>
      <c r="S169"/>
      <c r="T169"/>
      <c r="U169">
        <v>0.01</v>
      </c>
      <c r="V169"/>
      <c r="W169"/>
      <c r="X169">
        <v>0.188</v>
      </c>
      <c r="Y169">
        <v>4</v>
      </c>
      <c r="Z169"/>
      <c r="AA169"/>
      <c r="AB169"/>
      <c r="AC169">
        <v>80.4</v>
      </c>
      <c r="AD169"/>
      <c r="AE169"/>
      <c r="AF169"/>
      <c r="AG169"/>
      <c r="AH169">
        <v>8</v>
      </c>
      <c r="AI169"/>
      <c r="AJ169"/>
      <c r="AK169"/>
      <c r="AL169"/>
      <c r="AM169"/>
      <c r="AN169"/>
      <c r="AO169"/>
      <c r="AP169"/>
      <c r="AQ169"/>
      <c r="AR169"/>
      <c r="AS169"/>
      <c r="AT169" t="inlineStr">
        <is>
          <t>☆</t>
        </is>
      </c>
      <c r="AU169" t="inlineStr">
        <is>
          <t>☆</t>
        </is>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c r="BS169" t="inlineStr">
        <is>
          <t>#VALUE!</t>
        </is>
      </c>
    </row>
    <row r="170" ht="25.5" customHeight="1">
      <c r="A170" t="inlineStr">
        <is>
          <t>IT</t>
        </is>
      </c>
      <c r="B170" t="inlineStr">
        <is>
          <t>R0001EU</t>
        </is>
      </c>
      <c r="C170"/>
      <c r="D170" t="inlineStr">
        <is>
          <t>HES62-电（coupon-0%）</t>
        </is>
      </c>
      <c r="E170">
        <v>25.55</v>
      </c>
      <c r="F170">
        <v>36.99</v>
      </c>
      <c r="G170"/>
      <c r="H170"/>
      <c r="I170"/>
      <c r="J170"/>
      <c r="K170"/>
      <c r="L170"/>
      <c r="M170"/>
      <c r="N170"/>
      <c r="O170"/>
      <c r="P170">
        <v>30</v>
      </c>
      <c r="Q170">
        <v>8</v>
      </c>
      <c r="R170"/>
      <c r="S170"/>
      <c r="T170"/>
      <c r="U170">
        <v>0.01</v>
      </c>
      <c r="V170"/>
      <c r="W170"/>
      <c r="X170">
        <v>0.188</v>
      </c>
      <c r="Y170">
        <v>4</v>
      </c>
      <c r="Z170">
        <v>0</v>
      </c>
      <c r="AA170"/>
      <c r="AB170"/>
      <c r="AC170">
        <v>80.4</v>
      </c>
      <c r="AD170"/>
      <c r="AE170"/>
      <c r="AF170"/>
      <c r="AG170"/>
      <c r="AH170">
        <v>8</v>
      </c>
      <c r="AI170"/>
      <c r="AJ170"/>
      <c r="AK170"/>
      <c r="AL170"/>
      <c r="AM170"/>
      <c r="AN170"/>
      <c r="AO170"/>
      <c r="AP170"/>
      <c r="AQ170"/>
      <c r="AR170"/>
      <c r="AS170"/>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c r="BS170" t="inlineStr">
        <is>
          <t>#VALUE!</t>
        </is>
      </c>
    </row>
    <row r="171" ht="25.5" customHeight="1">
      <c r="A171" t="inlineStr">
        <is>
          <t>IT</t>
        </is>
      </c>
      <c r="B171" t="inlineStr">
        <is>
          <t>R0001EU</t>
        </is>
      </c>
      <c r="C171"/>
      <c r="D171" t="inlineStr">
        <is>
          <t>HES62-电（coupon-10%）</t>
        </is>
      </c>
      <c r="E171">
        <v>25.55</v>
      </c>
      <c r="F171">
        <v>36.99</v>
      </c>
      <c r="G171"/>
      <c r="H171"/>
      <c r="I171"/>
      <c r="J171"/>
      <c r="K171"/>
      <c r="L171"/>
      <c r="M171"/>
      <c r="N171"/>
      <c r="O171"/>
      <c r="P171">
        <v>30</v>
      </c>
      <c r="Q171">
        <v>8</v>
      </c>
      <c r="R171"/>
      <c r="S171"/>
      <c r="T171"/>
      <c r="U171">
        <v>0.01</v>
      </c>
      <c r="V171"/>
      <c r="W171"/>
      <c r="X171">
        <v>0.188</v>
      </c>
      <c r="Y171">
        <v>4</v>
      </c>
      <c r="Z171"/>
      <c r="AA171"/>
      <c r="AB171"/>
      <c r="AC171">
        <v>80.4</v>
      </c>
      <c r="AD171"/>
      <c r="AE171"/>
      <c r="AF171"/>
      <c r="AG171"/>
      <c r="AH171">
        <v>8</v>
      </c>
      <c r="AI171"/>
      <c r="AJ171"/>
      <c r="AK171"/>
      <c r="AL171"/>
      <c r="AM171"/>
      <c r="AN171"/>
      <c r="AO171"/>
      <c r="AP171"/>
      <c r="AQ171"/>
      <c r="AR171"/>
      <c r="AS171"/>
      <c r="AT171" t="inlineStr">
        <is>
          <t>☆</t>
        </is>
      </c>
      <c r="AU171" t="inlineStr">
        <is>
          <t>☆</t>
        </is>
      </c>
      <c r="AV171" t="inlineStr">
        <is>
          <t>☆</t>
        </is>
      </c>
      <c r="AW171" t="inlineStr">
        <is>
          <t>☆</t>
        </is>
      </c>
      <c r="AX171" t="inlineStr">
        <is>
          <t>☆</t>
        </is>
      </c>
      <c r="AY171" t="inlineStr">
        <is>
          <t>☆</t>
        </is>
      </c>
      <c r="AZ171" t="inlineStr">
        <is>
          <t>☆</t>
        </is>
      </c>
      <c r="BA171" t="inlineStr">
        <is>
          <t>☆</t>
        </is>
      </c>
      <c r="BB171" t="inlineStr">
        <is>
          <t>☆</t>
        </is>
      </c>
      <c r="BC171" t="inlineStr">
        <is>
          <t>☆</t>
        </is>
      </c>
      <c r="BD171" t="inlineStr">
        <is>
          <t>☆</t>
        </is>
      </c>
      <c r="BE171" t="inlineStr">
        <is>
          <t>☆</t>
        </is>
      </c>
      <c r="BF171" t="inlineStr">
        <is>
          <t>☆</t>
        </is>
      </c>
      <c r="BG171" t="inlineStr">
        <is>
          <t>☆</t>
        </is>
      </c>
      <c r="BH171" t="inlineStr">
        <is>
          <t>☆</t>
        </is>
      </c>
      <c r="BI171" t="inlineStr">
        <is>
          <t>☆</t>
        </is>
      </c>
      <c r="BJ171" t="inlineStr">
        <is>
          <t>☆</t>
        </is>
      </c>
      <c r="BK171" t="inlineStr">
        <is>
          <t>☆</t>
        </is>
      </c>
      <c r="BL171" t="inlineStr">
        <is>
          <t>☆</t>
        </is>
      </c>
      <c r="BM171" t="inlineStr">
        <is>
          <t>☆</t>
        </is>
      </c>
      <c r="BN171" t="inlineStr">
        <is>
          <t>☆</t>
        </is>
      </c>
      <c r="BO171" t="inlineStr">
        <is>
          <t>☆</t>
        </is>
      </c>
      <c r="BP171" t="inlineStr">
        <is>
          <t>☆</t>
        </is>
      </c>
      <c r="BQ171" t="inlineStr">
        <is>
          <t>☆</t>
        </is>
      </c>
      <c r="BR171"/>
      <c r="BS171" t="inlineStr">
        <is>
          <t>#VALUE!</t>
        </is>
      </c>
    </row>
    <row r="172" ht="25.5" customHeight="1">
      <c r="A172" t="inlineStr">
        <is>
          <t>IT</t>
        </is>
      </c>
      <c r="B172" t="inlineStr">
        <is>
          <t>R0001EU</t>
        </is>
      </c>
      <c r="C172"/>
      <c r="D172" t="inlineStr">
        <is>
          <t>HES62-电（coupon-15%）</t>
        </is>
      </c>
      <c r="E172">
        <v>25.55</v>
      </c>
      <c r="F172">
        <v>36.99</v>
      </c>
      <c r="G172"/>
      <c r="H172"/>
      <c r="I172"/>
      <c r="J172"/>
      <c r="K172"/>
      <c r="L172"/>
      <c r="M172"/>
      <c r="N172"/>
      <c r="O172"/>
      <c r="P172">
        <v>30</v>
      </c>
      <c r="Q172">
        <v>8</v>
      </c>
      <c r="R172"/>
      <c r="S172"/>
      <c r="T172"/>
      <c r="U172">
        <v>0.01</v>
      </c>
      <c r="V172"/>
      <c r="W172"/>
      <c r="X172">
        <v>0.188</v>
      </c>
      <c r="Y172">
        <v>4</v>
      </c>
      <c r="Z172"/>
      <c r="AA172"/>
      <c r="AB172"/>
      <c r="AC172">
        <v>80.4</v>
      </c>
      <c r="AD172"/>
      <c r="AE172"/>
      <c r="AF172"/>
      <c r="AG172"/>
      <c r="AH172">
        <v>8</v>
      </c>
      <c r="AI172"/>
      <c r="AJ172"/>
      <c r="AK172"/>
      <c r="AL172"/>
      <c r="AM172"/>
      <c r="AN172"/>
      <c r="AO172"/>
      <c r="AP172"/>
      <c r="AQ172"/>
      <c r="AR172"/>
      <c r="AS172"/>
      <c r="AT172" t="inlineStr">
        <is>
          <t>☆</t>
        </is>
      </c>
      <c r="AU172" t="inlineStr">
        <is>
          <t>☆</t>
        </is>
      </c>
      <c r="AV172" t="inlineStr">
        <is>
          <t>☆</t>
        </is>
      </c>
      <c r="AW172" t="inlineStr">
        <is>
          <t>☆</t>
        </is>
      </c>
      <c r="AX172" t="inlineStr">
        <is>
          <t>☆</t>
        </is>
      </c>
      <c r="AY172" t="inlineStr">
        <is>
          <t>☆</t>
        </is>
      </c>
      <c r="AZ172" t="inlineStr">
        <is>
          <t>☆</t>
        </is>
      </c>
      <c r="BA172" t="inlineStr">
        <is>
          <t>☆</t>
        </is>
      </c>
      <c r="BB172" t="inlineStr">
        <is>
          <t>☆</t>
        </is>
      </c>
      <c r="BC172" t="inlineStr">
        <is>
          <t>☆</t>
        </is>
      </c>
      <c r="BD172" t="inlineStr">
        <is>
          <t>☆</t>
        </is>
      </c>
      <c r="BE172" t="inlineStr">
        <is>
          <t>☆</t>
        </is>
      </c>
      <c r="BF172" t="inlineStr">
        <is>
          <t>☆</t>
        </is>
      </c>
      <c r="BG172" t="inlineStr">
        <is>
          <t>☆</t>
        </is>
      </c>
      <c r="BH172" t="inlineStr">
        <is>
          <t>☆</t>
        </is>
      </c>
      <c r="BI172" t="inlineStr">
        <is>
          <t>☆</t>
        </is>
      </c>
      <c r="BJ172" t="inlineStr">
        <is>
          <t>☆</t>
        </is>
      </c>
      <c r="BK172" t="inlineStr">
        <is>
          <t>☆</t>
        </is>
      </c>
      <c r="BL172" t="inlineStr">
        <is>
          <t>☆</t>
        </is>
      </c>
      <c r="BM172" t="inlineStr">
        <is>
          <t>☆</t>
        </is>
      </c>
      <c r="BN172" t="inlineStr">
        <is>
          <t>☆</t>
        </is>
      </c>
      <c r="BO172" t="inlineStr">
        <is>
          <t>☆</t>
        </is>
      </c>
      <c r="BP172" t="inlineStr">
        <is>
          <t>☆</t>
        </is>
      </c>
      <c r="BQ172" t="inlineStr">
        <is>
          <t>☆</t>
        </is>
      </c>
      <c r="BR172"/>
      <c r="BS172" t="inlineStr">
        <is>
          <t>#VALUE!</t>
        </is>
      </c>
    </row>
    <row r="173" ht="25.5" customHeight="1">
      <c r="A173" t="inlineStr">
        <is>
          <t>ES</t>
        </is>
      </c>
      <c r="B173" t="inlineStr">
        <is>
          <t>R0001EU</t>
        </is>
      </c>
      <c r="C173"/>
      <c r="D173" t="inlineStr">
        <is>
          <t>HES62-电（coupon-0%）</t>
        </is>
      </c>
      <c r="E173">
        <v>25.55</v>
      </c>
      <c r="F173">
        <v>36.99</v>
      </c>
      <c r="G173"/>
      <c r="H173"/>
      <c r="I173"/>
      <c r="J173"/>
      <c r="K173"/>
      <c r="L173"/>
      <c r="M173"/>
      <c r="N173"/>
      <c r="O173"/>
      <c r="P173">
        <v>30</v>
      </c>
      <c r="Q173">
        <v>8</v>
      </c>
      <c r="R173"/>
      <c r="S173"/>
      <c r="T173"/>
      <c r="U173">
        <v>0.01</v>
      </c>
      <c r="V173"/>
      <c r="W173"/>
      <c r="X173">
        <v>0.188</v>
      </c>
      <c r="Y173">
        <v>4</v>
      </c>
      <c r="Z173">
        <v>0</v>
      </c>
      <c r="AA173"/>
      <c r="AB173"/>
      <c r="AC173">
        <v>80.4</v>
      </c>
      <c r="AD173"/>
      <c r="AE173"/>
      <c r="AF173"/>
      <c r="AG173"/>
      <c r="AH173">
        <v>8</v>
      </c>
      <c r="AI173"/>
      <c r="AJ173"/>
      <c r="AK173"/>
      <c r="AL173"/>
      <c r="AM173"/>
      <c r="AN173"/>
      <c r="AO173"/>
      <c r="AP173"/>
      <c r="AQ173"/>
      <c r="AR173"/>
      <c r="AS173"/>
      <c r="AT173" t="inlineStr">
        <is>
          <t>☆</t>
        </is>
      </c>
      <c r="AU173" t="inlineStr">
        <is>
          <t>☆</t>
        </is>
      </c>
      <c r="AV173" t="inlineStr">
        <is>
          <t>☆</t>
        </is>
      </c>
      <c r="AW173" t="inlineStr">
        <is>
          <t>☆</t>
        </is>
      </c>
      <c r="AX173" t="inlineStr">
        <is>
          <t>☆</t>
        </is>
      </c>
      <c r="AY173" t="inlineStr">
        <is>
          <t>☆</t>
        </is>
      </c>
      <c r="AZ173" t="inlineStr">
        <is>
          <t>☆</t>
        </is>
      </c>
      <c r="BA173" t="inlineStr">
        <is>
          <t>☆</t>
        </is>
      </c>
      <c r="BB173" t="inlineStr">
        <is>
          <t>☆</t>
        </is>
      </c>
      <c r="BC173" t="inlineStr">
        <is>
          <t>☆</t>
        </is>
      </c>
      <c r="BD173" t="inlineStr">
        <is>
          <t>☆</t>
        </is>
      </c>
      <c r="BE173" t="inlineStr">
        <is>
          <t>☆</t>
        </is>
      </c>
      <c r="BF173" t="inlineStr">
        <is>
          <t>☆</t>
        </is>
      </c>
      <c r="BG173" t="inlineStr">
        <is>
          <t>☆</t>
        </is>
      </c>
      <c r="BH173" t="inlineStr">
        <is>
          <t>☆</t>
        </is>
      </c>
      <c r="BI173" t="inlineStr">
        <is>
          <t>☆</t>
        </is>
      </c>
      <c r="BJ173" t="inlineStr">
        <is>
          <t>☆</t>
        </is>
      </c>
      <c r="BK173" t="inlineStr">
        <is>
          <t>☆</t>
        </is>
      </c>
      <c r="BL173" t="inlineStr">
        <is>
          <t>☆</t>
        </is>
      </c>
      <c r="BM173" t="inlineStr">
        <is>
          <t>☆</t>
        </is>
      </c>
      <c r="BN173" t="inlineStr">
        <is>
          <t>☆</t>
        </is>
      </c>
      <c r="BO173" t="inlineStr">
        <is>
          <t>☆</t>
        </is>
      </c>
      <c r="BP173" t="inlineStr">
        <is>
          <t>☆</t>
        </is>
      </c>
      <c r="BQ173" t="inlineStr">
        <is>
          <t>☆</t>
        </is>
      </c>
      <c r="BR173"/>
      <c r="BS173" t="inlineStr">
        <is>
          <t>#VALUE!</t>
        </is>
      </c>
    </row>
    <row r="174" ht="25.5" customHeight="1">
      <c r="A174" t="inlineStr">
        <is>
          <t>ES</t>
        </is>
      </c>
      <c r="B174" t="inlineStr">
        <is>
          <t>R0001EU</t>
        </is>
      </c>
      <c r="C174"/>
      <c r="D174" t="inlineStr">
        <is>
          <t>HES62-电（coupon-10%）</t>
        </is>
      </c>
      <c r="E174">
        <v>25.55</v>
      </c>
      <c r="F174">
        <v>36.99</v>
      </c>
      <c r="G174"/>
      <c r="H174"/>
      <c r="I174"/>
      <c r="J174"/>
      <c r="K174"/>
      <c r="L174"/>
      <c r="M174"/>
      <c r="N174"/>
      <c r="O174"/>
      <c r="P174">
        <v>30</v>
      </c>
      <c r="Q174">
        <v>8</v>
      </c>
      <c r="R174"/>
      <c r="S174"/>
      <c r="T174"/>
      <c r="U174">
        <v>0.01</v>
      </c>
      <c r="V174"/>
      <c r="W174"/>
      <c r="X174">
        <v>0.188</v>
      </c>
      <c r="Y174">
        <v>4</v>
      </c>
      <c r="Z174"/>
      <c r="AA174"/>
      <c r="AB174"/>
      <c r="AC174">
        <v>80.4</v>
      </c>
      <c r="AD174"/>
      <c r="AE174"/>
      <c r="AF174"/>
      <c r="AG174"/>
      <c r="AH174">
        <v>8</v>
      </c>
      <c r="AI174"/>
      <c r="AJ174"/>
      <c r="AK174"/>
      <c r="AL174"/>
      <c r="AM174"/>
      <c r="AN174"/>
      <c r="AO174"/>
      <c r="AP174"/>
      <c r="AQ174"/>
      <c r="AR174"/>
      <c r="AS174"/>
      <c r="AT174" t="inlineStr">
        <is>
          <t>☆</t>
        </is>
      </c>
      <c r="AU174" t="inlineStr">
        <is>
          <t>☆</t>
        </is>
      </c>
      <c r="AV174" t="inlineStr">
        <is>
          <t>☆</t>
        </is>
      </c>
      <c r="AW174" t="inlineStr">
        <is>
          <t>☆</t>
        </is>
      </c>
      <c r="AX174" t="inlineStr">
        <is>
          <t>☆</t>
        </is>
      </c>
      <c r="AY174" t="inlineStr">
        <is>
          <t>☆</t>
        </is>
      </c>
      <c r="AZ174" t="inlineStr">
        <is>
          <t>☆</t>
        </is>
      </c>
      <c r="BA174" t="inlineStr">
        <is>
          <t>☆</t>
        </is>
      </c>
      <c r="BB174" t="inlineStr">
        <is>
          <t>☆</t>
        </is>
      </c>
      <c r="BC174" t="inlineStr">
        <is>
          <t>☆</t>
        </is>
      </c>
      <c r="BD174" t="inlineStr">
        <is>
          <t>☆</t>
        </is>
      </c>
      <c r="BE174" t="inlineStr">
        <is>
          <t>☆</t>
        </is>
      </c>
      <c r="BF174" t="inlineStr">
        <is>
          <t>☆</t>
        </is>
      </c>
      <c r="BG174" t="inlineStr">
        <is>
          <t>☆</t>
        </is>
      </c>
      <c r="BH174" t="inlineStr">
        <is>
          <t>☆</t>
        </is>
      </c>
      <c r="BI174" t="inlineStr">
        <is>
          <t>☆</t>
        </is>
      </c>
      <c r="BJ174" t="inlineStr">
        <is>
          <t>☆</t>
        </is>
      </c>
      <c r="BK174" t="inlineStr">
        <is>
          <t>☆</t>
        </is>
      </c>
      <c r="BL174" t="inlineStr">
        <is>
          <t>☆</t>
        </is>
      </c>
      <c r="BM174" t="inlineStr">
        <is>
          <t>☆</t>
        </is>
      </c>
      <c r="BN174" t="inlineStr">
        <is>
          <t>☆</t>
        </is>
      </c>
      <c r="BO174" t="inlineStr">
        <is>
          <t>☆</t>
        </is>
      </c>
      <c r="BP174" t="inlineStr">
        <is>
          <t>☆</t>
        </is>
      </c>
      <c r="BQ174" t="inlineStr">
        <is>
          <t>☆</t>
        </is>
      </c>
      <c r="BR174"/>
      <c r="BS174" t="inlineStr">
        <is>
          <t>#VALUE!</t>
        </is>
      </c>
    </row>
    <row r="175" ht="25.5" customHeight="1">
      <c r="A175" t="inlineStr">
        <is>
          <t>ES</t>
        </is>
      </c>
      <c r="B175" t="inlineStr">
        <is>
          <t>R0001EU</t>
        </is>
      </c>
      <c r="C175"/>
      <c r="D175" t="inlineStr">
        <is>
          <t>HES62-电（coupon-15%）</t>
        </is>
      </c>
      <c r="E175">
        <v>25.55</v>
      </c>
      <c r="F175">
        <v>36.99</v>
      </c>
      <c r="G175"/>
      <c r="H175"/>
      <c r="I175"/>
      <c r="J175"/>
      <c r="K175"/>
      <c r="L175"/>
      <c r="M175"/>
      <c r="N175"/>
      <c r="O175"/>
      <c r="P175">
        <v>30</v>
      </c>
      <c r="Q175">
        <v>8</v>
      </c>
      <c r="R175"/>
      <c r="S175"/>
      <c r="T175"/>
      <c r="U175">
        <v>0.01</v>
      </c>
      <c r="V175"/>
      <c r="W175"/>
      <c r="X175">
        <v>0.188</v>
      </c>
      <c r="Y175">
        <v>4</v>
      </c>
      <c r="Z175"/>
      <c r="AA175"/>
      <c r="AB175"/>
      <c r="AC175">
        <v>80.4</v>
      </c>
      <c r="AD175"/>
      <c r="AE175"/>
      <c r="AF175"/>
      <c r="AG175"/>
      <c r="AH175">
        <v>8</v>
      </c>
      <c r="AI175"/>
      <c r="AJ175"/>
      <c r="AK175"/>
      <c r="AL175"/>
      <c r="AM175"/>
      <c r="AN175"/>
      <c r="AO175"/>
      <c r="AP175"/>
      <c r="AQ175"/>
      <c r="AR175"/>
      <c r="AS175"/>
      <c r="AT175" t="inlineStr">
        <is>
          <t>☆</t>
        </is>
      </c>
      <c r="AU175" t="inlineStr">
        <is>
          <t>☆</t>
        </is>
      </c>
      <c r="AV175" t="inlineStr">
        <is>
          <t>☆</t>
        </is>
      </c>
      <c r="AW175" t="inlineStr">
        <is>
          <t>☆</t>
        </is>
      </c>
      <c r="AX175" t="inlineStr">
        <is>
          <t>☆</t>
        </is>
      </c>
      <c r="AY175" t="inlineStr">
        <is>
          <t>☆</t>
        </is>
      </c>
      <c r="AZ175" t="inlineStr">
        <is>
          <t>☆</t>
        </is>
      </c>
      <c r="BA175" t="inlineStr">
        <is>
          <t>☆</t>
        </is>
      </c>
      <c r="BB175" t="inlineStr">
        <is>
          <t>☆</t>
        </is>
      </c>
      <c r="BC175" t="inlineStr">
        <is>
          <t>☆</t>
        </is>
      </c>
      <c r="BD175" t="inlineStr">
        <is>
          <t>☆</t>
        </is>
      </c>
      <c r="BE175" t="inlineStr">
        <is>
          <t>☆</t>
        </is>
      </c>
      <c r="BF175" t="inlineStr">
        <is>
          <t>☆</t>
        </is>
      </c>
      <c r="BG175" t="inlineStr">
        <is>
          <t>☆</t>
        </is>
      </c>
      <c r="BH175" t="inlineStr">
        <is>
          <t>☆</t>
        </is>
      </c>
      <c r="BI175" t="inlineStr">
        <is>
          <t>☆</t>
        </is>
      </c>
      <c r="BJ175" t="inlineStr">
        <is>
          <t>☆</t>
        </is>
      </c>
      <c r="BK175" t="inlineStr">
        <is>
          <t>☆</t>
        </is>
      </c>
      <c r="BL175" t="inlineStr">
        <is>
          <t>☆</t>
        </is>
      </c>
      <c r="BM175" t="inlineStr">
        <is>
          <t>☆</t>
        </is>
      </c>
      <c r="BN175" t="inlineStr">
        <is>
          <t>☆</t>
        </is>
      </c>
      <c r="BO175" t="inlineStr">
        <is>
          <t>☆</t>
        </is>
      </c>
      <c r="BP175" t="inlineStr">
        <is>
          <t>☆</t>
        </is>
      </c>
      <c r="BQ175" t="inlineStr">
        <is>
          <t>☆</t>
        </is>
      </c>
      <c r="BR175"/>
      <c r="BS175" t="inlineStr">
        <is>
          <t>#VALUE!</t>
        </is>
      </c>
    </row>
    <row r="176" ht="25.5" customHeight="1">
      <c r="A176" t="inlineStr">
        <is>
          <t>NL</t>
        </is>
      </c>
      <c r="B176" t="inlineStr">
        <is>
          <t>R0001EU</t>
        </is>
      </c>
      <c r="C176"/>
      <c r="D176" t="inlineStr">
        <is>
          <t>HES62-电荷兰</t>
        </is>
      </c>
      <c r="E176">
        <v>34</v>
      </c>
      <c r="F176">
        <v>49.99</v>
      </c>
      <c r="G176"/>
      <c r="H176"/>
      <c r="I176"/>
      <c r="J176"/>
      <c r="K176"/>
      <c r="L176"/>
      <c r="M176"/>
      <c r="N176"/>
      <c r="O176"/>
      <c r="P176">
        <v>30</v>
      </c>
      <c r="Q176">
        <v>8</v>
      </c>
      <c r="R176"/>
      <c r="S176"/>
      <c r="T176"/>
      <c r="U176">
        <v>0.01</v>
      </c>
      <c r="V176"/>
      <c r="W176"/>
      <c r="X176">
        <v>0.188</v>
      </c>
      <c r="Y176">
        <v>0</v>
      </c>
      <c r="Z176"/>
      <c r="AA176"/>
      <c r="AB176"/>
      <c r="AC176">
        <v>80.4</v>
      </c>
      <c r="AD176"/>
      <c r="AE176"/>
      <c r="AF176"/>
      <c r="AG176"/>
      <c r="AH176">
        <v>8</v>
      </c>
      <c r="AI176"/>
      <c r="AJ176"/>
      <c r="AK176"/>
      <c r="AL176"/>
      <c r="AM176"/>
      <c r="AN176"/>
      <c r="AO176"/>
      <c r="AP176"/>
      <c r="AQ176"/>
      <c r="AR176"/>
      <c r="AS176"/>
      <c r="AT176" t="inlineStr">
        <is>
          <t>☆</t>
        </is>
      </c>
      <c r="AU176" t="inlineStr">
        <is>
          <t>☆</t>
        </is>
      </c>
      <c r="AV176" t="inlineStr">
        <is>
          <t>☆</t>
        </is>
      </c>
      <c r="AW176" t="inlineStr">
        <is>
          <t>☆</t>
        </is>
      </c>
      <c r="AX176" t="inlineStr">
        <is>
          <t>☆</t>
        </is>
      </c>
      <c r="AY176" t="inlineStr">
        <is>
          <t>☆</t>
        </is>
      </c>
      <c r="AZ176" t="inlineStr">
        <is>
          <t>☆</t>
        </is>
      </c>
      <c r="BA176" t="inlineStr">
        <is>
          <t>☆</t>
        </is>
      </c>
      <c r="BB176" t="inlineStr">
        <is>
          <t>☆</t>
        </is>
      </c>
      <c r="BC176" t="inlineStr">
        <is>
          <t>☆</t>
        </is>
      </c>
      <c r="BD176" t="inlineStr">
        <is>
          <t>☆</t>
        </is>
      </c>
      <c r="BE176" t="inlineStr">
        <is>
          <t>☆</t>
        </is>
      </c>
      <c r="BF176" t="inlineStr">
        <is>
          <t>☆</t>
        </is>
      </c>
      <c r="BG176" t="inlineStr">
        <is>
          <t>☆</t>
        </is>
      </c>
      <c r="BH176" t="inlineStr">
        <is>
          <t>☆</t>
        </is>
      </c>
      <c r="BI176" t="inlineStr">
        <is>
          <t>☆</t>
        </is>
      </c>
      <c r="BJ176" t="inlineStr">
        <is>
          <t>☆</t>
        </is>
      </c>
      <c r="BK176" t="inlineStr">
        <is>
          <t>☆</t>
        </is>
      </c>
      <c r="BL176" t="inlineStr">
        <is>
          <t>☆</t>
        </is>
      </c>
      <c r="BM176" t="inlineStr">
        <is>
          <t>☆</t>
        </is>
      </c>
      <c r="BN176" t="inlineStr">
        <is>
          <t>☆</t>
        </is>
      </c>
      <c r="BO176" t="inlineStr">
        <is>
          <t>☆</t>
        </is>
      </c>
      <c r="BP176" t="inlineStr">
        <is>
          <t>☆</t>
        </is>
      </c>
      <c r="BQ176" t="inlineStr">
        <is>
          <t>☆</t>
        </is>
      </c>
      <c r="BR176"/>
      <c r="BS176" t="inlineStr">
        <is>
          <t>#VALUE!</t>
        </is>
      </c>
    </row>
    <row r="177" ht="25.5" customHeight="1">
      <c r="A177" t="inlineStr">
        <is>
          <t>PL</t>
        </is>
      </c>
      <c r="B177" t="inlineStr">
        <is>
          <t>R0001EU</t>
        </is>
      </c>
      <c r="C177"/>
      <c r="D177" t="inlineStr">
        <is>
          <t>HES62-电波兰</t>
        </is>
      </c>
      <c r="E177">
        <v>34</v>
      </c>
      <c r="F177">
        <v>49.99</v>
      </c>
      <c r="G177"/>
      <c r="H177"/>
      <c r="I177"/>
      <c r="J177"/>
      <c r="K177"/>
      <c r="L177"/>
      <c r="M177"/>
      <c r="N177"/>
      <c r="O177"/>
      <c r="P177">
        <v>30</v>
      </c>
      <c r="Q177">
        <v>8</v>
      </c>
      <c r="R177"/>
      <c r="S177"/>
      <c r="T177"/>
      <c r="U177">
        <v>0.01</v>
      </c>
      <c r="V177"/>
      <c r="W177"/>
      <c r="X177">
        <v>0.188</v>
      </c>
      <c r="Y177">
        <v>0</v>
      </c>
      <c r="Z177"/>
      <c r="AA177"/>
      <c r="AB177"/>
      <c r="AC177">
        <v>80.4</v>
      </c>
      <c r="AD177"/>
      <c r="AE177"/>
      <c r="AF177"/>
      <c r="AG177"/>
      <c r="AH177">
        <v>8</v>
      </c>
      <c r="AI177"/>
      <c r="AJ177"/>
      <c r="AK177"/>
      <c r="AL177"/>
      <c r="AM177"/>
      <c r="AN177"/>
      <c r="AO177"/>
      <c r="AP177"/>
      <c r="AQ177"/>
      <c r="AR177"/>
      <c r="AS177"/>
      <c r="AT177" t="inlineStr">
        <is>
          <t>☆</t>
        </is>
      </c>
      <c r="AU177" t="inlineStr">
        <is>
          <t>☆</t>
        </is>
      </c>
      <c r="AV177" t="inlineStr">
        <is>
          <t>☆</t>
        </is>
      </c>
      <c r="AW177" t="inlineStr">
        <is>
          <t>☆</t>
        </is>
      </c>
      <c r="AX177" t="inlineStr">
        <is>
          <t>☆</t>
        </is>
      </c>
      <c r="AY177" t="inlineStr">
        <is>
          <t>☆</t>
        </is>
      </c>
      <c r="AZ177" t="inlineStr">
        <is>
          <t>☆</t>
        </is>
      </c>
      <c r="BA177" t="inlineStr">
        <is>
          <t>☆</t>
        </is>
      </c>
      <c r="BB177" t="inlineStr">
        <is>
          <t>☆</t>
        </is>
      </c>
      <c r="BC177" t="inlineStr">
        <is>
          <t>☆</t>
        </is>
      </c>
      <c r="BD177" t="inlineStr">
        <is>
          <t>☆</t>
        </is>
      </c>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c r="BS177" t="inlineStr">
        <is>
          <t>#VALUE!</t>
        </is>
      </c>
    </row>
    <row r="178" ht="25.5" customHeight="1">
      <c r="A178" t="inlineStr">
        <is>
          <t>SE</t>
        </is>
      </c>
      <c r="B178" t="inlineStr">
        <is>
          <t>R0001EU</t>
        </is>
      </c>
      <c r="C178"/>
      <c r="D178" t="inlineStr">
        <is>
          <t>HES62-电瑞典</t>
        </is>
      </c>
      <c r="E178">
        <v>34.5</v>
      </c>
      <c r="F178">
        <v>49.99</v>
      </c>
      <c r="G178"/>
      <c r="H178"/>
      <c r="I178"/>
      <c r="J178"/>
      <c r="K178"/>
      <c r="L178"/>
      <c r="M178"/>
      <c r="N178"/>
      <c r="O178"/>
      <c r="P178">
        <v>30</v>
      </c>
      <c r="Q178">
        <v>8</v>
      </c>
      <c r="R178"/>
      <c r="S178"/>
      <c r="T178"/>
      <c r="U178">
        <v>0.01</v>
      </c>
      <c r="V178"/>
      <c r="W178"/>
      <c r="X178">
        <v>0.188</v>
      </c>
      <c r="Y178">
        <v>0</v>
      </c>
      <c r="Z178"/>
      <c r="AA178"/>
      <c r="AB178"/>
      <c r="AC178">
        <v>80.4</v>
      </c>
      <c r="AD178"/>
      <c r="AE178"/>
      <c r="AF178"/>
      <c r="AG178"/>
      <c r="AH178">
        <v>8</v>
      </c>
      <c r="AI178"/>
      <c r="AJ178"/>
      <c r="AK178"/>
      <c r="AL178"/>
      <c r="AM178"/>
      <c r="AN178"/>
      <c r="AO178"/>
      <c r="AP178"/>
      <c r="AQ178"/>
      <c r="AR178"/>
      <c r="AS178"/>
      <c r="AT178" t="inlineStr">
        <is>
          <t>☆</t>
        </is>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c r="BS178" t="inlineStr">
        <is>
          <t>#VALUE!</t>
        </is>
      </c>
    </row>
    <row r="179" ht="25.5" customHeight="1">
      <c r="A179" t="inlineStr">
        <is>
          <t>BE</t>
        </is>
      </c>
      <c r="B179" t="inlineStr">
        <is>
          <t>R0001EU</t>
        </is>
      </c>
      <c r="C179"/>
      <c r="D179" t="inlineStr">
        <is>
          <t>HES62-电比利时</t>
        </is>
      </c>
      <c r="E179">
        <v>34</v>
      </c>
      <c r="F179">
        <v>49.99</v>
      </c>
      <c r="G179"/>
      <c r="H179"/>
      <c r="I179"/>
      <c r="J179"/>
      <c r="K179"/>
      <c r="L179"/>
      <c r="M179"/>
      <c r="N179"/>
      <c r="O179"/>
      <c r="P179">
        <v>30</v>
      </c>
      <c r="Q179">
        <v>8</v>
      </c>
      <c r="R179"/>
      <c r="S179"/>
      <c r="T179"/>
      <c r="U179">
        <v>0.01</v>
      </c>
      <c r="V179"/>
      <c r="W179"/>
      <c r="X179">
        <v>0.188</v>
      </c>
      <c r="Y179">
        <v>0</v>
      </c>
      <c r="Z179"/>
      <c r="AA179"/>
      <c r="AB179"/>
      <c r="AC179">
        <v>80.4</v>
      </c>
      <c r="AD179"/>
      <c r="AE179"/>
      <c r="AF179"/>
      <c r="AG179"/>
      <c r="AH179">
        <v>8</v>
      </c>
      <c r="AI179"/>
      <c r="AJ179"/>
      <c r="AK179"/>
      <c r="AL179"/>
      <c r="AM179"/>
      <c r="AN179"/>
      <c r="AO179"/>
      <c r="AP179"/>
      <c r="AQ179"/>
      <c r="AR179"/>
      <c r="AS179"/>
      <c r="AT179" t="inlineStr">
        <is>
          <t>☆</t>
        </is>
      </c>
      <c r="AU179" t="inlineStr">
        <is>
          <t>☆</t>
        </is>
      </c>
      <c r="AV179" t="inlineStr">
        <is>
          <t>☆</t>
        </is>
      </c>
      <c r="AW179" t="inlineStr">
        <is>
          <t>☆</t>
        </is>
      </c>
      <c r="AX179" t="inlineStr">
        <is>
          <t>☆</t>
        </is>
      </c>
      <c r="AY179" t="inlineStr">
        <is>
          <t>☆</t>
        </is>
      </c>
      <c r="AZ179" t="inlineStr">
        <is>
          <t>☆</t>
        </is>
      </c>
      <c r="BA179" t="inlineStr">
        <is>
          <t>☆</t>
        </is>
      </c>
      <c r="BB179" t="inlineStr">
        <is>
          <t>☆</t>
        </is>
      </c>
      <c r="BC179" t="inlineStr">
        <is>
          <t>☆</t>
        </is>
      </c>
      <c r="BD179" t="inlineStr">
        <is>
          <t>☆</t>
        </is>
      </c>
      <c r="BE179" t="inlineStr">
        <is>
          <t>☆</t>
        </is>
      </c>
      <c r="BF179" t="inlineStr">
        <is>
          <t>☆</t>
        </is>
      </c>
      <c r="BG179" t="inlineStr">
        <is>
          <t>☆</t>
        </is>
      </c>
      <c r="BH179" t="inlineStr">
        <is>
          <t>☆</t>
        </is>
      </c>
      <c r="BI179" t="inlineStr">
        <is>
          <t>☆</t>
        </is>
      </c>
      <c r="BJ179" t="inlineStr">
        <is>
          <t>☆</t>
        </is>
      </c>
      <c r="BK179" t="inlineStr">
        <is>
          <t>☆</t>
        </is>
      </c>
      <c r="BL179" t="inlineStr">
        <is>
          <t>☆</t>
        </is>
      </c>
      <c r="BM179" t="inlineStr">
        <is>
          <t>☆</t>
        </is>
      </c>
      <c r="BN179" t="inlineStr">
        <is>
          <t>☆</t>
        </is>
      </c>
      <c r="BO179" t="inlineStr">
        <is>
          <t>☆</t>
        </is>
      </c>
      <c r="BP179" t="inlineStr">
        <is>
          <t>☆</t>
        </is>
      </c>
      <c r="BQ179" t="inlineStr">
        <is>
          <t>☆</t>
        </is>
      </c>
      <c r="BR179"/>
      <c r="BS179" t="inlineStr">
        <is>
          <t>#VALUE!</t>
        </is>
      </c>
    </row>
    <row r="180" ht="25.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row>
    <row r="181" ht="25.5" customHeight="1">
      <c r="A181" t="inlineStr">
        <is>
          <t>UK</t>
        </is>
      </c>
      <c r="B181" t="inlineStr">
        <is>
          <t>R0001UK</t>
        </is>
      </c>
      <c r="C181"/>
      <c r="D181" t="inlineStr">
        <is>
          <t>HPS39-手（coupon-0%）</t>
        </is>
      </c>
      <c r="E181">
        <v>10.3</v>
      </c>
      <c r="F181">
        <v>14.99</v>
      </c>
      <c r="G181"/>
      <c r="H181"/>
      <c r="I181"/>
      <c r="J181"/>
      <c r="K181"/>
      <c r="L181"/>
      <c r="M181"/>
      <c r="N181"/>
      <c r="O181"/>
      <c r="P181">
        <v>50</v>
      </c>
      <c r="Q181">
        <v>9</v>
      </c>
      <c r="R181"/>
      <c r="S181"/>
      <c r="T181"/>
      <c r="U181">
        <v>0.01</v>
      </c>
      <c r="V181"/>
      <c r="W181"/>
      <c r="X181">
        <v>0.178</v>
      </c>
      <c r="Y181">
        <v>2.5</v>
      </c>
      <c r="Z181"/>
      <c r="AA181"/>
      <c r="AB181"/>
      <c r="AC181">
        <v>29.4</v>
      </c>
      <c r="AD181"/>
      <c r="AE181"/>
      <c r="AF181"/>
      <c r="AG181"/>
      <c r="AH181">
        <v>4</v>
      </c>
      <c r="AI181"/>
      <c r="AJ181"/>
      <c r="AK181"/>
      <c r="AL181"/>
      <c r="AM181"/>
      <c r="AN181"/>
      <c r="AO181"/>
      <c r="AP181"/>
      <c r="AQ181"/>
      <c r="AR181"/>
      <c r="AS181"/>
      <c r="AT181" t="inlineStr">
        <is>
          <t>☆</t>
        </is>
      </c>
      <c r="AU181" t="inlineStr">
        <is>
          <t>☆</t>
        </is>
      </c>
      <c r="AV181" t="inlineStr">
        <is>
          <t>☆</t>
        </is>
      </c>
      <c r="AW181" t="inlineStr">
        <is>
          <t>☆</t>
        </is>
      </c>
      <c r="AX181" t="inlineStr">
        <is>
          <t>☆</t>
        </is>
      </c>
      <c r="AY181" t="inlineStr">
        <is>
          <t>☆</t>
        </is>
      </c>
      <c r="AZ181" t="inlineStr">
        <is>
          <t>☆</t>
        </is>
      </c>
      <c r="BA181" t="inlineStr">
        <is>
          <t>☆</t>
        </is>
      </c>
      <c r="BB181" t="inlineStr">
        <is>
          <t>☆</t>
        </is>
      </c>
      <c r="BC181" t="inlineStr">
        <is>
          <t>☆</t>
        </is>
      </c>
      <c r="BD181" t="inlineStr">
        <is>
          <t>☆</t>
        </is>
      </c>
      <c r="BE181" t="inlineStr">
        <is>
          <t>☆</t>
        </is>
      </c>
      <c r="BF181" t="inlineStr">
        <is>
          <t>☆</t>
        </is>
      </c>
      <c r="BG181" t="inlineStr">
        <is>
          <t>☆</t>
        </is>
      </c>
      <c r="BH181" t="inlineStr">
        <is>
          <t>☆</t>
        </is>
      </c>
      <c r="BI181" t="inlineStr">
        <is>
          <t>☆</t>
        </is>
      </c>
      <c r="BJ181" t="inlineStr">
        <is>
          <t>☆</t>
        </is>
      </c>
      <c r="BK181" t="inlineStr">
        <is>
          <t>☆</t>
        </is>
      </c>
      <c r="BL181" t="inlineStr">
        <is>
          <t>☆</t>
        </is>
      </c>
      <c r="BM181" t="inlineStr">
        <is>
          <t>☆</t>
        </is>
      </c>
      <c r="BN181" t="inlineStr">
        <is>
          <t>☆</t>
        </is>
      </c>
      <c r="BO181" t="inlineStr">
        <is>
          <t>☆</t>
        </is>
      </c>
      <c r="BP181" t="inlineStr">
        <is>
          <t>☆</t>
        </is>
      </c>
      <c r="BQ181" t="inlineStr">
        <is>
          <t>☆</t>
        </is>
      </c>
      <c r="BR181"/>
      <c r="BS181" t="inlineStr">
        <is>
          <t>#VALUE!</t>
        </is>
      </c>
    </row>
    <row r="182" ht="25.5" customHeight="1">
      <c r="A182" t="inlineStr">
        <is>
          <t>UK</t>
        </is>
      </c>
      <c r="B182" t="inlineStr">
        <is>
          <t>R0001UK</t>
        </is>
      </c>
      <c r="C182"/>
      <c r="D182" t="inlineStr">
        <is>
          <t>HPS39-手（coupon-10%）</t>
        </is>
      </c>
      <c r="E182">
        <v>10.3</v>
      </c>
      <c r="F182">
        <v>14.99</v>
      </c>
      <c r="G182"/>
      <c r="H182"/>
      <c r="I182"/>
      <c r="J182"/>
      <c r="K182"/>
      <c r="L182"/>
      <c r="M182"/>
      <c r="N182"/>
      <c r="O182"/>
      <c r="P182">
        <v>50</v>
      </c>
      <c r="Q182">
        <v>9</v>
      </c>
      <c r="R182"/>
      <c r="S182"/>
      <c r="T182"/>
      <c r="U182">
        <v>0.01</v>
      </c>
      <c r="V182"/>
      <c r="W182"/>
      <c r="X182">
        <v>0.178</v>
      </c>
      <c r="Y182">
        <v>2.5</v>
      </c>
      <c r="Z182"/>
      <c r="AA182"/>
      <c r="AB182"/>
      <c r="AC182">
        <v>29.4</v>
      </c>
      <c r="AD182"/>
      <c r="AE182"/>
      <c r="AF182"/>
      <c r="AG182"/>
      <c r="AH182">
        <v>4</v>
      </c>
      <c r="AI182"/>
      <c r="AJ182"/>
      <c r="AK182"/>
      <c r="AL182"/>
      <c r="AM182"/>
      <c r="AN182"/>
      <c r="AO182"/>
      <c r="AP182"/>
      <c r="AQ182"/>
      <c r="AR182"/>
      <c r="AS182"/>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c r="BS182" t="inlineStr">
        <is>
          <t>#VALUE!</t>
        </is>
      </c>
    </row>
    <row r="183" ht="25.5" customHeight="1">
      <c r="A183" t="inlineStr">
        <is>
          <t>UK</t>
        </is>
      </c>
      <c r="B183" t="inlineStr">
        <is>
          <t>R0001UK</t>
        </is>
      </c>
      <c r="C183"/>
      <c r="D183" t="inlineStr">
        <is>
          <t>HPS39-手（coupon-15%）</t>
        </is>
      </c>
      <c r="E183">
        <v>10.3</v>
      </c>
      <c r="F183">
        <v>14.99</v>
      </c>
      <c r="G183"/>
      <c r="H183"/>
      <c r="I183"/>
      <c r="J183"/>
      <c r="K183"/>
      <c r="L183"/>
      <c r="M183"/>
      <c r="N183"/>
      <c r="O183"/>
      <c r="P183">
        <v>50</v>
      </c>
      <c r="Q183">
        <v>9</v>
      </c>
      <c r="R183"/>
      <c r="S183"/>
      <c r="T183"/>
      <c r="U183">
        <v>0.01</v>
      </c>
      <c r="V183"/>
      <c r="W183"/>
      <c r="X183">
        <v>0.178</v>
      </c>
      <c r="Y183">
        <v>2.5</v>
      </c>
      <c r="Z183"/>
      <c r="AA183"/>
      <c r="AB183"/>
      <c r="AC183">
        <v>29.4</v>
      </c>
      <c r="AD183"/>
      <c r="AE183"/>
      <c r="AF183"/>
      <c r="AG183"/>
      <c r="AH183">
        <v>4</v>
      </c>
      <c r="AI183"/>
      <c r="AJ183"/>
      <c r="AK183"/>
      <c r="AL183"/>
      <c r="AM183"/>
      <c r="AN183"/>
      <c r="AO183"/>
      <c r="AP183"/>
      <c r="AQ183"/>
      <c r="AR183"/>
      <c r="AS183"/>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c r="BS183" t="inlineStr">
        <is>
          <t>#VALUE!</t>
        </is>
      </c>
    </row>
    <row r="184" ht="25.5" customHeight="1">
      <c r="A184" t="inlineStr">
        <is>
          <t>DE</t>
        </is>
      </c>
      <c r="B184" t="inlineStr">
        <is>
          <t>R0001EU</t>
        </is>
      </c>
      <c r="C184"/>
      <c r="D184" t="inlineStr">
        <is>
          <t>HPS39-手（coupon-0%）</t>
        </is>
      </c>
      <c r="E184">
        <v>11.75</v>
      </c>
      <c r="F184">
        <v>16.99</v>
      </c>
      <c r="G184"/>
      <c r="H184"/>
      <c r="I184"/>
      <c r="J184"/>
      <c r="K184"/>
      <c r="L184"/>
      <c r="M184"/>
      <c r="N184"/>
      <c r="O184"/>
      <c r="P184">
        <v>200</v>
      </c>
      <c r="Q184">
        <v>8</v>
      </c>
      <c r="R184"/>
      <c r="S184"/>
      <c r="T184"/>
      <c r="U184">
        <v>0.01</v>
      </c>
      <c r="V184"/>
      <c r="W184"/>
      <c r="X184">
        <v>0.188</v>
      </c>
      <c r="Y184">
        <v>2.5</v>
      </c>
      <c r="Z184">
        <v>0</v>
      </c>
      <c r="AA184"/>
      <c r="AB184"/>
      <c r="AC184">
        <v>29.4</v>
      </c>
      <c r="AD184"/>
      <c r="AE184"/>
      <c r="AF184"/>
      <c r="AG184"/>
      <c r="AH184">
        <v>4</v>
      </c>
      <c r="AI184"/>
      <c r="AJ184"/>
      <c r="AK184"/>
      <c r="AL184"/>
      <c r="AM184"/>
      <c r="AN184"/>
      <c r="AO184"/>
      <c r="AP184"/>
      <c r="AQ184"/>
      <c r="AR184"/>
      <c r="AS184"/>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c r="BS184" t="inlineStr">
        <is>
          <t>#VALUE!</t>
        </is>
      </c>
    </row>
    <row r="185" ht="25.5" customHeight="1">
      <c r="A185" t="inlineStr">
        <is>
          <t>DE</t>
        </is>
      </c>
      <c r="B185" t="inlineStr">
        <is>
          <t>R0001EU</t>
        </is>
      </c>
      <c r="C185"/>
      <c r="D185" t="inlineStr">
        <is>
          <t>HPS39-手（coupon-10%）</t>
        </is>
      </c>
      <c r="E185">
        <v>11.75</v>
      </c>
      <c r="F185">
        <v>16.99</v>
      </c>
      <c r="G185"/>
      <c r="H185"/>
      <c r="I185"/>
      <c r="J185"/>
      <c r="K185"/>
      <c r="L185"/>
      <c r="M185"/>
      <c r="N185"/>
      <c r="O185"/>
      <c r="P185">
        <v>200</v>
      </c>
      <c r="Q185">
        <v>8</v>
      </c>
      <c r="R185"/>
      <c r="S185"/>
      <c r="T185"/>
      <c r="U185">
        <v>0.01</v>
      </c>
      <c r="V185"/>
      <c r="W185"/>
      <c r="X185">
        <v>0.188</v>
      </c>
      <c r="Y185">
        <v>2.5</v>
      </c>
      <c r="Z185"/>
      <c r="AA185"/>
      <c r="AB185"/>
      <c r="AC185">
        <v>29.4</v>
      </c>
      <c r="AD185"/>
      <c r="AE185"/>
      <c r="AF185"/>
      <c r="AG185"/>
      <c r="AH185">
        <v>4</v>
      </c>
      <c r="AI185"/>
      <c r="AJ185"/>
      <c r="AK185"/>
      <c r="AL185"/>
      <c r="AM185"/>
      <c r="AN185"/>
      <c r="AO185"/>
      <c r="AP185"/>
      <c r="AQ185"/>
      <c r="AR185"/>
      <c r="AS185"/>
      <c r="AT185" t="inlineStr">
        <is>
          <t>☆</t>
        </is>
      </c>
      <c r="AU185" t="inlineStr">
        <is>
          <t>☆</t>
        </is>
      </c>
      <c r="AV185" t="inlineStr">
        <is>
          <t>☆</t>
        </is>
      </c>
      <c r="AW185" t="inlineStr">
        <is>
          <t>☆</t>
        </is>
      </c>
      <c r="AX185" t="inlineStr">
        <is>
          <t>☆</t>
        </is>
      </c>
      <c r="AY185" t="inlineStr">
        <is>
          <t>☆</t>
        </is>
      </c>
      <c r="AZ185" t="inlineStr">
        <is>
          <t>☆</t>
        </is>
      </c>
      <c r="BA185" t="inlineStr">
        <is>
          <t>☆</t>
        </is>
      </c>
      <c r="BB185" t="inlineStr">
        <is>
          <t>☆</t>
        </is>
      </c>
      <c r="BC185" t="inlineStr">
        <is>
          <t>☆</t>
        </is>
      </c>
      <c r="BD185" t="inlineStr">
        <is>
          <t>☆</t>
        </is>
      </c>
      <c r="BE185" t="inlineStr">
        <is>
          <t>☆</t>
        </is>
      </c>
      <c r="BF185" t="inlineStr">
        <is>
          <t>☆</t>
        </is>
      </c>
      <c r="BG185" t="inlineStr">
        <is>
          <t>☆</t>
        </is>
      </c>
      <c r="BH185" t="inlineStr">
        <is>
          <t>☆</t>
        </is>
      </c>
      <c r="BI185" t="inlineStr">
        <is>
          <t>☆</t>
        </is>
      </c>
      <c r="BJ185" t="inlineStr">
        <is>
          <t>☆</t>
        </is>
      </c>
      <c r="BK185" t="inlineStr">
        <is>
          <t>☆</t>
        </is>
      </c>
      <c r="BL185" t="inlineStr">
        <is>
          <t>☆</t>
        </is>
      </c>
      <c r="BM185" t="inlineStr">
        <is>
          <t>☆</t>
        </is>
      </c>
      <c r="BN185" t="inlineStr">
        <is>
          <t>☆</t>
        </is>
      </c>
      <c r="BO185" t="inlineStr">
        <is>
          <t>☆</t>
        </is>
      </c>
      <c r="BP185" t="inlineStr">
        <is>
          <t>☆</t>
        </is>
      </c>
      <c r="BQ185" t="inlineStr">
        <is>
          <t>☆</t>
        </is>
      </c>
      <c r="BR185"/>
      <c r="BS185" t="inlineStr">
        <is>
          <t>#VALUE!</t>
        </is>
      </c>
    </row>
    <row r="186" ht="25.5" customHeight="1">
      <c r="A186" t="inlineStr">
        <is>
          <t>DE</t>
        </is>
      </c>
      <c r="B186" t="inlineStr">
        <is>
          <t>R0001EU</t>
        </is>
      </c>
      <c r="C186"/>
      <c r="D186" t="inlineStr">
        <is>
          <t>HPS39-手（coupon-15%）</t>
        </is>
      </c>
      <c r="E186">
        <v>11.75</v>
      </c>
      <c r="F186">
        <v>16.99</v>
      </c>
      <c r="G186"/>
      <c r="H186"/>
      <c r="I186"/>
      <c r="J186"/>
      <c r="K186"/>
      <c r="L186"/>
      <c r="M186"/>
      <c r="N186"/>
      <c r="O186"/>
      <c r="P186">
        <v>200</v>
      </c>
      <c r="Q186">
        <v>8</v>
      </c>
      <c r="R186"/>
      <c r="S186"/>
      <c r="T186"/>
      <c r="U186">
        <v>0.01</v>
      </c>
      <c r="V186"/>
      <c r="W186"/>
      <c r="X186">
        <v>0.188</v>
      </c>
      <c r="Y186">
        <v>2.5</v>
      </c>
      <c r="Z186"/>
      <c r="AA186"/>
      <c r="AB186"/>
      <c r="AC186">
        <v>29.4</v>
      </c>
      <c r="AD186"/>
      <c r="AE186"/>
      <c r="AF186"/>
      <c r="AG186"/>
      <c r="AH186">
        <v>4</v>
      </c>
      <c r="AI186"/>
      <c r="AJ186"/>
      <c r="AK186"/>
      <c r="AL186"/>
      <c r="AM186"/>
      <c r="AN186"/>
      <c r="AO186"/>
      <c r="AP186"/>
      <c r="AQ186"/>
      <c r="AR186"/>
      <c r="AS186"/>
      <c r="AT186" t="inlineStr">
        <is>
          <t>☆</t>
        </is>
      </c>
      <c r="AU186" t="inlineStr">
        <is>
          <t>☆</t>
        </is>
      </c>
      <c r="AV186" t="inlineStr">
        <is>
          <t>☆</t>
        </is>
      </c>
      <c r="AW186" t="inlineStr">
        <is>
          <t>☆</t>
        </is>
      </c>
      <c r="AX186" t="inlineStr">
        <is>
          <t>☆</t>
        </is>
      </c>
      <c r="AY186" t="inlineStr">
        <is>
          <t>☆</t>
        </is>
      </c>
      <c r="AZ186" t="inlineStr">
        <is>
          <t>☆</t>
        </is>
      </c>
      <c r="BA186" t="inlineStr">
        <is>
          <t>☆</t>
        </is>
      </c>
      <c r="BB186" t="inlineStr">
        <is>
          <t>☆</t>
        </is>
      </c>
      <c r="BC186" t="inlineStr">
        <is>
          <t>☆</t>
        </is>
      </c>
      <c r="BD186" t="inlineStr">
        <is>
          <t>☆</t>
        </is>
      </c>
      <c r="BE186" t="inlineStr">
        <is>
          <t>☆</t>
        </is>
      </c>
      <c r="BF186" t="inlineStr">
        <is>
          <t>☆</t>
        </is>
      </c>
      <c r="BG186" t="inlineStr">
        <is>
          <t>☆</t>
        </is>
      </c>
      <c r="BH186" t="inlineStr">
        <is>
          <t>☆</t>
        </is>
      </c>
      <c r="BI186" t="inlineStr">
        <is>
          <t>☆</t>
        </is>
      </c>
      <c r="BJ186" t="inlineStr">
        <is>
          <t>☆</t>
        </is>
      </c>
      <c r="BK186" t="inlineStr">
        <is>
          <t>☆</t>
        </is>
      </c>
      <c r="BL186" t="inlineStr">
        <is>
          <t>☆</t>
        </is>
      </c>
      <c r="BM186" t="inlineStr">
        <is>
          <t>☆</t>
        </is>
      </c>
      <c r="BN186" t="inlineStr">
        <is>
          <t>☆</t>
        </is>
      </c>
      <c r="BO186" t="inlineStr">
        <is>
          <t>☆</t>
        </is>
      </c>
      <c r="BP186" t="inlineStr">
        <is>
          <t>☆</t>
        </is>
      </c>
      <c r="BQ186" t="inlineStr">
        <is>
          <t>☆</t>
        </is>
      </c>
      <c r="BR186"/>
      <c r="BS186" t="inlineStr">
        <is>
          <t>#VALUE!</t>
        </is>
      </c>
    </row>
    <row r="187" ht="25.5" customHeight="1">
      <c r="A187" t="inlineStr">
        <is>
          <t>FR</t>
        </is>
      </c>
      <c r="B187" t="inlineStr">
        <is>
          <t>R0001EU</t>
        </is>
      </c>
      <c r="C187"/>
      <c r="D187" t="inlineStr">
        <is>
          <t>HPS39-手（coupon-0%）</t>
        </is>
      </c>
      <c r="E187">
        <v>11.75</v>
      </c>
      <c r="F187">
        <v>16.99</v>
      </c>
      <c r="G187"/>
      <c r="H187"/>
      <c r="I187"/>
      <c r="J187"/>
      <c r="K187"/>
      <c r="L187"/>
      <c r="M187"/>
      <c r="N187"/>
      <c r="O187"/>
      <c r="P187">
        <v>200</v>
      </c>
      <c r="Q187">
        <v>8</v>
      </c>
      <c r="R187"/>
      <c r="S187"/>
      <c r="T187"/>
      <c r="U187">
        <v>0.01</v>
      </c>
      <c r="V187"/>
      <c r="W187"/>
      <c r="X187">
        <v>0.188</v>
      </c>
      <c r="Y187">
        <v>2.5</v>
      </c>
      <c r="Z187">
        <v>0</v>
      </c>
      <c r="AA187"/>
      <c r="AB187"/>
      <c r="AC187">
        <v>29.4</v>
      </c>
      <c r="AD187"/>
      <c r="AE187"/>
      <c r="AF187"/>
      <c r="AG187"/>
      <c r="AH187">
        <v>4</v>
      </c>
      <c r="AI187"/>
      <c r="AJ187"/>
      <c r="AK187"/>
      <c r="AL187"/>
      <c r="AM187"/>
      <c r="AN187"/>
      <c r="AO187"/>
      <c r="AP187"/>
      <c r="AQ187"/>
      <c r="AR187"/>
      <c r="AS187"/>
      <c r="AT187" t="inlineStr">
        <is>
          <t>☆</t>
        </is>
      </c>
      <c r="AU187" t="inlineStr">
        <is>
          <t>☆</t>
        </is>
      </c>
      <c r="AV187" t="inlineStr">
        <is>
          <t>☆</t>
        </is>
      </c>
      <c r="AW187" t="inlineStr">
        <is>
          <t>☆</t>
        </is>
      </c>
      <c r="AX187" t="inlineStr">
        <is>
          <t>☆</t>
        </is>
      </c>
      <c r="AY187" t="inlineStr">
        <is>
          <t>☆</t>
        </is>
      </c>
      <c r="AZ187" t="inlineStr">
        <is>
          <t>☆</t>
        </is>
      </c>
      <c r="BA187" t="inlineStr">
        <is>
          <t>☆</t>
        </is>
      </c>
      <c r="BB187" t="inlineStr">
        <is>
          <t>☆</t>
        </is>
      </c>
      <c r="BC187" t="inlineStr">
        <is>
          <t>☆</t>
        </is>
      </c>
      <c r="BD187" t="inlineStr">
        <is>
          <t>☆</t>
        </is>
      </c>
      <c r="BE187" t="inlineStr">
        <is>
          <t>☆</t>
        </is>
      </c>
      <c r="BF187" t="inlineStr">
        <is>
          <t>☆</t>
        </is>
      </c>
      <c r="BG187" t="inlineStr">
        <is>
          <t>☆</t>
        </is>
      </c>
      <c r="BH187" t="inlineStr">
        <is>
          <t>☆</t>
        </is>
      </c>
      <c r="BI187" t="inlineStr">
        <is>
          <t>☆</t>
        </is>
      </c>
      <c r="BJ187" t="inlineStr">
        <is>
          <t>☆</t>
        </is>
      </c>
      <c r="BK187" t="inlineStr">
        <is>
          <t>☆</t>
        </is>
      </c>
      <c r="BL187" t="inlineStr">
        <is>
          <t>☆</t>
        </is>
      </c>
      <c r="BM187" t="inlineStr">
        <is>
          <t>☆</t>
        </is>
      </c>
      <c r="BN187" t="inlineStr">
        <is>
          <t>☆</t>
        </is>
      </c>
      <c r="BO187" t="inlineStr">
        <is>
          <t>☆</t>
        </is>
      </c>
      <c r="BP187" t="inlineStr">
        <is>
          <t>☆</t>
        </is>
      </c>
      <c r="BQ187" t="inlineStr">
        <is>
          <t>☆</t>
        </is>
      </c>
      <c r="BR187"/>
      <c r="BS187" t="inlineStr">
        <is>
          <t>#VALUE!</t>
        </is>
      </c>
    </row>
    <row r="188" ht="25.5" customHeight="1">
      <c r="A188" t="inlineStr">
        <is>
          <t>FR</t>
        </is>
      </c>
      <c r="B188" t="inlineStr">
        <is>
          <t>R0001EU</t>
        </is>
      </c>
      <c r="C188"/>
      <c r="D188" t="inlineStr">
        <is>
          <t>HPS39-手（coupon-10%）</t>
        </is>
      </c>
      <c r="E188">
        <v>11.75</v>
      </c>
      <c r="F188">
        <v>16.99</v>
      </c>
      <c r="G188"/>
      <c r="H188"/>
      <c r="I188"/>
      <c r="J188"/>
      <c r="K188"/>
      <c r="L188"/>
      <c r="M188"/>
      <c r="N188"/>
      <c r="O188"/>
      <c r="P188">
        <v>200</v>
      </c>
      <c r="Q188">
        <v>8</v>
      </c>
      <c r="R188"/>
      <c r="S188"/>
      <c r="T188"/>
      <c r="U188">
        <v>0.01</v>
      </c>
      <c r="V188"/>
      <c r="W188"/>
      <c r="X188">
        <v>0.188</v>
      </c>
      <c r="Y188">
        <v>2.5</v>
      </c>
      <c r="Z188"/>
      <c r="AA188"/>
      <c r="AB188"/>
      <c r="AC188">
        <v>29.4</v>
      </c>
      <c r="AD188"/>
      <c r="AE188"/>
      <c r="AF188"/>
      <c r="AG188"/>
      <c r="AH188">
        <v>4</v>
      </c>
      <c r="AI188"/>
      <c r="AJ188"/>
      <c r="AK188"/>
      <c r="AL188"/>
      <c r="AM188"/>
      <c r="AN188"/>
      <c r="AO188"/>
      <c r="AP188"/>
      <c r="AQ188"/>
      <c r="AR188"/>
      <c r="AS188"/>
      <c r="AT188" t="inlineStr">
        <is>
          <t>☆</t>
        </is>
      </c>
      <c r="AU188" t="inlineStr">
        <is>
          <t>☆</t>
        </is>
      </c>
      <c r="AV188" t="inlineStr">
        <is>
          <t>☆</t>
        </is>
      </c>
      <c r="AW188" t="inlineStr">
        <is>
          <t>☆</t>
        </is>
      </c>
      <c r="AX188" t="inlineStr">
        <is>
          <t>☆</t>
        </is>
      </c>
      <c r="AY188" t="inlineStr">
        <is>
          <t>☆</t>
        </is>
      </c>
      <c r="AZ188" t="inlineStr">
        <is>
          <t>☆</t>
        </is>
      </c>
      <c r="BA188" t="inlineStr">
        <is>
          <t>☆</t>
        </is>
      </c>
      <c r="BB188" t="inlineStr">
        <is>
          <t>☆</t>
        </is>
      </c>
      <c r="BC188" t="inlineStr">
        <is>
          <t>☆</t>
        </is>
      </c>
      <c r="BD188" t="inlineStr">
        <is>
          <t>☆</t>
        </is>
      </c>
      <c r="BE188" t="inlineStr">
        <is>
          <t>☆</t>
        </is>
      </c>
      <c r="BF188" t="inlineStr">
        <is>
          <t>☆</t>
        </is>
      </c>
      <c r="BG188" t="inlineStr">
        <is>
          <t>☆</t>
        </is>
      </c>
      <c r="BH188" t="inlineStr">
        <is>
          <t>☆</t>
        </is>
      </c>
      <c r="BI188" t="inlineStr">
        <is>
          <t>☆</t>
        </is>
      </c>
      <c r="BJ188" t="inlineStr">
        <is>
          <t>☆</t>
        </is>
      </c>
      <c r="BK188" t="inlineStr">
        <is>
          <t>☆</t>
        </is>
      </c>
      <c r="BL188" t="inlineStr">
        <is>
          <t>☆</t>
        </is>
      </c>
      <c r="BM188" t="inlineStr">
        <is>
          <t>☆</t>
        </is>
      </c>
      <c r="BN188" t="inlineStr">
        <is>
          <t>☆</t>
        </is>
      </c>
      <c r="BO188" t="inlineStr">
        <is>
          <t>☆</t>
        </is>
      </c>
      <c r="BP188" t="inlineStr">
        <is>
          <t>☆</t>
        </is>
      </c>
      <c r="BQ188" t="inlineStr">
        <is>
          <t>☆</t>
        </is>
      </c>
      <c r="BR188"/>
      <c r="BS188" t="inlineStr">
        <is>
          <t>#VALUE!</t>
        </is>
      </c>
    </row>
    <row r="189" ht="25.5" customHeight="1">
      <c r="A189" t="inlineStr">
        <is>
          <t>FR</t>
        </is>
      </c>
      <c r="B189" t="inlineStr">
        <is>
          <t>R0001EU</t>
        </is>
      </c>
      <c r="C189"/>
      <c r="D189" t="inlineStr">
        <is>
          <t>HPS39-手（coupon-15%）</t>
        </is>
      </c>
      <c r="E189">
        <v>11.75</v>
      </c>
      <c r="F189">
        <v>16.99</v>
      </c>
      <c r="G189"/>
      <c r="H189"/>
      <c r="I189"/>
      <c r="J189"/>
      <c r="K189"/>
      <c r="L189"/>
      <c r="M189"/>
      <c r="N189"/>
      <c r="O189"/>
      <c r="P189">
        <v>200</v>
      </c>
      <c r="Q189">
        <v>8</v>
      </c>
      <c r="R189"/>
      <c r="S189"/>
      <c r="T189"/>
      <c r="U189">
        <v>0.01</v>
      </c>
      <c r="V189"/>
      <c r="W189"/>
      <c r="X189">
        <v>0.188</v>
      </c>
      <c r="Y189">
        <v>2.5</v>
      </c>
      <c r="Z189"/>
      <c r="AA189"/>
      <c r="AB189"/>
      <c r="AC189">
        <v>29.4</v>
      </c>
      <c r="AD189"/>
      <c r="AE189"/>
      <c r="AF189"/>
      <c r="AG189"/>
      <c r="AH189">
        <v>4</v>
      </c>
      <c r="AI189"/>
      <c r="AJ189"/>
      <c r="AK189"/>
      <c r="AL189"/>
      <c r="AM189"/>
      <c r="AN189"/>
      <c r="AO189"/>
      <c r="AP189"/>
      <c r="AQ189"/>
      <c r="AR189"/>
      <c r="AS189"/>
      <c r="AT189" t="inlineStr">
        <is>
          <t>☆</t>
        </is>
      </c>
      <c r="AU189" t="inlineStr">
        <is>
          <t>☆</t>
        </is>
      </c>
      <c r="AV189" t="inlineStr">
        <is>
          <t>☆</t>
        </is>
      </c>
      <c r="AW189" t="inlineStr">
        <is>
          <t>☆</t>
        </is>
      </c>
      <c r="AX189" t="inlineStr">
        <is>
          <t>☆</t>
        </is>
      </c>
      <c r="AY189" t="inlineStr">
        <is>
          <t>☆</t>
        </is>
      </c>
      <c r="AZ189" t="inlineStr">
        <is>
          <t>☆</t>
        </is>
      </c>
      <c r="BA189" t="inlineStr">
        <is>
          <t>☆</t>
        </is>
      </c>
      <c r="BB189" t="inlineStr">
        <is>
          <t>☆</t>
        </is>
      </c>
      <c r="BC189" t="inlineStr">
        <is>
          <t>☆</t>
        </is>
      </c>
      <c r="BD189" t="inlineStr">
        <is>
          <t>☆</t>
        </is>
      </c>
      <c r="BE189" t="inlineStr">
        <is>
          <t>☆</t>
        </is>
      </c>
      <c r="BF189" t="inlineStr">
        <is>
          <t>☆</t>
        </is>
      </c>
      <c r="BG189" t="inlineStr">
        <is>
          <t>☆</t>
        </is>
      </c>
      <c r="BH189" t="inlineStr">
        <is>
          <t>☆</t>
        </is>
      </c>
      <c r="BI189" t="inlineStr">
        <is>
          <t>☆</t>
        </is>
      </c>
      <c r="BJ189" t="inlineStr">
        <is>
          <t>☆</t>
        </is>
      </c>
      <c r="BK189" t="inlineStr">
        <is>
          <t>☆</t>
        </is>
      </c>
      <c r="BL189" t="inlineStr">
        <is>
          <t>☆</t>
        </is>
      </c>
      <c r="BM189" t="inlineStr">
        <is>
          <t>☆</t>
        </is>
      </c>
      <c r="BN189" t="inlineStr">
        <is>
          <t>☆</t>
        </is>
      </c>
      <c r="BO189" t="inlineStr">
        <is>
          <t>☆</t>
        </is>
      </c>
      <c r="BP189" t="inlineStr">
        <is>
          <t>☆</t>
        </is>
      </c>
      <c r="BQ189" t="inlineStr">
        <is>
          <t>☆</t>
        </is>
      </c>
      <c r="BR189"/>
      <c r="BS189" t="inlineStr">
        <is>
          <t>#VALUE!</t>
        </is>
      </c>
    </row>
    <row r="190" ht="25.5" customHeight="1">
      <c r="A190" t="inlineStr">
        <is>
          <t>IT</t>
        </is>
      </c>
      <c r="B190" t="inlineStr">
        <is>
          <t>R0001EU</t>
        </is>
      </c>
      <c r="C190"/>
      <c r="D190" t="inlineStr">
        <is>
          <t>HPS39-手（coupon-0%）</t>
        </is>
      </c>
      <c r="E190">
        <v>11.75</v>
      </c>
      <c r="F190">
        <v>16.99</v>
      </c>
      <c r="G190"/>
      <c r="H190"/>
      <c r="I190"/>
      <c r="J190"/>
      <c r="K190"/>
      <c r="L190"/>
      <c r="M190"/>
      <c r="N190"/>
      <c r="O190"/>
      <c r="P190">
        <v>200</v>
      </c>
      <c r="Q190">
        <v>8</v>
      </c>
      <c r="R190"/>
      <c r="S190"/>
      <c r="T190"/>
      <c r="U190">
        <v>0.01</v>
      </c>
      <c r="V190"/>
      <c r="W190"/>
      <c r="X190">
        <v>0.188</v>
      </c>
      <c r="Y190">
        <v>2.5</v>
      </c>
      <c r="Z190">
        <v>0</v>
      </c>
      <c r="AA190"/>
      <c r="AB190"/>
      <c r="AC190">
        <v>29.4</v>
      </c>
      <c r="AD190"/>
      <c r="AE190"/>
      <c r="AF190"/>
      <c r="AG190"/>
      <c r="AH190">
        <v>4</v>
      </c>
      <c r="AI190"/>
      <c r="AJ190"/>
      <c r="AK190"/>
      <c r="AL190"/>
      <c r="AM190"/>
      <c r="AN190"/>
      <c r="AO190"/>
      <c r="AP190"/>
      <c r="AQ190"/>
      <c r="AR190"/>
      <c r="AS190"/>
      <c r="AT190" t="inlineStr">
        <is>
          <t>☆</t>
        </is>
      </c>
      <c r="AU190" t="inlineStr">
        <is>
          <t>☆</t>
        </is>
      </c>
      <c r="AV190" t="inlineStr">
        <is>
          <t>☆</t>
        </is>
      </c>
      <c r="AW190" t="inlineStr">
        <is>
          <t>☆</t>
        </is>
      </c>
      <c r="AX190" t="inlineStr">
        <is>
          <t>☆</t>
        </is>
      </c>
      <c r="AY190" t="inlineStr">
        <is>
          <t>☆</t>
        </is>
      </c>
      <c r="AZ190" t="inlineStr">
        <is>
          <t>☆</t>
        </is>
      </c>
      <c r="BA190" t="inlineStr">
        <is>
          <t>☆</t>
        </is>
      </c>
      <c r="BB190" t="inlineStr">
        <is>
          <t>☆</t>
        </is>
      </c>
      <c r="BC190" t="inlineStr">
        <is>
          <t>☆</t>
        </is>
      </c>
      <c r="BD190" t="inlineStr">
        <is>
          <t>☆</t>
        </is>
      </c>
      <c r="BE190" t="inlineStr">
        <is>
          <t>☆</t>
        </is>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is>
          <t>☆</t>
        </is>
      </c>
      <c r="BR190"/>
      <c r="BS190" t="inlineStr">
        <is>
          <t>#VALUE!</t>
        </is>
      </c>
    </row>
    <row r="191" ht="25.5" customHeight="1">
      <c r="A191" t="inlineStr">
        <is>
          <t>IT</t>
        </is>
      </c>
      <c r="B191" t="inlineStr">
        <is>
          <t>R0001EU</t>
        </is>
      </c>
      <c r="C191"/>
      <c r="D191" t="inlineStr">
        <is>
          <t>HPS39-手（coupon-10%）</t>
        </is>
      </c>
      <c r="E191">
        <v>11.75</v>
      </c>
      <c r="F191">
        <v>16.99</v>
      </c>
      <c r="G191"/>
      <c r="H191"/>
      <c r="I191"/>
      <c r="J191"/>
      <c r="K191"/>
      <c r="L191"/>
      <c r="M191"/>
      <c r="N191"/>
      <c r="O191"/>
      <c r="P191">
        <v>200</v>
      </c>
      <c r="Q191">
        <v>8</v>
      </c>
      <c r="R191"/>
      <c r="S191"/>
      <c r="T191"/>
      <c r="U191">
        <v>0.01</v>
      </c>
      <c r="V191"/>
      <c r="W191"/>
      <c r="X191">
        <v>0.188</v>
      </c>
      <c r="Y191">
        <v>2.5</v>
      </c>
      <c r="Z191"/>
      <c r="AA191"/>
      <c r="AB191"/>
      <c r="AC191">
        <v>29.4</v>
      </c>
      <c r="AD191"/>
      <c r="AE191"/>
      <c r="AF191"/>
      <c r="AG191"/>
      <c r="AH191">
        <v>4</v>
      </c>
      <c r="AI191"/>
      <c r="AJ191"/>
      <c r="AK191"/>
      <c r="AL191"/>
      <c r="AM191"/>
      <c r="AN191"/>
      <c r="AO191"/>
      <c r="AP191"/>
      <c r="AQ191"/>
      <c r="AR191"/>
      <c r="AS191"/>
      <c r="AT191" t="inlineStr">
        <is>
          <t>☆</t>
        </is>
      </c>
      <c r="AU191" t="inlineStr">
        <is>
          <t>☆</t>
        </is>
      </c>
      <c r="AV191" t="inlineStr">
        <is>
          <t>☆</t>
        </is>
      </c>
      <c r="AW191" t="inlineStr">
        <is>
          <t>☆</t>
        </is>
      </c>
      <c r="AX191" t="inlineStr">
        <is>
          <t>☆</t>
        </is>
      </c>
      <c r="AY191" t="inlineStr">
        <is>
          <t>☆</t>
        </is>
      </c>
      <c r="AZ191" t="inlineStr">
        <is>
          <t>☆</t>
        </is>
      </c>
      <c r="BA191" t="inlineStr">
        <is>
          <t>☆</t>
        </is>
      </c>
      <c r="BB191" t="inlineStr">
        <is>
          <t>☆</t>
        </is>
      </c>
      <c r="BC191" t="inlineStr">
        <is>
          <t>☆</t>
        </is>
      </c>
      <c r="BD191" t="inlineStr">
        <is>
          <t>☆</t>
        </is>
      </c>
      <c r="BE191" t="inlineStr">
        <is>
          <t>☆</t>
        </is>
      </c>
      <c r="BF191" t="inlineStr">
        <is>
          <t>☆</t>
        </is>
      </c>
      <c r="BG191" t="inlineStr">
        <is>
          <t>☆</t>
        </is>
      </c>
      <c r="BH191" t="inlineStr">
        <is>
          <t>☆</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c r="BS191" t="inlineStr">
        <is>
          <t>#VALUE!</t>
        </is>
      </c>
    </row>
    <row r="192" ht="25.5" customHeight="1">
      <c r="A192" t="inlineStr">
        <is>
          <t>IT</t>
        </is>
      </c>
      <c r="B192" t="inlineStr">
        <is>
          <t>R0001EU</t>
        </is>
      </c>
      <c r="C192"/>
      <c r="D192" t="inlineStr">
        <is>
          <t>HPS39-手（coupon-15%）</t>
        </is>
      </c>
      <c r="E192">
        <v>11.75</v>
      </c>
      <c r="F192">
        <v>16.99</v>
      </c>
      <c r="G192"/>
      <c r="H192"/>
      <c r="I192"/>
      <c r="J192"/>
      <c r="K192"/>
      <c r="L192"/>
      <c r="M192"/>
      <c r="N192"/>
      <c r="O192"/>
      <c r="P192">
        <v>200</v>
      </c>
      <c r="Q192">
        <v>8</v>
      </c>
      <c r="R192"/>
      <c r="S192"/>
      <c r="T192"/>
      <c r="U192">
        <v>0.01</v>
      </c>
      <c r="V192"/>
      <c r="W192"/>
      <c r="X192">
        <v>0.188</v>
      </c>
      <c r="Y192">
        <v>2.5</v>
      </c>
      <c r="Z192"/>
      <c r="AA192"/>
      <c r="AB192"/>
      <c r="AC192">
        <v>29.4</v>
      </c>
      <c r="AD192"/>
      <c r="AE192"/>
      <c r="AF192"/>
      <c r="AG192"/>
      <c r="AH192">
        <v>4</v>
      </c>
      <c r="AI192"/>
      <c r="AJ192"/>
      <c r="AK192"/>
      <c r="AL192"/>
      <c r="AM192"/>
      <c r="AN192"/>
      <c r="AO192"/>
      <c r="AP192"/>
      <c r="AQ192"/>
      <c r="AR192"/>
      <c r="AS192"/>
      <c r="AT192" t="inlineStr">
        <is>
          <t>☆</t>
        </is>
      </c>
      <c r="AU192" t="inlineStr">
        <is>
          <t>☆</t>
        </is>
      </c>
      <c r="AV192" t="inlineStr">
        <is>
          <t>☆</t>
        </is>
      </c>
      <c r="AW192" t="inlineStr">
        <is>
          <t>☆</t>
        </is>
      </c>
      <c r="AX192" t="inlineStr">
        <is>
          <t>☆</t>
        </is>
      </c>
      <c r="AY192" t="inlineStr">
        <is>
          <t>☆</t>
        </is>
      </c>
      <c r="AZ192" t="inlineStr">
        <is>
          <t>☆</t>
        </is>
      </c>
      <c r="BA192" t="inlineStr">
        <is>
          <t>☆</t>
        </is>
      </c>
      <c r="BB192" t="inlineStr">
        <is>
          <t>☆</t>
        </is>
      </c>
      <c r="BC192" t="inlineStr">
        <is>
          <t>☆</t>
        </is>
      </c>
      <c r="BD192" t="inlineStr">
        <is>
          <t>☆</t>
        </is>
      </c>
      <c r="BE192" t="inlineStr">
        <is>
          <t>☆</t>
        </is>
      </c>
      <c r="BF192" t="inlineStr">
        <is>
          <t>☆</t>
        </is>
      </c>
      <c r="BG192" t="inlineStr">
        <is>
          <t>☆</t>
        </is>
      </c>
      <c r="BH192" t="inlineStr">
        <is>
          <t>☆</t>
        </is>
      </c>
      <c r="BI192" t="inlineStr">
        <is>
          <t>☆</t>
        </is>
      </c>
      <c r="BJ192" t="inlineStr">
        <is>
          <t>☆</t>
        </is>
      </c>
      <c r="BK192" t="inlineStr">
        <is>
          <t>☆</t>
        </is>
      </c>
      <c r="BL192" t="inlineStr">
        <is>
          <t>☆</t>
        </is>
      </c>
      <c r="BM192" t="inlineStr">
        <is>
          <t>☆</t>
        </is>
      </c>
      <c r="BN192" t="inlineStr">
        <is>
          <t>☆</t>
        </is>
      </c>
      <c r="BO192" t="inlineStr">
        <is>
          <t>☆</t>
        </is>
      </c>
      <c r="BP192" t="inlineStr">
        <is>
          <t>☆</t>
        </is>
      </c>
      <c r="BQ192" t="inlineStr">
        <is>
          <t>☆</t>
        </is>
      </c>
      <c r="BR192"/>
      <c r="BS192" t="inlineStr">
        <is>
          <t>#VALUE!</t>
        </is>
      </c>
    </row>
    <row r="193" ht="25.5" customHeight="1">
      <c r="A193" t="inlineStr">
        <is>
          <t>ES</t>
        </is>
      </c>
      <c r="B193" t="inlineStr">
        <is>
          <t>R0001EU</t>
        </is>
      </c>
      <c r="C193"/>
      <c r="D193" t="inlineStr">
        <is>
          <t>HPS39-手（coupon-0%）</t>
        </is>
      </c>
      <c r="E193">
        <v>11.75</v>
      </c>
      <c r="F193">
        <v>16.99</v>
      </c>
      <c r="G193"/>
      <c r="H193"/>
      <c r="I193"/>
      <c r="J193"/>
      <c r="K193"/>
      <c r="L193"/>
      <c r="M193"/>
      <c r="N193"/>
      <c r="O193"/>
      <c r="P193">
        <v>200</v>
      </c>
      <c r="Q193">
        <v>8</v>
      </c>
      <c r="R193"/>
      <c r="S193"/>
      <c r="T193"/>
      <c r="U193">
        <v>0.01</v>
      </c>
      <c r="V193"/>
      <c r="W193"/>
      <c r="X193">
        <v>0.188</v>
      </c>
      <c r="Y193">
        <v>2.5</v>
      </c>
      <c r="Z193">
        <v>0</v>
      </c>
      <c r="AA193"/>
      <c r="AB193"/>
      <c r="AC193">
        <v>29.4</v>
      </c>
      <c r="AD193"/>
      <c r="AE193"/>
      <c r="AF193"/>
      <c r="AG193"/>
      <c r="AH193">
        <v>4</v>
      </c>
      <c r="AI193"/>
      <c r="AJ193"/>
      <c r="AK193"/>
      <c r="AL193"/>
      <c r="AM193"/>
      <c r="AN193"/>
      <c r="AO193"/>
      <c r="AP193"/>
      <c r="AQ193"/>
      <c r="AR193"/>
      <c r="AS193"/>
      <c r="AT193" t="inlineStr">
        <is>
          <t>☆</t>
        </is>
      </c>
      <c r="AU193" t="inlineStr">
        <is>
          <t>☆</t>
        </is>
      </c>
      <c r="AV193" t="inlineStr">
        <is>
          <t>☆</t>
        </is>
      </c>
      <c r="AW193" t="inlineStr">
        <is>
          <t>☆</t>
        </is>
      </c>
      <c r="AX193" t="inlineStr">
        <is>
          <t>☆</t>
        </is>
      </c>
      <c r="AY193" t="inlineStr">
        <is>
          <t>☆</t>
        </is>
      </c>
      <c r="AZ193" t="inlineStr">
        <is>
          <t>☆</t>
        </is>
      </c>
      <c r="BA193" t="inlineStr">
        <is>
          <t>☆</t>
        </is>
      </c>
      <c r="BB193" t="inlineStr">
        <is>
          <t>☆</t>
        </is>
      </c>
      <c r="BC193" t="inlineStr">
        <is>
          <t>☆</t>
        </is>
      </c>
      <c r="BD193" t="inlineStr">
        <is>
          <t>☆</t>
        </is>
      </c>
      <c r="BE193" t="inlineStr">
        <is>
          <t>☆</t>
        </is>
      </c>
      <c r="BF193" t="inlineStr">
        <is>
          <t>☆</t>
        </is>
      </c>
      <c r="BG193" t="inlineStr">
        <is>
          <t>☆</t>
        </is>
      </c>
      <c r="BH193" t="inlineStr">
        <is>
          <t>☆</t>
        </is>
      </c>
      <c r="BI193" t="inlineStr">
        <is>
          <t>☆</t>
        </is>
      </c>
      <c r="BJ193" t="inlineStr">
        <is>
          <t>☆</t>
        </is>
      </c>
      <c r="BK193" t="inlineStr">
        <is>
          <t>☆</t>
        </is>
      </c>
      <c r="BL193" t="inlineStr">
        <is>
          <t>☆</t>
        </is>
      </c>
      <c r="BM193" t="inlineStr">
        <is>
          <t>☆</t>
        </is>
      </c>
      <c r="BN193" t="inlineStr">
        <is>
          <t>☆</t>
        </is>
      </c>
      <c r="BO193" t="inlineStr">
        <is>
          <t>☆</t>
        </is>
      </c>
      <c r="BP193" t="inlineStr">
        <is>
          <t>☆</t>
        </is>
      </c>
      <c r="BQ193" t="inlineStr">
        <is>
          <t>☆</t>
        </is>
      </c>
      <c r="BR193"/>
      <c r="BS193" t="inlineStr">
        <is>
          <t>#VALUE!</t>
        </is>
      </c>
    </row>
    <row r="194" ht="25.5" customHeight="1">
      <c r="A194" t="inlineStr">
        <is>
          <t>ES</t>
        </is>
      </c>
      <c r="B194" t="inlineStr">
        <is>
          <t>R0001EU</t>
        </is>
      </c>
      <c r="C194"/>
      <c r="D194" t="inlineStr">
        <is>
          <t>HPS39-手（coupon-10%）</t>
        </is>
      </c>
      <c r="E194">
        <v>11.75</v>
      </c>
      <c r="F194">
        <v>16.99</v>
      </c>
      <c r="G194"/>
      <c r="H194"/>
      <c r="I194"/>
      <c r="J194"/>
      <c r="K194"/>
      <c r="L194"/>
      <c r="M194"/>
      <c r="N194"/>
      <c r="O194"/>
      <c r="P194">
        <v>200</v>
      </c>
      <c r="Q194">
        <v>8</v>
      </c>
      <c r="R194"/>
      <c r="S194"/>
      <c r="T194"/>
      <c r="U194">
        <v>0.01</v>
      </c>
      <c r="V194"/>
      <c r="W194"/>
      <c r="X194">
        <v>0.188</v>
      </c>
      <c r="Y194">
        <v>2.5</v>
      </c>
      <c r="Z194"/>
      <c r="AA194"/>
      <c r="AB194"/>
      <c r="AC194">
        <v>29.4</v>
      </c>
      <c r="AD194"/>
      <c r="AE194"/>
      <c r="AF194"/>
      <c r="AG194"/>
      <c r="AH194">
        <v>4</v>
      </c>
      <c r="AI194"/>
      <c r="AJ194"/>
      <c r="AK194"/>
      <c r="AL194"/>
      <c r="AM194"/>
      <c r="AN194"/>
      <c r="AO194"/>
      <c r="AP194"/>
      <c r="AQ194"/>
      <c r="AR194"/>
      <c r="AS194"/>
      <c r="AT194" t="inlineStr">
        <is>
          <t>☆</t>
        </is>
      </c>
      <c r="AU194" t="inlineStr">
        <is>
          <t>☆</t>
        </is>
      </c>
      <c r="AV194" t="inlineStr">
        <is>
          <t>☆</t>
        </is>
      </c>
      <c r="AW194" t="inlineStr">
        <is>
          <t>☆</t>
        </is>
      </c>
      <c r="AX194" t="inlineStr">
        <is>
          <t>☆</t>
        </is>
      </c>
      <c r="AY194" t="inlineStr">
        <is>
          <t>☆</t>
        </is>
      </c>
      <c r="AZ194" t="inlineStr">
        <is>
          <t>☆</t>
        </is>
      </c>
      <c r="BA194" t="inlineStr">
        <is>
          <t>☆</t>
        </is>
      </c>
      <c r="BB194" t="inlineStr">
        <is>
          <t>☆</t>
        </is>
      </c>
      <c r="BC194" t="inlineStr">
        <is>
          <t>☆</t>
        </is>
      </c>
      <c r="BD194" t="inlineStr">
        <is>
          <t>☆</t>
        </is>
      </c>
      <c r="BE194" t="inlineStr">
        <is>
          <t>☆</t>
        </is>
      </c>
      <c r="BF194" t="inlineStr">
        <is>
          <t>☆</t>
        </is>
      </c>
      <c r="BG194" t="inlineStr">
        <is>
          <t>☆</t>
        </is>
      </c>
      <c r="BH194" t="inlineStr">
        <is>
          <t>☆</t>
        </is>
      </c>
      <c r="BI194" t="inlineStr">
        <is>
          <t>☆</t>
        </is>
      </c>
      <c r="BJ194" t="inlineStr">
        <is>
          <t>☆</t>
        </is>
      </c>
      <c r="BK194" t="inlineStr">
        <is>
          <t>☆</t>
        </is>
      </c>
      <c r="BL194" t="inlineStr">
        <is>
          <t>☆</t>
        </is>
      </c>
      <c r="BM194" t="inlineStr">
        <is>
          <t>☆</t>
        </is>
      </c>
      <c r="BN194" t="inlineStr">
        <is>
          <t>☆</t>
        </is>
      </c>
      <c r="BO194" t="inlineStr">
        <is>
          <t>☆</t>
        </is>
      </c>
      <c r="BP194" t="inlineStr">
        <is>
          <t>☆</t>
        </is>
      </c>
      <c r="BQ194" t="inlineStr">
        <is>
          <t>☆</t>
        </is>
      </c>
      <c r="BR194"/>
      <c r="BS194" t="inlineStr">
        <is>
          <t>#VALUE!</t>
        </is>
      </c>
    </row>
    <row r="195" ht="25.5" customHeight="1">
      <c r="A195" t="inlineStr">
        <is>
          <t>ES</t>
        </is>
      </c>
      <c r="B195" t="inlineStr">
        <is>
          <t>R0001EU</t>
        </is>
      </c>
      <c r="C195"/>
      <c r="D195" t="inlineStr">
        <is>
          <t>HPS39-手（coupon-15%）</t>
        </is>
      </c>
      <c r="E195">
        <v>11.75</v>
      </c>
      <c r="F195">
        <v>16.99</v>
      </c>
      <c r="G195"/>
      <c r="H195"/>
      <c r="I195"/>
      <c r="J195"/>
      <c r="K195"/>
      <c r="L195"/>
      <c r="M195"/>
      <c r="N195"/>
      <c r="O195"/>
      <c r="P195">
        <v>200</v>
      </c>
      <c r="Q195">
        <v>8</v>
      </c>
      <c r="R195"/>
      <c r="S195"/>
      <c r="T195"/>
      <c r="U195">
        <v>0.01</v>
      </c>
      <c r="V195"/>
      <c r="W195"/>
      <c r="X195">
        <v>0.188</v>
      </c>
      <c r="Y195">
        <v>2.5</v>
      </c>
      <c r="Z195"/>
      <c r="AA195"/>
      <c r="AB195"/>
      <c r="AC195">
        <v>29.4</v>
      </c>
      <c r="AD195"/>
      <c r="AE195"/>
      <c r="AF195"/>
      <c r="AG195"/>
      <c r="AH195">
        <v>4</v>
      </c>
      <c r="AI195"/>
      <c r="AJ195"/>
      <c r="AK195"/>
      <c r="AL195"/>
      <c r="AM195"/>
      <c r="AN195"/>
      <c r="AO195"/>
      <c r="AP195"/>
      <c r="AQ195"/>
      <c r="AR195"/>
      <c r="AS195"/>
      <c r="AT195" t="inlineStr">
        <is>
          <t>☆</t>
        </is>
      </c>
      <c r="AU195" t="inlineStr">
        <is>
          <t>☆</t>
        </is>
      </c>
      <c r="AV195" t="inlineStr">
        <is>
          <t>☆</t>
        </is>
      </c>
      <c r="AW195" t="inlineStr">
        <is>
          <t>☆</t>
        </is>
      </c>
      <c r="AX195" t="inlineStr">
        <is>
          <t>☆</t>
        </is>
      </c>
      <c r="AY195" t="inlineStr">
        <is>
          <t>☆</t>
        </is>
      </c>
      <c r="AZ195" t="inlineStr">
        <is>
          <t>☆</t>
        </is>
      </c>
      <c r="BA195" t="inlineStr">
        <is>
          <t>☆</t>
        </is>
      </c>
      <c r="BB195" t="inlineStr">
        <is>
          <t>☆</t>
        </is>
      </c>
      <c r="BC195" t="inlineStr">
        <is>
          <t>☆</t>
        </is>
      </c>
      <c r="BD195" t="inlineStr">
        <is>
          <t>☆</t>
        </is>
      </c>
      <c r="BE195" t="inlineStr">
        <is>
          <t>☆</t>
        </is>
      </c>
      <c r="BF195" t="inlineStr">
        <is>
          <t>☆</t>
        </is>
      </c>
      <c r="BG195" t="inlineStr">
        <is>
          <t>☆</t>
        </is>
      </c>
      <c r="BH195" t="inlineStr">
        <is>
          <t>☆</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
        </is>
      </c>
      <c r="BR195"/>
      <c r="BS195" t="inlineStr">
        <is>
          <t>#VALUE!</t>
        </is>
      </c>
    </row>
    <row r="196" ht="25.5" customHeight="1">
      <c r="A196" t="inlineStr">
        <is>
          <t>NL</t>
        </is>
      </c>
      <c r="B196" t="inlineStr">
        <is>
          <t>R0001EU</t>
        </is>
      </c>
      <c r="C196"/>
      <c r="D196" t="inlineStr">
        <is>
          <t>HPS39-手荷兰</t>
        </is>
      </c>
      <c r="E196">
        <v>15</v>
      </c>
      <c r="F196">
        <v>21.99</v>
      </c>
      <c r="G196"/>
      <c r="H196"/>
      <c r="I196"/>
      <c r="J196"/>
      <c r="K196"/>
      <c r="L196"/>
      <c r="M196"/>
      <c r="N196"/>
      <c r="O196"/>
      <c r="P196">
        <v>200</v>
      </c>
      <c r="Q196">
        <v>8</v>
      </c>
      <c r="R196"/>
      <c r="S196"/>
      <c r="T196"/>
      <c r="U196">
        <v>0.01</v>
      </c>
      <c r="V196"/>
      <c r="W196"/>
      <c r="X196">
        <v>0.188</v>
      </c>
      <c r="Y196">
        <v>0</v>
      </c>
      <c r="Z196"/>
      <c r="AA196"/>
      <c r="AB196"/>
      <c r="AC196">
        <v>29.4</v>
      </c>
      <c r="AD196"/>
      <c r="AE196"/>
      <c r="AF196"/>
      <c r="AG196"/>
      <c r="AH196">
        <v>4</v>
      </c>
      <c r="AI196"/>
      <c r="AJ196"/>
      <c r="AK196"/>
      <c r="AL196"/>
      <c r="AM196"/>
      <c r="AN196"/>
      <c r="AO196"/>
      <c r="AP196"/>
      <c r="AQ196"/>
      <c r="AR196"/>
      <c r="AS196"/>
      <c r="AT196" t="inlineStr">
        <is>
          <t>☆</t>
        </is>
      </c>
      <c r="AU196" t="inlineStr">
        <is>
          <t>☆</t>
        </is>
      </c>
      <c r="AV196" t="inlineStr">
        <is>
          <t>☆</t>
        </is>
      </c>
      <c r="AW196" t="inlineStr">
        <is>
          <t>☆</t>
        </is>
      </c>
      <c r="AX196" t="inlineStr">
        <is>
          <t>☆</t>
        </is>
      </c>
      <c r="AY196" t="inlineStr">
        <is>
          <t>☆</t>
        </is>
      </c>
      <c r="AZ196" t="inlineStr">
        <is>
          <t>☆</t>
        </is>
      </c>
      <c r="BA196" t="inlineStr">
        <is>
          <t>☆</t>
        </is>
      </c>
      <c r="BB196" t="inlineStr">
        <is>
          <t>☆</t>
        </is>
      </c>
      <c r="BC196" t="inlineStr">
        <is>
          <t>☆</t>
        </is>
      </c>
      <c r="BD196" t="inlineStr">
        <is>
          <t>☆</t>
        </is>
      </c>
      <c r="BE196" t="inlineStr">
        <is>
          <t>☆</t>
        </is>
      </c>
      <c r="BF196" t="inlineStr">
        <is>
          <t>☆</t>
        </is>
      </c>
      <c r="BG196" t="inlineStr">
        <is>
          <t>☆</t>
        </is>
      </c>
      <c r="BH196" t="inlineStr">
        <is>
          <t>☆</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c r="BS196" t="inlineStr">
        <is>
          <t>#VALUE!</t>
        </is>
      </c>
    </row>
    <row r="197" ht="25.5" customHeight="1">
      <c r="A197" t="inlineStr">
        <is>
          <t>PL</t>
        </is>
      </c>
      <c r="B197" t="inlineStr">
        <is>
          <t>R0001EU</t>
        </is>
      </c>
      <c r="C197"/>
      <c r="D197" t="inlineStr">
        <is>
          <t>HPS39-手波兰</t>
        </is>
      </c>
      <c r="E197">
        <v>15</v>
      </c>
      <c r="F197">
        <v>21.99</v>
      </c>
      <c r="G197"/>
      <c r="H197"/>
      <c r="I197"/>
      <c r="J197"/>
      <c r="K197"/>
      <c r="L197"/>
      <c r="M197"/>
      <c r="N197"/>
      <c r="O197"/>
      <c r="P197">
        <v>200</v>
      </c>
      <c r="Q197">
        <v>8</v>
      </c>
      <c r="R197"/>
      <c r="S197"/>
      <c r="T197"/>
      <c r="U197">
        <v>0.01</v>
      </c>
      <c r="V197"/>
      <c r="W197"/>
      <c r="X197">
        <v>0.188</v>
      </c>
      <c r="Y197">
        <v>0</v>
      </c>
      <c r="Z197"/>
      <c r="AA197"/>
      <c r="AB197"/>
      <c r="AC197">
        <v>29.4</v>
      </c>
      <c r="AD197"/>
      <c r="AE197"/>
      <c r="AF197"/>
      <c r="AG197"/>
      <c r="AH197">
        <v>4</v>
      </c>
      <c r="AI197"/>
      <c r="AJ197"/>
      <c r="AK197"/>
      <c r="AL197"/>
      <c r="AM197"/>
      <c r="AN197"/>
      <c r="AO197"/>
      <c r="AP197"/>
      <c r="AQ197"/>
      <c r="AR197"/>
      <c r="AS197"/>
      <c r="AT197" t="inlineStr">
        <is>
          <t>☆</t>
        </is>
      </c>
      <c r="AU197" t="inlineStr">
        <is>
          <t>☆</t>
        </is>
      </c>
      <c r="AV197" t="inlineStr">
        <is>
          <t>☆</t>
        </is>
      </c>
      <c r="AW197" t="inlineStr">
        <is>
          <t>☆</t>
        </is>
      </c>
      <c r="AX197" t="inlineStr">
        <is>
          <t>☆</t>
        </is>
      </c>
      <c r="AY197" t="inlineStr">
        <is>
          <t>☆</t>
        </is>
      </c>
      <c r="AZ197" t="inlineStr">
        <is>
          <t>☆</t>
        </is>
      </c>
      <c r="BA197" t="inlineStr">
        <is>
          <t>☆</t>
        </is>
      </c>
      <c r="BB197" t="inlineStr">
        <is>
          <t>☆</t>
        </is>
      </c>
      <c r="BC197" t="inlineStr">
        <is>
          <t>☆</t>
        </is>
      </c>
      <c r="BD197" t="inlineStr">
        <is>
          <t>☆</t>
        </is>
      </c>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c r="BS197" t="inlineStr">
        <is>
          <t>#VALUE!</t>
        </is>
      </c>
    </row>
    <row r="198" ht="25.5" customHeight="1">
      <c r="A198" t="inlineStr">
        <is>
          <t>SE</t>
        </is>
      </c>
      <c r="B198" t="inlineStr">
        <is>
          <t>R0001EU</t>
        </is>
      </c>
      <c r="C198"/>
      <c r="D198" t="inlineStr">
        <is>
          <t>HPS39-手瑞典</t>
        </is>
      </c>
      <c r="E198">
        <v>15</v>
      </c>
      <c r="F198">
        <v>21.99</v>
      </c>
      <c r="G198"/>
      <c r="H198"/>
      <c r="I198"/>
      <c r="J198"/>
      <c r="K198"/>
      <c r="L198"/>
      <c r="M198"/>
      <c r="N198"/>
      <c r="O198"/>
      <c r="P198">
        <v>200</v>
      </c>
      <c r="Q198">
        <v>8</v>
      </c>
      <c r="R198"/>
      <c r="S198"/>
      <c r="T198"/>
      <c r="U198">
        <v>0.01</v>
      </c>
      <c r="V198"/>
      <c r="W198"/>
      <c r="X198">
        <v>0.188</v>
      </c>
      <c r="Y198">
        <v>0</v>
      </c>
      <c r="Z198"/>
      <c r="AA198"/>
      <c r="AB198"/>
      <c r="AC198">
        <v>29.4</v>
      </c>
      <c r="AD198"/>
      <c r="AE198"/>
      <c r="AF198"/>
      <c r="AG198"/>
      <c r="AH198">
        <v>4</v>
      </c>
      <c r="AI198"/>
      <c r="AJ198"/>
      <c r="AK198"/>
      <c r="AL198"/>
      <c r="AM198"/>
      <c r="AN198"/>
      <c r="AO198"/>
      <c r="AP198"/>
      <c r="AQ198"/>
      <c r="AR198"/>
      <c r="AS198"/>
      <c r="AT198" t="inlineStr">
        <is>
          <t>☆</t>
        </is>
      </c>
      <c r="AU198" t="inlineStr">
        <is>
          <t>☆</t>
        </is>
      </c>
      <c r="AV198" t="inlineStr">
        <is>
          <t>☆</t>
        </is>
      </c>
      <c r="AW198" t="inlineStr">
        <is>
          <t>☆</t>
        </is>
      </c>
      <c r="AX198" t="inlineStr">
        <is>
          <t>☆</t>
        </is>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c r="BS198" t="inlineStr">
        <is>
          <t>#VALUE!</t>
        </is>
      </c>
    </row>
    <row r="199" ht="25.5" customHeight="1">
      <c r="A199" t="inlineStr">
        <is>
          <t>BE</t>
        </is>
      </c>
      <c r="B199" t="inlineStr">
        <is>
          <t>R0001EU</t>
        </is>
      </c>
      <c r="C199"/>
      <c r="D199" t="inlineStr">
        <is>
          <t>HPS39-手比利时</t>
        </is>
      </c>
      <c r="E199">
        <v>15</v>
      </c>
      <c r="F199">
        <v>21.99</v>
      </c>
      <c r="G199"/>
      <c r="H199"/>
      <c r="I199"/>
      <c r="J199"/>
      <c r="K199"/>
      <c r="L199"/>
      <c r="M199"/>
      <c r="N199"/>
      <c r="O199"/>
      <c r="P199">
        <v>200</v>
      </c>
      <c r="Q199">
        <v>8</v>
      </c>
      <c r="R199"/>
      <c r="S199"/>
      <c r="T199"/>
      <c r="U199">
        <v>0.01</v>
      </c>
      <c r="V199"/>
      <c r="W199"/>
      <c r="X199">
        <v>0.188</v>
      </c>
      <c r="Y199">
        <v>0</v>
      </c>
      <c r="Z199"/>
      <c r="AA199"/>
      <c r="AB199"/>
      <c r="AC199">
        <v>29.4</v>
      </c>
      <c r="AD199"/>
      <c r="AE199"/>
      <c r="AF199"/>
      <c r="AG199"/>
      <c r="AH199">
        <v>4</v>
      </c>
      <c r="AI199"/>
      <c r="AJ199"/>
      <c r="AK199"/>
      <c r="AL199"/>
      <c r="AM199"/>
      <c r="AN199"/>
      <c r="AO199"/>
      <c r="AP199"/>
      <c r="AQ199"/>
      <c r="AR199"/>
      <c r="AS199"/>
      <c r="AT199" t="inlineStr">
        <is>
          <t>☆</t>
        </is>
      </c>
      <c r="AU199" t="inlineStr">
        <is>
          <t>☆</t>
        </is>
      </c>
      <c r="AV199" t="inlineStr">
        <is>
          <t>☆</t>
        </is>
      </c>
      <c r="AW199" t="inlineStr">
        <is>
          <t>☆</t>
        </is>
      </c>
      <c r="AX199" t="inlineStr">
        <is>
          <t>☆</t>
        </is>
      </c>
      <c r="AY199" t="inlineStr">
        <is>
          <t>☆</t>
        </is>
      </c>
      <c r="AZ199" t="inlineStr">
        <is>
          <t>☆</t>
        </is>
      </c>
      <c r="BA199" t="inlineStr">
        <is>
          <t>☆</t>
        </is>
      </c>
      <c r="BB199" t="inlineStr">
        <is>
          <t>☆</t>
        </is>
      </c>
      <c r="BC199" t="inlineStr">
        <is>
          <t>☆</t>
        </is>
      </c>
      <c r="BD199" t="inlineStr">
        <is>
          <t>☆</t>
        </is>
      </c>
      <c r="BE199" t="inlineStr">
        <is>
          <t>☆</t>
        </is>
      </c>
      <c r="BF199" t="inlineStr">
        <is>
          <t>☆</t>
        </is>
      </c>
      <c r="BG199" t="inlineStr">
        <is>
          <t>☆</t>
        </is>
      </c>
      <c r="BH199" t="inlineStr">
        <is>
          <t>☆</t>
        </is>
      </c>
      <c r="BI199" t="inlineStr">
        <is>
          <t>☆</t>
        </is>
      </c>
      <c r="BJ199" t="inlineStr">
        <is>
          <t>☆</t>
        </is>
      </c>
      <c r="BK199" t="inlineStr">
        <is>
          <t>☆</t>
        </is>
      </c>
      <c r="BL199" t="inlineStr">
        <is>
          <t>☆</t>
        </is>
      </c>
      <c r="BM199" t="inlineStr">
        <is>
          <t>☆</t>
        </is>
      </c>
      <c r="BN199" t="inlineStr">
        <is>
          <t>☆</t>
        </is>
      </c>
      <c r="BO199" t="inlineStr">
        <is>
          <t>☆</t>
        </is>
      </c>
      <c r="BP199" t="inlineStr">
        <is>
          <t>☆</t>
        </is>
      </c>
      <c r="BQ199" t="inlineStr">
        <is>
          <t>☆</t>
        </is>
      </c>
      <c r="BR199"/>
      <c r="BS199" t="inlineStr">
        <is>
          <t>#VALUE!</t>
        </is>
      </c>
    </row>
    <row r="200" ht="25.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row>
    <row r="201" ht="25.5" customHeight="1">
      <c r="A201" t="inlineStr">
        <is>
          <t>UK</t>
        </is>
      </c>
      <c r="B201"/>
      <c r="C201"/>
      <c r="D201" t="inlineStr">
        <is>
          <t>杆式吸尘器</t>
        </is>
      </c>
      <c r="E201">
        <v>100</v>
      </c>
      <c r="F201">
        <v>139.99</v>
      </c>
      <c r="G201"/>
      <c r="H201"/>
      <c r="I201"/>
      <c r="J201"/>
      <c r="K201"/>
      <c r="L201"/>
      <c r="M201"/>
      <c r="N201"/>
      <c r="O201"/>
      <c r="P201">
        <v>4</v>
      </c>
      <c r="Q201">
        <v>8.5</v>
      </c>
      <c r="R201">
        <v>0.1</v>
      </c>
      <c r="S201"/>
      <c r="T201">
        <v>0.05</v>
      </c>
      <c r="U201">
        <v>0.01</v>
      </c>
      <c r="V201"/>
      <c r="W201"/>
      <c r="X201">
        <v>0.158</v>
      </c>
      <c r="Y201"/>
      <c r="Z201"/>
      <c r="AA201"/>
      <c r="AB201"/>
      <c r="AC201">
        <v>340</v>
      </c>
      <c r="AD201"/>
      <c r="AE201"/>
      <c r="AF201"/>
      <c r="AG201"/>
      <c r="AH201">
        <v>30</v>
      </c>
      <c r="AI201"/>
      <c r="AJ201"/>
      <c r="AK201"/>
      <c r="AL201"/>
      <c r="AM201"/>
      <c r="AN201"/>
      <c r="AO201"/>
      <c r="AP201"/>
      <c r="AQ201"/>
      <c r="AR201"/>
      <c r="AS201"/>
      <c r="AT201" t="inlineStr">
        <is>
          <t>☆</t>
        </is>
      </c>
      <c r="AU201" t="inlineStr">
        <is>
          <t>☆</t>
        </is>
      </c>
      <c r="AV201" t="inlineStr">
        <is>
          <t>☆</t>
        </is>
      </c>
      <c r="AW201" t="inlineStr">
        <is>
          <t>☆</t>
        </is>
      </c>
      <c r="AX201" t="inlineStr">
        <is>
          <t>☆</t>
        </is>
      </c>
      <c r="AY201" t="inlineStr">
        <is>
          <t>☆</t>
        </is>
      </c>
      <c r="AZ201" t="inlineStr">
        <is>
          <t>☆</t>
        </is>
      </c>
      <c r="BA201" t="inlineStr">
        <is>
          <t>☆</t>
        </is>
      </c>
      <c r="BB201" t="inlineStr">
        <is>
          <t>☆</t>
        </is>
      </c>
      <c r="BC201" t="inlineStr">
        <is>
          <t>☆</t>
        </is>
      </c>
      <c r="BD201" t="inlineStr">
        <is>
          <t>☆</t>
        </is>
      </c>
      <c r="BE201" t="inlineStr">
        <is>
          <t>☆</t>
        </is>
      </c>
      <c r="BF201" t="inlineStr">
        <is>
          <t>☆</t>
        </is>
      </c>
      <c r="BG201" t="inlineStr">
        <is>
          <t>☆</t>
        </is>
      </c>
      <c r="BH201" t="inlineStr">
        <is>
          <t>☆</t>
        </is>
      </c>
      <c r="BI201" t="inlineStr">
        <is>
          <t>☆</t>
        </is>
      </c>
      <c r="BJ201" t="inlineStr">
        <is>
          <t>☆</t>
        </is>
      </c>
      <c r="BK201" t="inlineStr">
        <is>
          <t>☆</t>
        </is>
      </c>
      <c r="BL201" t="inlineStr">
        <is>
          <t>☆</t>
        </is>
      </c>
      <c r="BM201" t="inlineStr">
        <is>
          <t>☆</t>
        </is>
      </c>
      <c r="BN201" t="inlineStr">
        <is>
          <t>☆</t>
        </is>
      </c>
      <c r="BO201" t="inlineStr">
        <is>
          <t>☆</t>
        </is>
      </c>
      <c r="BP201" t="inlineStr">
        <is>
          <t>☆</t>
        </is>
      </c>
      <c r="BQ201" t="inlineStr">
        <is>
          <t>☆</t>
        </is>
      </c>
      <c r="BR201"/>
      <c r="BS201" t="inlineStr">
        <is>
          <t>#VALUE!</t>
        </is>
      </c>
    </row>
    <row r="202" ht="25.5" customHeight="1">
      <c r="A202" t="inlineStr">
        <is>
          <t>DE</t>
        </is>
      </c>
      <c r="B202"/>
      <c r="C202"/>
      <c r="D202" t="inlineStr">
        <is>
          <t>杆式吸尘器</t>
        </is>
      </c>
      <c r="E202">
        <v>108</v>
      </c>
      <c r="F202">
        <v>149.99</v>
      </c>
      <c r="G202"/>
      <c r="H202"/>
      <c r="I202"/>
      <c r="J202"/>
      <c r="K202"/>
      <c r="L202"/>
      <c r="M202"/>
      <c r="N202"/>
      <c r="O202"/>
      <c r="P202">
        <v>4</v>
      </c>
      <c r="Q202">
        <v>7.4</v>
      </c>
      <c r="R202">
        <v>0.1</v>
      </c>
      <c r="S202"/>
      <c r="T202">
        <v>0.05</v>
      </c>
      <c r="U202">
        <v>0.01</v>
      </c>
      <c r="V202"/>
      <c r="W202"/>
      <c r="X202">
        <v>0.1695</v>
      </c>
      <c r="Y202"/>
      <c r="Z202"/>
      <c r="AA202"/>
      <c r="AB202"/>
      <c r="AC202">
        <v>340</v>
      </c>
      <c r="AD202"/>
      <c r="AE202"/>
      <c r="AF202"/>
      <c r="AG202"/>
      <c r="AH202">
        <v>30</v>
      </c>
      <c r="AI202"/>
      <c r="AJ202"/>
      <c r="AK202"/>
      <c r="AL202"/>
      <c r="AM202"/>
      <c r="AN202"/>
      <c r="AO202"/>
      <c r="AP202"/>
      <c r="AQ202"/>
      <c r="AR202"/>
      <c r="AS202"/>
      <c r="AT202" t="inlineStr">
        <is>
          <t>☆</t>
        </is>
      </c>
      <c r="AU202" t="inlineStr">
        <is>
          <t>☆</t>
        </is>
      </c>
      <c r="AV202" t="inlineStr">
        <is>
          <t>☆</t>
        </is>
      </c>
      <c r="AW202" t="inlineStr">
        <is>
          <t>☆</t>
        </is>
      </c>
      <c r="AX202" t="inlineStr">
        <is>
          <t>☆</t>
        </is>
      </c>
      <c r="AY202" t="inlineStr">
        <is>
          <t>☆</t>
        </is>
      </c>
      <c r="AZ202" t="inlineStr">
        <is>
          <t>☆</t>
        </is>
      </c>
      <c r="BA202" t="inlineStr">
        <is>
          <t>☆</t>
        </is>
      </c>
      <c r="BB202" t="inlineStr">
        <is>
          <t>☆</t>
        </is>
      </c>
      <c r="BC202" t="inlineStr">
        <is>
          <t>☆</t>
        </is>
      </c>
      <c r="BD202" t="inlineStr">
        <is>
          <t>☆</t>
        </is>
      </c>
      <c r="BE202" t="inlineStr">
        <is>
          <t>☆</t>
        </is>
      </c>
      <c r="BF202" t="inlineStr">
        <is>
          <t>☆</t>
        </is>
      </c>
      <c r="BG202" t="inlineStr">
        <is>
          <t>☆</t>
        </is>
      </c>
      <c r="BH202" t="inlineStr">
        <is>
          <t>☆</t>
        </is>
      </c>
      <c r="BI202" t="inlineStr">
        <is>
          <t>☆</t>
        </is>
      </c>
      <c r="BJ202" t="inlineStr">
        <is>
          <t>☆</t>
        </is>
      </c>
      <c r="BK202" t="inlineStr">
        <is>
          <t>☆</t>
        </is>
      </c>
      <c r="BL202" t="inlineStr">
        <is>
          <t>☆</t>
        </is>
      </c>
      <c r="BM202" t="inlineStr">
        <is>
          <t>☆</t>
        </is>
      </c>
      <c r="BN202" t="inlineStr">
        <is>
          <t>☆</t>
        </is>
      </c>
      <c r="BO202" t="inlineStr">
        <is>
          <t>☆</t>
        </is>
      </c>
      <c r="BP202" t="inlineStr">
        <is>
          <t>☆</t>
        </is>
      </c>
      <c r="BQ202" t="inlineStr">
        <is>
          <t>☆</t>
        </is>
      </c>
      <c r="BR202"/>
      <c r="BS202" t="inlineStr">
        <is>
          <t>#VALUE!</t>
        </is>
      </c>
    </row>
    <row r="203" ht="25.5" customHeight="1">
      <c r="A203" t="inlineStr">
        <is>
          <t>FR</t>
        </is>
      </c>
      <c r="B203"/>
      <c r="C203"/>
      <c r="D203" t="inlineStr">
        <is>
          <t>杆式吸尘器</t>
        </is>
      </c>
      <c r="E203">
        <v>108</v>
      </c>
      <c r="F203">
        <v>149.99</v>
      </c>
      <c r="G203"/>
      <c r="H203"/>
      <c r="I203"/>
      <c r="J203"/>
      <c r="K203"/>
      <c r="L203"/>
      <c r="M203"/>
      <c r="N203"/>
      <c r="O203"/>
      <c r="P203">
        <v>4</v>
      </c>
      <c r="Q203">
        <v>7.4</v>
      </c>
      <c r="R203">
        <v>0.1</v>
      </c>
      <c r="S203"/>
      <c r="T203">
        <v>0.05</v>
      </c>
      <c r="U203">
        <v>0.01</v>
      </c>
      <c r="V203"/>
      <c r="W203"/>
      <c r="X203">
        <v>0.198</v>
      </c>
      <c r="Y203"/>
      <c r="Z203"/>
      <c r="AA203"/>
      <c r="AB203"/>
      <c r="AC203">
        <v>340</v>
      </c>
      <c r="AD203"/>
      <c r="AE203"/>
      <c r="AF203"/>
      <c r="AG203"/>
      <c r="AH203">
        <v>30</v>
      </c>
      <c r="AI203"/>
      <c r="AJ203"/>
      <c r="AK203"/>
      <c r="AL203"/>
      <c r="AM203"/>
      <c r="AN203"/>
      <c r="AO203"/>
      <c r="AP203"/>
      <c r="AQ203"/>
      <c r="AR203"/>
      <c r="AS203"/>
      <c r="AT203" t="inlineStr">
        <is>
          <t>☆</t>
        </is>
      </c>
      <c r="AU203" t="inlineStr">
        <is>
          <t>☆</t>
        </is>
      </c>
      <c r="AV203" t="inlineStr">
        <is>
          <t>☆</t>
        </is>
      </c>
      <c r="AW203" t="inlineStr">
        <is>
          <t>☆</t>
        </is>
      </c>
      <c r="AX203" t="inlineStr">
        <is>
          <t>☆</t>
        </is>
      </c>
      <c r="AY203" t="inlineStr">
        <is>
          <t>☆</t>
        </is>
      </c>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is>
          <t>☆</t>
        </is>
      </c>
      <c r="BR203"/>
      <c r="BS203" t="inlineStr">
        <is>
          <t>#VALUE!</t>
        </is>
      </c>
    </row>
    <row r="204" ht="25.5" customHeight="1">
      <c r="A204" t="inlineStr">
        <is>
          <t>IT</t>
        </is>
      </c>
      <c r="B204"/>
      <c r="C204"/>
      <c r="D204" t="inlineStr">
        <is>
          <t>杆式吸尘器</t>
        </is>
      </c>
      <c r="E204">
        <v>108</v>
      </c>
      <c r="F204">
        <v>149.99</v>
      </c>
      <c r="G204"/>
      <c r="H204"/>
      <c r="I204"/>
      <c r="J204"/>
      <c r="K204"/>
      <c r="L204"/>
      <c r="M204"/>
      <c r="N204"/>
      <c r="O204"/>
      <c r="P204">
        <v>4</v>
      </c>
      <c r="Q204">
        <v>7.4</v>
      </c>
      <c r="R204">
        <v>0.1</v>
      </c>
      <c r="S204"/>
      <c r="T204">
        <v>0.05</v>
      </c>
      <c r="U204">
        <v>0.01</v>
      </c>
      <c r="V204"/>
      <c r="W204"/>
      <c r="X204">
        <v>0.1846</v>
      </c>
      <c r="Y204"/>
      <c r="Z204"/>
      <c r="AA204"/>
      <c r="AB204"/>
      <c r="AC204">
        <v>340</v>
      </c>
      <c r="AD204"/>
      <c r="AE204"/>
      <c r="AF204"/>
      <c r="AG204"/>
      <c r="AH204">
        <v>30</v>
      </c>
      <c r="AI204"/>
      <c r="AJ204"/>
      <c r="AK204"/>
      <c r="AL204"/>
      <c r="AM204"/>
      <c r="AN204"/>
      <c r="AO204"/>
      <c r="AP204"/>
      <c r="AQ204"/>
      <c r="AR204"/>
      <c r="AS204"/>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c r="BS204" t="inlineStr">
        <is>
          <t>#VALUE!</t>
        </is>
      </c>
    </row>
    <row r="205" ht="25.5" customHeight="1">
      <c r="A205" t="inlineStr">
        <is>
          <t>ES</t>
        </is>
      </c>
      <c r="B205"/>
      <c r="C205"/>
      <c r="D205" t="inlineStr">
        <is>
          <t>杆式吸尘器</t>
        </is>
      </c>
      <c r="E205">
        <v>108</v>
      </c>
      <c r="F205">
        <v>149.99</v>
      </c>
      <c r="G205"/>
      <c r="H205"/>
      <c r="I205"/>
      <c r="J205"/>
      <c r="K205"/>
      <c r="L205"/>
      <c r="M205"/>
      <c r="N205"/>
      <c r="O205"/>
      <c r="P205">
        <v>4</v>
      </c>
      <c r="Q205">
        <v>7.4</v>
      </c>
      <c r="R205">
        <v>0.1</v>
      </c>
      <c r="S205"/>
      <c r="T205">
        <v>0.05</v>
      </c>
      <c r="U205">
        <v>0.01</v>
      </c>
      <c r="V205"/>
      <c r="W205"/>
      <c r="X205">
        <v>0.1646</v>
      </c>
      <c r="Y205"/>
      <c r="Z205"/>
      <c r="AA205"/>
      <c r="AB205"/>
      <c r="AC205">
        <v>340</v>
      </c>
      <c r="AD205"/>
      <c r="AE205"/>
      <c r="AF205"/>
      <c r="AG205"/>
      <c r="AH205">
        <v>30</v>
      </c>
      <c r="AI205"/>
      <c r="AJ205"/>
      <c r="AK205"/>
      <c r="AL205"/>
      <c r="AM205"/>
      <c r="AN205"/>
      <c r="AO205"/>
      <c r="AP205"/>
      <c r="AQ205"/>
      <c r="AR205"/>
      <c r="AS205"/>
      <c r="AT205" t="inlineStr">
        <is>
          <t>☆</t>
        </is>
      </c>
      <c r="AU205" t="inlineStr">
        <is>
          <t>☆</t>
        </is>
      </c>
      <c r="AV205" t="inlineStr">
        <is>
          <t>☆</t>
        </is>
      </c>
      <c r="AW205" t="inlineStr">
        <is>
          <t>☆</t>
        </is>
      </c>
      <c r="AX205" t="inlineStr">
        <is>
          <t>☆</t>
        </is>
      </c>
      <c r="AY205" t="inlineStr">
        <is>
          <t>☆</t>
        </is>
      </c>
      <c r="AZ205" t="inlineStr">
        <is>
          <t>☆</t>
        </is>
      </c>
      <c r="BA205" t="inlineStr">
        <is>
          <t>☆</t>
        </is>
      </c>
      <c r="BB205" t="inlineStr">
        <is>
          <t>☆</t>
        </is>
      </c>
      <c r="BC205" t="inlineStr">
        <is>
          <t>☆</t>
        </is>
      </c>
      <c r="BD205" t="inlineStr">
        <is>
          <t>☆</t>
        </is>
      </c>
      <c r="BE205" t="inlineStr">
        <is>
          <t>☆</t>
        </is>
      </c>
      <c r="BF205" t="inlineStr">
        <is>
          <t>☆</t>
        </is>
      </c>
      <c r="BG205" t="inlineStr">
        <is>
          <t>☆</t>
        </is>
      </c>
      <c r="BH205" t="inlineStr">
        <is>
          <t>☆</t>
        </is>
      </c>
      <c r="BI205" t="inlineStr">
        <is>
          <t>☆</t>
        </is>
      </c>
      <c r="BJ205" t="inlineStr">
        <is>
          <t>☆</t>
        </is>
      </c>
      <c r="BK205" t="inlineStr">
        <is>
          <t>☆</t>
        </is>
      </c>
      <c r="BL205" t="inlineStr">
        <is>
          <t>☆</t>
        </is>
      </c>
      <c r="BM205" t="inlineStr">
        <is>
          <t>☆</t>
        </is>
      </c>
      <c r="BN205" t="inlineStr">
        <is>
          <t>☆</t>
        </is>
      </c>
      <c r="BO205" t="inlineStr">
        <is>
          <t>☆</t>
        </is>
      </c>
      <c r="BP205" t="inlineStr">
        <is>
          <t>☆</t>
        </is>
      </c>
      <c r="BQ205" t="inlineStr">
        <is>
          <t>☆</t>
        </is>
      </c>
      <c r="BR205"/>
      <c r="BS205" t="inlineStr">
        <is>
          <t>#VALUE!</t>
        </is>
      </c>
    </row>
    <row r="206" ht="25.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t="inlineStr">
        <is>
          <t>#VALUE!</t>
        </is>
      </c>
    </row>
    <row r="207" ht="25.5" customHeight="1">
      <c r="A207" t="inlineStr">
        <is>
          <t>UK</t>
        </is>
      </c>
      <c r="B207"/>
      <c r="C207"/>
      <c r="D207" t="inlineStr">
        <is>
          <t>空净KJ-330</t>
        </is>
      </c>
      <c r="E207">
        <v>85</v>
      </c>
      <c r="F207">
        <v>119.99</v>
      </c>
      <c r="G207"/>
      <c r="H207"/>
      <c r="I207"/>
      <c r="J207"/>
      <c r="K207"/>
      <c r="L207"/>
      <c r="M207"/>
      <c r="N207"/>
      <c r="O207"/>
      <c r="P207">
        <v>3</v>
      </c>
      <c r="Q207">
        <v>8.5</v>
      </c>
      <c r="R207">
        <v>0.13</v>
      </c>
      <c r="S207"/>
      <c r="T207">
        <v>0.05</v>
      </c>
      <c r="U207">
        <v>0.01</v>
      </c>
      <c r="V207"/>
      <c r="W207"/>
      <c r="X207">
        <v>0.158</v>
      </c>
      <c r="Y207"/>
      <c r="Z207"/>
      <c r="AA207"/>
      <c r="AB207"/>
      <c r="AC207">
        <v>270</v>
      </c>
      <c r="AD207"/>
      <c r="AE207"/>
      <c r="AF207"/>
      <c r="AG207"/>
      <c r="AH207">
        <v>27.9</v>
      </c>
      <c r="AI207"/>
      <c r="AJ207"/>
      <c r="AK207"/>
      <c r="AL207"/>
      <c r="AM207"/>
      <c r="AN207"/>
      <c r="AO207"/>
      <c r="AP207"/>
      <c r="AQ207"/>
      <c r="AR207"/>
      <c r="AS207"/>
      <c r="AT207" t="inlineStr">
        <is>
          <t>☆</t>
        </is>
      </c>
      <c r="AU207" t="inlineStr">
        <is>
          <t>☆</t>
        </is>
      </c>
      <c r="AV207" t="inlineStr">
        <is>
          <t>☆</t>
        </is>
      </c>
      <c r="AW207" t="inlineStr">
        <is>
          <t>☆</t>
        </is>
      </c>
      <c r="AX207" t="inlineStr">
        <is>
          <t>☆</t>
        </is>
      </c>
      <c r="AY207" t="inlineStr">
        <is>
          <t>☆</t>
        </is>
      </c>
      <c r="AZ207" t="inlineStr">
        <is>
          <t>☆</t>
        </is>
      </c>
      <c r="BA207" t="inlineStr">
        <is>
          <t>☆</t>
        </is>
      </c>
      <c r="BB207" t="inlineStr">
        <is>
          <t>☆</t>
        </is>
      </c>
      <c r="BC207" t="inlineStr">
        <is>
          <t>☆</t>
        </is>
      </c>
      <c r="BD207" t="inlineStr">
        <is>
          <t>☆</t>
        </is>
      </c>
      <c r="BE207" t="inlineStr">
        <is>
          <t>☆</t>
        </is>
      </c>
      <c r="BF207" t="inlineStr">
        <is>
          <t>☆</t>
        </is>
      </c>
      <c r="BG207" t="inlineStr">
        <is>
          <t>☆</t>
        </is>
      </c>
      <c r="BH207" t="inlineStr">
        <is>
          <t>☆</t>
        </is>
      </c>
      <c r="BI207" t="inlineStr">
        <is>
          <t>☆</t>
        </is>
      </c>
      <c r="BJ207" t="inlineStr">
        <is>
          <t>☆</t>
        </is>
      </c>
      <c r="BK207" t="inlineStr">
        <is>
          <t>☆</t>
        </is>
      </c>
      <c r="BL207" t="inlineStr">
        <is>
          <t>☆</t>
        </is>
      </c>
      <c r="BM207" t="inlineStr">
        <is>
          <t>☆</t>
        </is>
      </c>
      <c r="BN207" t="inlineStr">
        <is>
          <t>☆</t>
        </is>
      </c>
      <c r="BO207" t="inlineStr">
        <is>
          <t>☆</t>
        </is>
      </c>
      <c r="BP207" t="inlineStr">
        <is>
          <t>☆</t>
        </is>
      </c>
      <c r="BQ207" t="inlineStr">
        <is>
          <t>☆</t>
        </is>
      </c>
      <c r="BR207"/>
      <c r="BS207" t="inlineStr">
        <is>
          <t>#VALUE!</t>
        </is>
      </c>
    </row>
    <row r="208" ht="25.5" customHeight="1">
      <c r="A208" t="inlineStr">
        <is>
          <t>DE</t>
        </is>
      </c>
      <c r="B208"/>
      <c r="C208"/>
      <c r="D208" t="inlineStr">
        <is>
          <t>空净KJ-330</t>
        </is>
      </c>
      <c r="E208">
        <v>84</v>
      </c>
      <c r="F208">
        <v>119</v>
      </c>
      <c r="G208"/>
      <c r="H208"/>
      <c r="I208"/>
      <c r="J208"/>
      <c r="K208"/>
      <c r="L208"/>
      <c r="M208"/>
      <c r="N208"/>
      <c r="O208"/>
      <c r="P208">
        <v>3</v>
      </c>
      <c r="Q208">
        <v>7.4</v>
      </c>
      <c r="R208">
        <v>0.13</v>
      </c>
      <c r="S208"/>
      <c r="T208">
        <v>0.05</v>
      </c>
      <c r="U208">
        <v>0.01</v>
      </c>
      <c r="V208"/>
      <c r="W208"/>
      <c r="X208">
        <v>0.1695</v>
      </c>
      <c r="Y208"/>
      <c r="Z208"/>
      <c r="AA208"/>
      <c r="AB208"/>
      <c r="AC208">
        <v>270</v>
      </c>
      <c r="AD208"/>
      <c r="AE208"/>
      <c r="AF208"/>
      <c r="AG208"/>
      <c r="AH208">
        <v>27.9</v>
      </c>
      <c r="AI208"/>
      <c r="AJ208"/>
      <c r="AK208"/>
      <c r="AL208"/>
      <c r="AM208"/>
      <c r="AN208"/>
      <c r="AO208"/>
      <c r="AP208"/>
      <c r="AQ208"/>
      <c r="AR208"/>
      <c r="AS208"/>
      <c r="AT208" t="inlineStr">
        <is>
          <t>☆</t>
        </is>
      </c>
      <c r="AU208" t="inlineStr">
        <is>
          <t>☆</t>
        </is>
      </c>
      <c r="AV208" t="inlineStr">
        <is>
          <t>☆</t>
        </is>
      </c>
      <c r="AW208" t="inlineStr">
        <is>
          <t>☆</t>
        </is>
      </c>
      <c r="AX208" t="inlineStr">
        <is>
          <t>☆</t>
        </is>
      </c>
      <c r="AY208" t="inlineStr">
        <is>
          <t>☆</t>
        </is>
      </c>
      <c r="AZ208" t="inlineStr">
        <is>
          <t>☆</t>
        </is>
      </c>
      <c r="BA208" t="inlineStr">
        <is>
          <t>☆</t>
        </is>
      </c>
      <c r="BB208" t="inlineStr">
        <is>
          <t>☆</t>
        </is>
      </c>
      <c r="BC208" t="inlineStr">
        <is>
          <t>☆</t>
        </is>
      </c>
      <c r="BD208" t="inlineStr">
        <is>
          <t>☆</t>
        </is>
      </c>
      <c r="BE208" t="inlineStr">
        <is>
          <t>☆</t>
        </is>
      </c>
      <c r="BF208" t="inlineStr">
        <is>
          <t>☆</t>
        </is>
      </c>
      <c r="BG208" t="inlineStr">
        <is>
          <t>☆</t>
        </is>
      </c>
      <c r="BH208" t="inlineStr">
        <is>
          <t>☆</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c r="BS208" t="inlineStr">
        <is>
          <t>#VALUE!</t>
        </is>
      </c>
    </row>
    <row r="209" ht="25.5" customHeight="1">
      <c r="A209" t="inlineStr">
        <is>
          <t>FR</t>
        </is>
      </c>
      <c r="B209"/>
      <c r="C209"/>
      <c r="D209" t="inlineStr">
        <is>
          <t>空净KJ-330</t>
        </is>
      </c>
      <c r="E209">
        <v>93</v>
      </c>
      <c r="F209">
        <v>129.99</v>
      </c>
      <c r="G209"/>
      <c r="H209"/>
      <c r="I209"/>
      <c r="J209"/>
      <c r="K209"/>
      <c r="L209"/>
      <c r="M209"/>
      <c r="N209"/>
      <c r="O209"/>
      <c r="P209">
        <v>3</v>
      </c>
      <c r="Q209">
        <v>7.4</v>
      </c>
      <c r="R209">
        <v>0.13</v>
      </c>
      <c r="S209"/>
      <c r="T209">
        <v>0.05</v>
      </c>
      <c r="U209">
        <v>0.01</v>
      </c>
      <c r="V209"/>
      <c r="W209"/>
      <c r="X209">
        <v>0.198</v>
      </c>
      <c r="Y209"/>
      <c r="Z209"/>
      <c r="AA209"/>
      <c r="AB209"/>
      <c r="AC209">
        <v>270</v>
      </c>
      <c r="AD209"/>
      <c r="AE209"/>
      <c r="AF209"/>
      <c r="AG209"/>
      <c r="AH209">
        <v>27.9</v>
      </c>
      <c r="AI209"/>
      <c r="AJ209"/>
      <c r="AK209"/>
      <c r="AL209"/>
      <c r="AM209"/>
      <c r="AN209"/>
      <c r="AO209"/>
      <c r="AP209"/>
      <c r="AQ209"/>
      <c r="AR209"/>
      <c r="AS209"/>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c r="BS209" t="inlineStr">
        <is>
          <t>#VALUE!</t>
        </is>
      </c>
    </row>
    <row r="210" ht="25.5" customHeight="1">
      <c r="A210" t="inlineStr">
        <is>
          <t>IT</t>
        </is>
      </c>
      <c r="B210"/>
      <c r="C210"/>
      <c r="D210" t="inlineStr">
        <is>
          <t>空净KJ-330</t>
        </is>
      </c>
      <c r="E210">
        <v>93</v>
      </c>
      <c r="F210">
        <v>129.99</v>
      </c>
      <c r="G210"/>
      <c r="H210"/>
      <c r="I210"/>
      <c r="J210"/>
      <c r="K210"/>
      <c r="L210"/>
      <c r="M210"/>
      <c r="N210"/>
      <c r="O210"/>
      <c r="P210">
        <v>3</v>
      </c>
      <c r="Q210">
        <v>7.4</v>
      </c>
      <c r="R210">
        <v>0.13</v>
      </c>
      <c r="S210"/>
      <c r="T210">
        <v>0.05</v>
      </c>
      <c r="U210">
        <v>0.01</v>
      </c>
      <c r="V210"/>
      <c r="W210"/>
      <c r="X210">
        <v>0.1846</v>
      </c>
      <c r="Y210"/>
      <c r="Z210"/>
      <c r="AA210"/>
      <c r="AB210"/>
      <c r="AC210">
        <v>270</v>
      </c>
      <c r="AD210"/>
      <c r="AE210"/>
      <c r="AF210"/>
      <c r="AG210"/>
      <c r="AH210">
        <v>27.9</v>
      </c>
      <c r="AI210"/>
      <c r="AJ210"/>
      <c r="AK210"/>
      <c r="AL210"/>
      <c r="AM210"/>
      <c r="AN210"/>
      <c r="AO210"/>
      <c r="AP210"/>
      <c r="AQ210"/>
      <c r="AR210"/>
      <c r="AS210"/>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c r="BS210" t="inlineStr">
        <is>
          <t>#VALUE!</t>
        </is>
      </c>
    </row>
    <row r="211" ht="25.5" customHeight="1">
      <c r="A211" t="inlineStr">
        <is>
          <t>ES</t>
        </is>
      </c>
      <c r="B211"/>
      <c r="C211"/>
      <c r="D211" t="inlineStr">
        <is>
          <t>空净KJ-330</t>
        </is>
      </c>
      <c r="E211">
        <v>93</v>
      </c>
      <c r="F211">
        <v>129.99</v>
      </c>
      <c r="G211"/>
      <c r="H211"/>
      <c r="I211"/>
      <c r="J211"/>
      <c r="K211"/>
      <c r="L211"/>
      <c r="M211"/>
      <c r="N211"/>
      <c r="O211"/>
      <c r="P211">
        <v>3</v>
      </c>
      <c r="Q211">
        <v>7.4</v>
      </c>
      <c r="R211">
        <v>0.13</v>
      </c>
      <c r="S211"/>
      <c r="T211">
        <v>0.05</v>
      </c>
      <c r="U211">
        <v>0.01</v>
      </c>
      <c r="V211"/>
      <c r="W211"/>
      <c r="X211">
        <v>0.1646</v>
      </c>
      <c r="Y211"/>
      <c r="Z211"/>
      <c r="AA211"/>
      <c r="AB211"/>
      <c r="AC211">
        <v>270</v>
      </c>
      <c r="AD211"/>
      <c r="AE211"/>
      <c r="AF211"/>
      <c r="AG211"/>
      <c r="AH211">
        <v>27.9</v>
      </c>
      <c r="AI211"/>
      <c r="AJ211"/>
      <c r="AK211"/>
      <c r="AL211"/>
      <c r="AM211"/>
      <c r="AN211"/>
      <c r="AO211"/>
      <c r="AP211"/>
      <c r="AQ211"/>
      <c r="AR211"/>
      <c r="AS211"/>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c r="BS211" t="inlineStr">
        <is>
          <t>#VALUE!</t>
        </is>
      </c>
    </row>
    <row r="212" ht="25.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t="inlineStr">
        <is>
          <t>#VALUE!</t>
        </is>
      </c>
    </row>
    <row r="213" ht="25.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row>
    <row r="214" ht="25.5" customHeight="1">
      <c r="A214" t="inlineStr">
        <is>
          <t>UK</t>
        </is>
      </c>
      <c r="B214" t="inlineStr">
        <is>
          <t>R0001UK</t>
        </is>
      </c>
      <c r="C214" t="inlineStr">
        <is>
          <t>NEW</t>
        </is>
      </c>
      <c r="D214" t="inlineStr">
        <is>
          <t>XXX仪（coupon-0%）</t>
        </is>
      </c>
      <c r="E214">
        <v>70</v>
      </c>
      <c r="F214">
        <v>99</v>
      </c>
      <c r="G214"/>
      <c r="H214"/>
      <c r="I214"/>
      <c r="J214"/>
      <c r="K214"/>
      <c r="L214"/>
      <c r="M214"/>
      <c r="N214"/>
      <c r="O214"/>
      <c r="P214">
        <v>3</v>
      </c>
      <c r="Q214">
        <v>9</v>
      </c>
      <c r="R214"/>
      <c r="S214"/>
      <c r="T214"/>
      <c r="U214">
        <v>0.01</v>
      </c>
      <c r="V214"/>
      <c r="W214"/>
      <c r="X214">
        <v>0.178</v>
      </c>
      <c r="Y214">
        <v>10</v>
      </c>
      <c r="Z214"/>
      <c r="AA214"/>
      <c r="AB214"/>
      <c r="AC214">
        <v>220</v>
      </c>
      <c r="AD214"/>
      <c r="AE214"/>
      <c r="AF214"/>
      <c r="AG214"/>
      <c r="AH214">
        <v>25</v>
      </c>
      <c r="AI214"/>
      <c r="AJ214"/>
      <c r="AK214"/>
      <c r="AL214"/>
      <c r="AM214"/>
      <c r="AN214"/>
      <c r="AO214"/>
      <c r="AP214"/>
      <c r="AQ214"/>
      <c r="AR214"/>
      <c r="AS214"/>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c r="BS214" t="inlineStr">
        <is>
          <t>#VALUE!</t>
        </is>
      </c>
    </row>
    <row r="215" ht="25.5" customHeight="1">
      <c r="A215" t="inlineStr">
        <is>
          <t>UK</t>
        </is>
      </c>
      <c r="B215" t="inlineStr">
        <is>
          <t>R0001UK</t>
        </is>
      </c>
      <c r="C215" t="inlineStr">
        <is>
          <t>NEW</t>
        </is>
      </c>
      <c r="D215" t="inlineStr">
        <is>
          <t>XXX仪（coupon-5%）</t>
        </is>
      </c>
      <c r="E215">
        <v>82</v>
      </c>
      <c r="F215">
        <v>119.99</v>
      </c>
      <c r="G215"/>
      <c r="H215"/>
      <c r="I215"/>
      <c r="J215"/>
      <c r="K215"/>
      <c r="L215"/>
      <c r="M215"/>
      <c r="N215"/>
      <c r="O215"/>
      <c r="P215">
        <v>3</v>
      </c>
      <c r="Q215">
        <v>9</v>
      </c>
      <c r="R215"/>
      <c r="S215"/>
      <c r="T215"/>
      <c r="U215">
        <v>0.01</v>
      </c>
      <c r="V215"/>
      <c r="W215"/>
      <c r="X215">
        <v>0.178</v>
      </c>
      <c r="Y215">
        <v>10</v>
      </c>
      <c r="Z215"/>
      <c r="AA215"/>
      <c r="AB215"/>
      <c r="AC215">
        <v>220</v>
      </c>
      <c r="AD215"/>
      <c r="AE215"/>
      <c r="AF215"/>
      <c r="AG215"/>
      <c r="AH215">
        <v>25</v>
      </c>
      <c r="AI215"/>
      <c r="AJ215"/>
      <c r="AK215"/>
      <c r="AL215"/>
      <c r="AM215"/>
      <c r="AN215"/>
      <c r="AO215"/>
      <c r="AP215"/>
      <c r="AQ215"/>
      <c r="AR215"/>
      <c r="AS215"/>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c r="BS215" t="inlineStr">
        <is>
          <t>#VALUE!</t>
        </is>
      </c>
    </row>
    <row r="216" ht="25.5" customHeight="1">
      <c r="A216" t="inlineStr">
        <is>
          <t>UK</t>
        </is>
      </c>
      <c r="B216" t="inlineStr">
        <is>
          <t>R0001UK</t>
        </is>
      </c>
      <c r="C216" t="inlineStr">
        <is>
          <t>NEW</t>
        </is>
      </c>
      <c r="D216" t="inlineStr">
        <is>
          <t>XXX仪（coupon-10%）</t>
        </is>
      </c>
      <c r="E216">
        <v>82</v>
      </c>
      <c r="F216">
        <v>119.99</v>
      </c>
      <c r="G216"/>
      <c r="H216"/>
      <c r="I216"/>
      <c r="J216"/>
      <c r="K216"/>
      <c r="L216"/>
      <c r="M216"/>
      <c r="N216"/>
      <c r="O216"/>
      <c r="P216">
        <v>3</v>
      </c>
      <c r="Q216">
        <v>9</v>
      </c>
      <c r="R216"/>
      <c r="S216"/>
      <c r="T216"/>
      <c r="U216">
        <v>0.01</v>
      </c>
      <c r="V216"/>
      <c r="W216"/>
      <c r="X216">
        <v>0.178</v>
      </c>
      <c r="Y216">
        <v>10</v>
      </c>
      <c r="Z216"/>
      <c r="AA216"/>
      <c r="AB216"/>
      <c r="AC216">
        <v>220</v>
      </c>
      <c r="AD216"/>
      <c r="AE216"/>
      <c r="AF216"/>
      <c r="AG216"/>
      <c r="AH216">
        <v>25</v>
      </c>
      <c r="AI216"/>
      <c r="AJ216"/>
      <c r="AK216"/>
      <c r="AL216"/>
      <c r="AM216"/>
      <c r="AN216"/>
      <c r="AO216"/>
      <c r="AP216"/>
      <c r="AQ216"/>
      <c r="AR216"/>
      <c r="AS216"/>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c r="BS216" t="inlineStr">
        <is>
          <t>#VALUE!</t>
        </is>
      </c>
    </row>
    <row r="217" ht="25.5" customHeight="1">
      <c r="A217" t="inlineStr">
        <is>
          <t>UK</t>
        </is>
      </c>
      <c r="B217" t="inlineStr">
        <is>
          <t>R0001UK</t>
        </is>
      </c>
      <c r="C217" t="inlineStr">
        <is>
          <t>NEW</t>
        </is>
      </c>
      <c r="D217" t="inlineStr">
        <is>
          <t>XXX仪（coupon-15%）</t>
        </is>
      </c>
      <c r="E217">
        <v>82</v>
      </c>
      <c r="F217">
        <v>119.99</v>
      </c>
      <c r="G217"/>
      <c r="H217"/>
      <c r="I217"/>
      <c r="J217"/>
      <c r="K217"/>
      <c r="L217"/>
      <c r="M217"/>
      <c r="N217"/>
      <c r="O217"/>
      <c r="P217">
        <v>3</v>
      </c>
      <c r="Q217">
        <v>9</v>
      </c>
      <c r="R217"/>
      <c r="S217"/>
      <c r="T217"/>
      <c r="U217">
        <v>0.01</v>
      </c>
      <c r="V217"/>
      <c r="W217"/>
      <c r="X217">
        <v>0.178</v>
      </c>
      <c r="Y217">
        <v>10</v>
      </c>
      <c r="Z217"/>
      <c r="AA217"/>
      <c r="AB217"/>
      <c r="AC217">
        <v>220</v>
      </c>
      <c r="AD217"/>
      <c r="AE217"/>
      <c r="AF217"/>
      <c r="AG217"/>
      <c r="AH217">
        <v>25</v>
      </c>
      <c r="AI217"/>
      <c r="AJ217"/>
      <c r="AK217"/>
      <c r="AL217"/>
      <c r="AM217"/>
      <c r="AN217"/>
      <c r="AO217"/>
      <c r="AP217"/>
      <c r="AQ217"/>
      <c r="AR217"/>
      <c r="AS217"/>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c r="BS217" t="inlineStr">
        <is>
          <t>#VALUE!</t>
        </is>
      </c>
    </row>
    <row r="218" ht="25.5" customHeight="1">
      <c r="A218" t="inlineStr">
        <is>
          <t>DE</t>
        </is>
      </c>
      <c r="B218" t="inlineStr">
        <is>
          <t>R0001EU</t>
        </is>
      </c>
      <c r="C218" t="inlineStr">
        <is>
          <t>NEW</t>
        </is>
      </c>
      <c r="D218" t="inlineStr">
        <is>
          <t>XXX仪（coupon-0%）</t>
        </is>
      </c>
      <c r="E218">
        <v>89</v>
      </c>
      <c r="F218">
        <v>129.99</v>
      </c>
      <c r="G218"/>
      <c r="H218"/>
      <c r="I218"/>
      <c r="J218"/>
      <c r="K218"/>
      <c r="L218"/>
      <c r="M218"/>
      <c r="N218"/>
      <c r="O218"/>
      <c r="P218">
        <v>3</v>
      </c>
      <c r="Q218">
        <v>8</v>
      </c>
      <c r="R218"/>
      <c r="S218"/>
      <c r="T218"/>
      <c r="U218">
        <v>0.01</v>
      </c>
      <c r="V218"/>
      <c r="W218"/>
      <c r="X218">
        <v>0.188</v>
      </c>
      <c r="Y218">
        <v>10</v>
      </c>
      <c r="Z218">
        <v>0</v>
      </c>
      <c r="AA218"/>
      <c r="AB218"/>
      <c r="AC218">
        <v>220</v>
      </c>
      <c r="AD218"/>
      <c r="AE218"/>
      <c r="AF218"/>
      <c r="AG218"/>
      <c r="AH218">
        <v>30</v>
      </c>
      <c r="AI218"/>
      <c r="AJ218"/>
      <c r="AK218"/>
      <c r="AL218"/>
      <c r="AM218"/>
      <c r="AN218"/>
      <c r="AO218"/>
      <c r="AP218"/>
      <c r="AQ218"/>
      <c r="AR218"/>
      <c r="AS218"/>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c r="BS218" t="inlineStr">
        <is>
          <t>#VALUE!</t>
        </is>
      </c>
    </row>
    <row r="219" ht="25.5" customHeight="1">
      <c r="A219" t="inlineStr">
        <is>
          <t>DE</t>
        </is>
      </c>
      <c r="B219" t="inlineStr">
        <is>
          <t>R0001EU</t>
        </is>
      </c>
      <c r="C219" t="inlineStr">
        <is>
          <t>NEW</t>
        </is>
      </c>
      <c r="D219" t="inlineStr">
        <is>
          <t>XXX仪（coupon-5%）</t>
        </is>
      </c>
      <c r="E219">
        <v>89</v>
      </c>
      <c r="F219">
        <v>129.99</v>
      </c>
      <c r="G219"/>
      <c r="H219"/>
      <c r="I219"/>
      <c r="J219"/>
      <c r="K219"/>
      <c r="L219"/>
      <c r="M219"/>
      <c r="N219"/>
      <c r="O219"/>
      <c r="P219">
        <v>3</v>
      </c>
      <c r="Q219">
        <v>8</v>
      </c>
      <c r="R219"/>
      <c r="S219"/>
      <c r="T219"/>
      <c r="U219">
        <v>0.01</v>
      </c>
      <c r="V219"/>
      <c r="W219"/>
      <c r="X219">
        <v>0.188</v>
      </c>
      <c r="Y219">
        <v>10</v>
      </c>
      <c r="Z219"/>
      <c r="AA219"/>
      <c r="AB219"/>
      <c r="AC219">
        <v>220</v>
      </c>
      <c r="AD219"/>
      <c r="AE219"/>
      <c r="AF219"/>
      <c r="AG219"/>
      <c r="AH219">
        <v>30</v>
      </c>
      <c r="AI219"/>
      <c r="AJ219"/>
      <c r="AK219"/>
      <c r="AL219"/>
      <c r="AM219"/>
      <c r="AN219"/>
      <c r="AO219"/>
      <c r="AP219"/>
      <c r="AQ219"/>
      <c r="AR219"/>
      <c r="AS219"/>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c r="BS219" t="inlineStr">
        <is>
          <t>#VALUE!</t>
        </is>
      </c>
    </row>
    <row r="220" ht="25.5" customHeight="1">
      <c r="A220" t="inlineStr">
        <is>
          <t>DE</t>
        </is>
      </c>
      <c r="B220" t="inlineStr">
        <is>
          <t>R0001EU</t>
        </is>
      </c>
      <c r="C220" t="inlineStr">
        <is>
          <t>NEW</t>
        </is>
      </c>
      <c r="D220" t="inlineStr">
        <is>
          <t>XXX仪（coupon-10%）</t>
        </is>
      </c>
      <c r="E220">
        <v>89</v>
      </c>
      <c r="F220">
        <v>129.99</v>
      </c>
      <c r="G220"/>
      <c r="H220"/>
      <c r="I220"/>
      <c r="J220"/>
      <c r="K220"/>
      <c r="L220"/>
      <c r="M220"/>
      <c r="N220"/>
      <c r="O220"/>
      <c r="P220">
        <v>3</v>
      </c>
      <c r="Q220">
        <v>8</v>
      </c>
      <c r="R220"/>
      <c r="S220"/>
      <c r="T220"/>
      <c r="U220">
        <v>0.01</v>
      </c>
      <c r="V220"/>
      <c r="W220"/>
      <c r="X220">
        <v>0.188</v>
      </c>
      <c r="Y220">
        <v>10</v>
      </c>
      <c r="Z220"/>
      <c r="AA220"/>
      <c r="AB220"/>
      <c r="AC220">
        <v>220</v>
      </c>
      <c r="AD220"/>
      <c r="AE220"/>
      <c r="AF220"/>
      <c r="AG220"/>
      <c r="AH220">
        <v>30</v>
      </c>
      <c r="AI220"/>
      <c r="AJ220"/>
      <c r="AK220"/>
      <c r="AL220"/>
      <c r="AM220"/>
      <c r="AN220"/>
      <c r="AO220"/>
      <c r="AP220"/>
      <c r="AQ220"/>
      <c r="AR220"/>
      <c r="AS220"/>
      <c r="AT220" t="inlineStr">
        <is>
          <t>☆</t>
        </is>
      </c>
      <c r="AU220" t="inlineStr">
        <is>
          <t>☆</t>
        </is>
      </c>
      <c r="AV220" t="inlineStr">
        <is>
          <t>☆</t>
        </is>
      </c>
      <c r="AW220" t="inlineStr">
        <is>
          <t>☆</t>
        </is>
      </c>
      <c r="AX220" t="inlineStr">
        <is>
          <t>☆</t>
        </is>
      </c>
      <c r="AY220" t="inlineStr">
        <is>
          <t>☆</t>
        </is>
      </c>
      <c r="AZ220" t="inlineStr">
        <is>
          <t>☆</t>
        </is>
      </c>
      <c r="BA220" t="inlineStr">
        <is>
          <t>☆</t>
        </is>
      </c>
      <c r="BB220" t="inlineStr">
        <is>
          <t>☆</t>
        </is>
      </c>
      <c r="BC220" t="inlineStr">
        <is>
          <t>☆</t>
        </is>
      </c>
      <c r="BD220" t="inlineStr">
        <is>
          <t>☆</t>
        </is>
      </c>
      <c r="BE220" t="inlineStr">
        <is>
          <t>☆</t>
        </is>
      </c>
      <c r="BF220" t="inlineStr">
        <is>
          <t>☆</t>
        </is>
      </c>
      <c r="BG220" t="inlineStr">
        <is>
          <t>☆</t>
        </is>
      </c>
      <c r="BH220" t="inlineStr">
        <is>
          <t>☆</t>
        </is>
      </c>
      <c r="BI220" t="inlineStr">
        <is>
          <t>☆</t>
        </is>
      </c>
      <c r="BJ220" t="inlineStr">
        <is>
          <t>☆</t>
        </is>
      </c>
      <c r="BK220" t="inlineStr">
        <is>
          <t>☆</t>
        </is>
      </c>
      <c r="BL220" t="inlineStr">
        <is>
          <t>☆</t>
        </is>
      </c>
      <c r="BM220" t="inlineStr">
        <is>
          <t>☆</t>
        </is>
      </c>
      <c r="BN220" t="inlineStr">
        <is>
          <t>☆</t>
        </is>
      </c>
      <c r="BO220" t="inlineStr">
        <is>
          <t>☆</t>
        </is>
      </c>
      <c r="BP220" t="inlineStr">
        <is>
          <t>☆</t>
        </is>
      </c>
      <c r="BQ220" t="inlineStr">
        <is>
          <t>☆</t>
        </is>
      </c>
      <c r="BR220"/>
      <c r="BS220" t="inlineStr">
        <is>
          <t>#VALUE!</t>
        </is>
      </c>
    </row>
    <row r="221" ht="25.5" customHeight="1">
      <c r="A221" t="inlineStr">
        <is>
          <t>DE</t>
        </is>
      </c>
      <c r="B221" t="inlineStr">
        <is>
          <t>R0001EU</t>
        </is>
      </c>
      <c r="C221" t="inlineStr">
        <is>
          <t>NEW</t>
        </is>
      </c>
      <c r="D221" t="inlineStr">
        <is>
          <t>XXX仪（coupon-15%）</t>
        </is>
      </c>
      <c r="E221">
        <v>89</v>
      </c>
      <c r="F221">
        <v>129.99</v>
      </c>
      <c r="G221"/>
      <c r="H221"/>
      <c r="I221"/>
      <c r="J221"/>
      <c r="K221"/>
      <c r="L221"/>
      <c r="M221"/>
      <c r="N221"/>
      <c r="O221"/>
      <c r="P221">
        <v>3</v>
      </c>
      <c r="Q221">
        <v>8</v>
      </c>
      <c r="R221"/>
      <c r="S221"/>
      <c r="T221"/>
      <c r="U221">
        <v>0.01</v>
      </c>
      <c r="V221"/>
      <c r="W221"/>
      <c r="X221">
        <v>0.188</v>
      </c>
      <c r="Y221">
        <v>10</v>
      </c>
      <c r="Z221"/>
      <c r="AA221"/>
      <c r="AB221"/>
      <c r="AC221">
        <v>220</v>
      </c>
      <c r="AD221"/>
      <c r="AE221"/>
      <c r="AF221"/>
      <c r="AG221"/>
      <c r="AH221">
        <v>30</v>
      </c>
      <c r="AI221"/>
      <c r="AJ221"/>
      <c r="AK221"/>
      <c r="AL221"/>
      <c r="AM221"/>
      <c r="AN221"/>
      <c r="AO221"/>
      <c r="AP221"/>
      <c r="AQ221"/>
      <c r="AR221"/>
      <c r="AS221"/>
      <c r="AT221" t="inlineStr">
        <is>
          <t>☆</t>
        </is>
      </c>
      <c r="AU221" t="inlineStr">
        <is>
          <t>☆</t>
        </is>
      </c>
      <c r="AV221" t="inlineStr">
        <is>
          <t>☆</t>
        </is>
      </c>
      <c r="AW221" t="inlineStr">
        <is>
          <t>☆</t>
        </is>
      </c>
      <c r="AX221" t="inlineStr">
        <is>
          <t>☆</t>
        </is>
      </c>
      <c r="AY221" t="inlineStr">
        <is>
          <t>☆</t>
        </is>
      </c>
      <c r="AZ221" t="inlineStr">
        <is>
          <t>☆</t>
        </is>
      </c>
      <c r="BA221" t="inlineStr">
        <is>
          <t>☆</t>
        </is>
      </c>
      <c r="BB221" t="inlineStr">
        <is>
          <t>☆</t>
        </is>
      </c>
      <c r="BC221" t="inlineStr">
        <is>
          <t>☆</t>
        </is>
      </c>
      <c r="BD221" t="inlineStr">
        <is>
          <t>☆</t>
        </is>
      </c>
      <c r="BE221" t="inlineStr">
        <is>
          <t>☆</t>
        </is>
      </c>
      <c r="BF221" t="inlineStr">
        <is>
          <t>☆</t>
        </is>
      </c>
      <c r="BG221" t="inlineStr">
        <is>
          <t>☆</t>
        </is>
      </c>
      <c r="BH221" t="inlineStr">
        <is>
          <t>☆</t>
        </is>
      </c>
      <c r="BI221" t="inlineStr">
        <is>
          <t>☆</t>
        </is>
      </c>
      <c r="BJ221" t="inlineStr">
        <is>
          <t>☆</t>
        </is>
      </c>
      <c r="BK221" t="inlineStr">
        <is>
          <t>☆</t>
        </is>
      </c>
      <c r="BL221" t="inlineStr">
        <is>
          <t>☆</t>
        </is>
      </c>
      <c r="BM221" t="inlineStr">
        <is>
          <t>☆</t>
        </is>
      </c>
      <c r="BN221" t="inlineStr">
        <is>
          <t>☆</t>
        </is>
      </c>
      <c r="BO221" t="inlineStr">
        <is>
          <t>☆</t>
        </is>
      </c>
      <c r="BP221" t="inlineStr">
        <is>
          <t>☆</t>
        </is>
      </c>
      <c r="BQ221" t="inlineStr">
        <is>
          <t>☆</t>
        </is>
      </c>
      <c r="BR221"/>
      <c r="BS221" t="inlineStr">
        <is>
          <t>#VALUE!</t>
        </is>
      </c>
    </row>
    <row r="222" ht="25.5" customHeight="1">
      <c r="A222" t="inlineStr">
        <is>
          <t>FR</t>
        </is>
      </c>
      <c r="B222" t="inlineStr">
        <is>
          <t>R0001EU</t>
        </is>
      </c>
      <c r="C222" t="inlineStr">
        <is>
          <t>NEW</t>
        </is>
      </c>
      <c r="D222" t="inlineStr">
        <is>
          <t>XXX仪（coupon-0%）</t>
        </is>
      </c>
      <c r="E222">
        <v>93</v>
      </c>
      <c r="F222">
        <v>134.99</v>
      </c>
      <c r="G222"/>
      <c r="H222"/>
      <c r="I222"/>
      <c r="J222"/>
      <c r="K222"/>
      <c r="L222"/>
      <c r="M222"/>
      <c r="N222"/>
      <c r="O222"/>
      <c r="P222">
        <v>3</v>
      </c>
      <c r="Q222">
        <v>8</v>
      </c>
      <c r="R222"/>
      <c r="S222"/>
      <c r="T222"/>
      <c r="U222">
        <v>0.01</v>
      </c>
      <c r="V222"/>
      <c r="W222"/>
      <c r="X222">
        <v>0.188</v>
      </c>
      <c r="Y222">
        <v>10</v>
      </c>
      <c r="Z222">
        <v>0</v>
      </c>
      <c r="AA222"/>
      <c r="AB222"/>
      <c r="AC222">
        <v>220</v>
      </c>
      <c r="AD222"/>
      <c r="AE222"/>
      <c r="AF222"/>
      <c r="AG222"/>
      <c r="AH222">
        <v>30</v>
      </c>
      <c r="AI222"/>
      <c r="AJ222"/>
      <c r="AK222"/>
      <c r="AL222"/>
      <c r="AM222"/>
      <c r="AN222"/>
      <c r="AO222"/>
      <c r="AP222"/>
      <c r="AQ222"/>
      <c r="AR222"/>
      <c r="AS222"/>
      <c r="AT222" t="inlineStr">
        <is>
          <t>☆</t>
        </is>
      </c>
      <c r="AU222" t="inlineStr">
        <is>
          <t>☆</t>
        </is>
      </c>
      <c r="AV222" t="inlineStr">
        <is>
          <t>☆</t>
        </is>
      </c>
      <c r="AW222" t="inlineStr">
        <is>
          <t>☆</t>
        </is>
      </c>
      <c r="AX222" t="inlineStr">
        <is>
          <t>☆</t>
        </is>
      </c>
      <c r="AY222" t="inlineStr">
        <is>
          <t>☆</t>
        </is>
      </c>
      <c r="AZ222" t="inlineStr">
        <is>
          <t>☆</t>
        </is>
      </c>
      <c r="BA222" t="inlineStr">
        <is>
          <t>☆</t>
        </is>
      </c>
      <c r="BB222" t="inlineStr">
        <is>
          <t>☆</t>
        </is>
      </c>
      <c r="BC222" t="inlineStr">
        <is>
          <t>☆</t>
        </is>
      </c>
      <c r="BD222" t="inlineStr">
        <is>
          <t>☆</t>
        </is>
      </c>
      <c r="BE222" t="inlineStr">
        <is>
          <t>☆</t>
        </is>
      </c>
      <c r="BF222" t="inlineStr">
        <is>
          <t>☆</t>
        </is>
      </c>
      <c r="BG222" t="inlineStr">
        <is>
          <t>☆</t>
        </is>
      </c>
      <c r="BH222" t="inlineStr">
        <is>
          <t>☆</t>
        </is>
      </c>
      <c r="BI222" t="inlineStr">
        <is>
          <t>☆</t>
        </is>
      </c>
      <c r="BJ222" t="inlineStr">
        <is>
          <t>☆</t>
        </is>
      </c>
      <c r="BK222" t="inlineStr">
        <is>
          <t>☆</t>
        </is>
      </c>
      <c r="BL222" t="inlineStr">
        <is>
          <t>☆</t>
        </is>
      </c>
      <c r="BM222" t="inlineStr">
        <is>
          <t>☆</t>
        </is>
      </c>
      <c r="BN222" t="inlineStr">
        <is>
          <t>☆</t>
        </is>
      </c>
      <c r="BO222" t="inlineStr">
        <is>
          <t>☆</t>
        </is>
      </c>
      <c r="BP222" t="inlineStr">
        <is>
          <t>☆</t>
        </is>
      </c>
      <c r="BQ222" t="inlineStr">
        <is>
          <t>☆</t>
        </is>
      </c>
      <c r="BR222"/>
      <c r="BS222" t="inlineStr">
        <is>
          <t>#VALUE!</t>
        </is>
      </c>
    </row>
    <row r="223" ht="25.5" customHeight="1">
      <c r="A223" t="inlineStr">
        <is>
          <t>FR</t>
        </is>
      </c>
      <c r="B223" t="inlineStr">
        <is>
          <t>R0001EU</t>
        </is>
      </c>
      <c r="C223" t="inlineStr">
        <is>
          <t>NEW</t>
        </is>
      </c>
      <c r="D223" t="inlineStr">
        <is>
          <t>XXX仪（coupon-5%）</t>
        </is>
      </c>
      <c r="E223">
        <v>93</v>
      </c>
      <c r="F223">
        <v>134.99</v>
      </c>
      <c r="G223"/>
      <c r="H223"/>
      <c r="I223"/>
      <c r="J223"/>
      <c r="K223"/>
      <c r="L223"/>
      <c r="M223"/>
      <c r="N223"/>
      <c r="O223"/>
      <c r="P223">
        <v>3</v>
      </c>
      <c r="Q223">
        <v>8</v>
      </c>
      <c r="R223"/>
      <c r="S223"/>
      <c r="T223"/>
      <c r="U223">
        <v>0.01</v>
      </c>
      <c r="V223"/>
      <c r="W223"/>
      <c r="X223">
        <v>0.188</v>
      </c>
      <c r="Y223">
        <v>10</v>
      </c>
      <c r="Z223"/>
      <c r="AA223"/>
      <c r="AB223"/>
      <c r="AC223">
        <v>220</v>
      </c>
      <c r="AD223"/>
      <c r="AE223"/>
      <c r="AF223"/>
      <c r="AG223"/>
      <c r="AH223">
        <v>30</v>
      </c>
      <c r="AI223"/>
      <c r="AJ223"/>
      <c r="AK223"/>
      <c r="AL223"/>
      <c r="AM223"/>
      <c r="AN223"/>
      <c r="AO223"/>
      <c r="AP223"/>
      <c r="AQ223"/>
      <c r="AR223"/>
      <c r="AS223"/>
      <c r="AT223" t="inlineStr">
        <is>
          <t>☆</t>
        </is>
      </c>
      <c r="AU223" t="inlineStr">
        <is>
          <t>☆</t>
        </is>
      </c>
      <c r="AV223" t="inlineStr">
        <is>
          <t>☆</t>
        </is>
      </c>
      <c r="AW223" t="inlineStr">
        <is>
          <t>☆</t>
        </is>
      </c>
      <c r="AX223" t="inlineStr">
        <is>
          <t>☆</t>
        </is>
      </c>
      <c r="AY223" t="inlineStr">
        <is>
          <t>☆</t>
        </is>
      </c>
      <c r="AZ223" t="inlineStr">
        <is>
          <t>☆</t>
        </is>
      </c>
      <c r="BA223" t="inlineStr">
        <is>
          <t>☆</t>
        </is>
      </c>
      <c r="BB223" t="inlineStr">
        <is>
          <t>☆</t>
        </is>
      </c>
      <c r="BC223" t="inlineStr">
        <is>
          <t>☆</t>
        </is>
      </c>
      <c r="BD223" t="inlineStr">
        <is>
          <t>☆</t>
        </is>
      </c>
      <c r="BE223" t="inlineStr">
        <is>
          <t>☆</t>
        </is>
      </c>
      <c r="BF223" t="inlineStr">
        <is>
          <t>☆</t>
        </is>
      </c>
      <c r="BG223" t="inlineStr">
        <is>
          <t>☆</t>
        </is>
      </c>
      <c r="BH223" t="inlineStr">
        <is>
          <t>☆</t>
        </is>
      </c>
      <c r="BI223" t="inlineStr">
        <is>
          <t>☆</t>
        </is>
      </c>
      <c r="BJ223" t="inlineStr">
        <is>
          <t>☆</t>
        </is>
      </c>
      <c r="BK223" t="inlineStr">
        <is>
          <t>☆</t>
        </is>
      </c>
      <c r="BL223" t="inlineStr">
        <is>
          <t>☆</t>
        </is>
      </c>
      <c r="BM223" t="inlineStr">
        <is>
          <t>☆</t>
        </is>
      </c>
      <c r="BN223" t="inlineStr">
        <is>
          <t>☆</t>
        </is>
      </c>
      <c r="BO223" t="inlineStr">
        <is>
          <t>☆</t>
        </is>
      </c>
      <c r="BP223" t="inlineStr">
        <is>
          <t>☆</t>
        </is>
      </c>
      <c r="BQ223" t="inlineStr">
        <is>
          <t>☆</t>
        </is>
      </c>
      <c r="BR223"/>
      <c r="BS223" t="inlineStr">
        <is>
          <t>#VALUE!</t>
        </is>
      </c>
    </row>
    <row r="224" ht="25.5" customHeight="1">
      <c r="A224" t="inlineStr">
        <is>
          <t>FR</t>
        </is>
      </c>
      <c r="B224" t="inlineStr">
        <is>
          <t>R0001EU</t>
        </is>
      </c>
      <c r="C224" t="inlineStr">
        <is>
          <t>NEW</t>
        </is>
      </c>
      <c r="D224" t="inlineStr">
        <is>
          <t>XXX仪（coupon-10%）</t>
        </is>
      </c>
      <c r="E224">
        <v>93</v>
      </c>
      <c r="F224">
        <v>134.99</v>
      </c>
      <c r="G224"/>
      <c r="H224"/>
      <c r="I224"/>
      <c r="J224"/>
      <c r="K224"/>
      <c r="L224"/>
      <c r="M224"/>
      <c r="N224"/>
      <c r="O224"/>
      <c r="P224">
        <v>3</v>
      </c>
      <c r="Q224">
        <v>8</v>
      </c>
      <c r="R224"/>
      <c r="S224"/>
      <c r="T224"/>
      <c r="U224">
        <v>0.01</v>
      </c>
      <c r="V224"/>
      <c r="W224"/>
      <c r="X224">
        <v>0.188</v>
      </c>
      <c r="Y224">
        <v>10</v>
      </c>
      <c r="Z224"/>
      <c r="AA224"/>
      <c r="AB224"/>
      <c r="AC224">
        <v>220</v>
      </c>
      <c r="AD224"/>
      <c r="AE224"/>
      <c r="AF224"/>
      <c r="AG224"/>
      <c r="AH224">
        <v>30</v>
      </c>
      <c r="AI224"/>
      <c r="AJ224"/>
      <c r="AK224"/>
      <c r="AL224"/>
      <c r="AM224"/>
      <c r="AN224"/>
      <c r="AO224"/>
      <c r="AP224"/>
      <c r="AQ224"/>
      <c r="AR224"/>
      <c r="AS224"/>
      <c r="AT224" t="inlineStr">
        <is>
          <t>☆</t>
        </is>
      </c>
      <c r="AU224" t="inlineStr">
        <is>
          <t>☆</t>
        </is>
      </c>
      <c r="AV224" t="inlineStr">
        <is>
          <t>☆</t>
        </is>
      </c>
      <c r="AW224" t="inlineStr">
        <is>
          <t>☆</t>
        </is>
      </c>
      <c r="AX224" t="inlineStr">
        <is>
          <t>☆</t>
        </is>
      </c>
      <c r="AY224" t="inlineStr">
        <is>
          <t>☆</t>
        </is>
      </c>
      <c r="AZ224" t="inlineStr">
        <is>
          <t>☆</t>
        </is>
      </c>
      <c r="BA224" t="inlineStr">
        <is>
          <t>☆</t>
        </is>
      </c>
      <c r="BB224" t="inlineStr">
        <is>
          <t>☆</t>
        </is>
      </c>
      <c r="BC224" t="inlineStr">
        <is>
          <t>☆</t>
        </is>
      </c>
      <c r="BD224" t="inlineStr">
        <is>
          <t>☆</t>
        </is>
      </c>
      <c r="BE224" t="inlineStr">
        <is>
          <t>☆</t>
        </is>
      </c>
      <c r="BF224" t="inlineStr">
        <is>
          <t>☆</t>
        </is>
      </c>
      <c r="BG224" t="inlineStr">
        <is>
          <t>☆</t>
        </is>
      </c>
      <c r="BH224" t="inlineStr">
        <is>
          <t>☆</t>
        </is>
      </c>
      <c r="BI224" t="inlineStr">
        <is>
          <t>☆</t>
        </is>
      </c>
      <c r="BJ224" t="inlineStr">
        <is>
          <t>☆</t>
        </is>
      </c>
      <c r="BK224" t="inlineStr">
        <is>
          <t>☆</t>
        </is>
      </c>
      <c r="BL224" t="inlineStr">
        <is>
          <t>☆</t>
        </is>
      </c>
      <c r="BM224" t="inlineStr">
        <is>
          <t>☆</t>
        </is>
      </c>
      <c r="BN224" t="inlineStr">
        <is>
          <t>☆</t>
        </is>
      </c>
      <c r="BO224" t="inlineStr">
        <is>
          <t>☆</t>
        </is>
      </c>
      <c r="BP224" t="inlineStr">
        <is>
          <t>☆</t>
        </is>
      </c>
      <c r="BQ224" t="inlineStr">
        <is>
          <t>☆</t>
        </is>
      </c>
      <c r="BR224"/>
      <c r="BS224" t="inlineStr">
        <is>
          <t>#VALUE!</t>
        </is>
      </c>
    </row>
    <row r="225" ht="25.5" customHeight="1">
      <c r="A225" t="inlineStr">
        <is>
          <t>FR</t>
        </is>
      </c>
      <c r="B225" t="inlineStr">
        <is>
          <t>R0001EU</t>
        </is>
      </c>
      <c r="C225" t="inlineStr">
        <is>
          <t>NEW</t>
        </is>
      </c>
      <c r="D225" t="inlineStr">
        <is>
          <t>XXX仪（coupon-15%）</t>
        </is>
      </c>
      <c r="E225">
        <v>93</v>
      </c>
      <c r="F225">
        <v>134.99</v>
      </c>
      <c r="G225"/>
      <c r="H225"/>
      <c r="I225"/>
      <c r="J225"/>
      <c r="K225"/>
      <c r="L225"/>
      <c r="M225"/>
      <c r="N225"/>
      <c r="O225"/>
      <c r="P225">
        <v>3</v>
      </c>
      <c r="Q225">
        <v>8</v>
      </c>
      <c r="R225"/>
      <c r="S225"/>
      <c r="T225"/>
      <c r="U225">
        <v>0.01</v>
      </c>
      <c r="V225"/>
      <c r="W225"/>
      <c r="X225">
        <v>0.188</v>
      </c>
      <c r="Y225">
        <v>10</v>
      </c>
      <c r="Z225"/>
      <c r="AA225"/>
      <c r="AB225"/>
      <c r="AC225">
        <v>220</v>
      </c>
      <c r="AD225"/>
      <c r="AE225"/>
      <c r="AF225"/>
      <c r="AG225"/>
      <c r="AH225">
        <v>30</v>
      </c>
      <c r="AI225"/>
      <c r="AJ225"/>
      <c r="AK225"/>
      <c r="AL225"/>
      <c r="AM225"/>
      <c r="AN225"/>
      <c r="AO225"/>
      <c r="AP225"/>
      <c r="AQ225"/>
      <c r="AR225"/>
      <c r="AS225"/>
      <c r="AT225" t="inlineStr">
        <is>
          <t>☆</t>
        </is>
      </c>
      <c r="AU225" t="inlineStr">
        <is>
          <t>☆</t>
        </is>
      </c>
      <c r="AV225" t="inlineStr">
        <is>
          <t>☆</t>
        </is>
      </c>
      <c r="AW225" t="inlineStr">
        <is>
          <t>☆</t>
        </is>
      </c>
      <c r="AX225" t="inlineStr">
        <is>
          <t>☆</t>
        </is>
      </c>
      <c r="AY225" t="inlineStr">
        <is>
          <t>☆</t>
        </is>
      </c>
      <c r="AZ225" t="inlineStr">
        <is>
          <t>☆</t>
        </is>
      </c>
      <c r="BA225" t="inlineStr">
        <is>
          <t>☆</t>
        </is>
      </c>
      <c r="BB225" t="inlineStr">
        <is>
          <t>☆</t>
        </is>
      </c>
      <c r="BC225" t="inlineStr">
        <is>
          <t>☆</t>
        </is>
      </c>
      <c r="BD225" t="inlineStr">
        <is>
          <t>☆</t>
        </is>
      </c>
      <c r="BE225" t="inlineStr">
        <is>
          <t>☆</t>
        </is>
      </c>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t>
        </is>
      </c>
      <c r="BQ225" t="inlineStr">
        <is>
          <t>☆</t>
        </is>
      </c>
      <c r="BR225"/>
      <c r="BS225" t="inlineStr">
        <is>
          <t>#VALUE!</t>
        </is>
      </c>
    </row>
    <row r="226" ht="25.5" customHeight="1">
      <c r="A226" t="inlineStr">
        <is>
          <t>IT</t>
        </is>
      </c>
      <c r="B226" t="inlineStr">
        <is>
          <t>R0001EU</t>
        </is>
      </c>
      <c r="C226" t="inlineStr">
        <is>
          <t>NEW</t>
        </is>
      </c>
      <c r="D226" t="inlineStr">
        <is>
          <t>XXX仪（coupon-0%）</t>
        </is>
      </c>
      <c r="E226">
        <v>93</v>
      </c>
      <c r="F226">
        <v>134.99</v>
      </c>
      <c r="G226"/>
      <c r="H226"/>
      <c r="I226"/>
      <c r="J226"/>
      <c r="K226"/>
      <c r="L226"/>
      <c r="M226"/>
      <c r="N226"/>
      <c r="O226"/>
      <c r="P226">
        <v>3</v>
      </c>
      <c r="Q226">
        <v>8</v>
      </c>
      <c r="R226"/>
      <c r="S226"/>
      <c r="T226"/>
      <c r="U226">
        <v>0.01</v>
      </c>
      <c r="V226"/>
      <c r="W226"/>
      <c r="X226">
        <v>0.188</v>
      </c>
      <c r="Y226">
        <v>10</v>
      </c>
      <c r="Z226">
        <v>0</v>
      </c>
      <c r="AA226"/>
      <c r="AB226"/>
      <c r="AC226">
        <v>220</v>
      </c>
      <c r="AD226"/>
      <c r="AE226"/>
      <c r="AF226"/>
      <c r="AG226"/>
      <c r="AH226">
        <v>30</v>
      </c>
      <c r="AI226"/>
      <c r="AJ226"/>
      <c r="AK226"/>
      <c r="AL226"/>
      <c r="AM226"/>
      <c r="AN226"/>
      <c r="AO226"/>
      <c r="AP226"/>
      <c r="AQ226"/>
      <c r="AR226"/>
      <c r="AS226"/>
      <c r="AT226" t="inlineStr">
        <is>
          <t>☆</t>
        </is>
      </c>
      <c r="AU226" t="inlineStr">
        <is>
          <t>☆</t>
        </is>
      </c>
      <c r="AV226" t="inlineStr">
        <is>
          <t>☆</t>
        </is>
      </c>
      <c r="AW226" t="inlineStr">
        <is>
          <t>☆</t>
        </is>
      </c>
      <c r="AX226" t="inlineStr">
        <is>
          <t>☆</t>
        </is>
      </c>
      <c r="AY226" t="inlineStr">
        <is>
          <t>☆</t>
        </is>
      </c>
      <c r="AZ226" t="inlineStr">
        <is>
          <t>☆</t>
        </is>
      </c>
      <c r="BA226" t="inlineStr">
        <is>
          <t>☆</t>
        </is>
      </c>
      <c r="BB226" t="inlineStr">
        <is>
          <t>☆</t>
        </is>
      </c>
      <c r="BC226" t="inlineStr">
        <is>
          <t>☆</t>
        </is>
      </c>
      <c r="BD226" t="inlineStr">
        <is>
          <t>☆</t>
        </is>
      </c>
      <c r="BE226" t="inlineStr">
        <is>
          <t>☆</t>
        </is>
      </c>
      <c r="BF226" t="inlineStr">
        <is>
          <t>☆</t>
        </is>
      </c>
      <c r="BG226" t="inlineStr">
        <is>
          <t>☆</t>
        </is>
      </c>
      <c r="BH226" t="inlineStr">
        <is>
          <t>☆</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c r="BS226" t="inlineStr">
        <is>
          <t>#VALUE!</t>
        </is>
      </c>
    </row>
    <row r="227" ht="25.5" customHeight="1">
      <c r="A227" t="inlineStr">
        <is>
          <t>IT</t>
        </is>
      </c>
      <c r="B227" t="inlineStr">
        <is>
          <t>R0001EU</t>
        </is>
      </c>
      <c r="C227" t="inlineStr">
        <is>
          <t>NEW</t>
        </is>
      </c>
      <c r="D227" t="inlineStr">
        <is>
          <t>XXX仪（coupon-5%）</t>
        </is>
      </c>
      <c r="E227">
        <v>93</v>
      </c>
      <c r="F227">
        <v>134.99</v>
      </c>
      <c r="G227"/>
      <c r="H227"/>
      <c r="I227"/>
      <c r="J227"/>
      <c r="K227"/>
      <c r="L227"/>
      <c r="M227"/>
      <c r="N227"/>
      <c r="O227"/>
      <c r="P227">
        <v>3</v>
      </c>
      <c r="Q227">
        <v>8</v>
      </c>
      <c r="R227"/>
      <c r="S227"/>
      <c r="T227"/>
      <c r="U227">
        <v>0.01</v>
      </c>
      <c r="V227"/>
      <c r="W227"/>
      <c r="X227">
        <v>0.188</v>
      </c>
      <c r="Y227">
        <v>10</v>
      </c>
      <c r="Z227"/>
      <c r="AA227"/>
      <c r="AB227"/>
      <c r="AC227">
        <v>220</v>
      </c>
      <c r="AD227"/>
      <c r="AE227"/>
      <c r="AF227"/>
      <c r="AG227"/>
      <c r="AH227">
        <v>30</v>
      </c>
      <c r="AI227"/>
      <c r="AJ227"/>
      <c r="AK227"/>
      <c r="AL227"/>
      <c r="AM227"/>
      <c r="AN227"/>
      <c r="AO227"/>
      <c r="AP227"/>
      <c r="AQ227"/>
      <c r="AR227"/>
      <c r="AS227"/>
      <c r="AT227" t="inlineStr">
        <is>
          <t>☆</t>
        </is>
      </c>
      <c r="AU227" t="inlineStr">
        <is>
          <t>☆</t>
        </is>
      </c>
      <c r="AV227" t="inlineStr">
        <is>
          <t>☆</t>
        </is>
      </c>
      <c r="AW227" t="inlineStr">
        <is>
          <t>☆</t>
        </is>
      </c>
      <c r="AX227" t="inlineStr">
        <is>
          <t>☆</t>
        </is>
      </c>
      <c r="AY227" t="inlineStr">
        <is>
          <t>☆</t>
        </is>
      </c>
      <c r="AZ227" t="inlineStr">
        <is>
          <t>☆</t>
        </is>
      </c>
      <c r="BA227" t="inlineStr">
        <is>
          <t>☆</t>
        </is>
      </c>
      <c r="BB227" t="inlineStr">
        <is>
          <t>☆</t>
        </is>
      </c>
      <c r="BC227" t="inlineStr">
        <is>
          <t>☆</t>
        </is>
      </c>
      <c r="BD227" t="inlineStr">
        <is>
          <t>☆</t>
        </is>
      </c>
      <c r="BE227" t="inlineStr">
        <is>
          <t>☆</t>
        </is>
      </c>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c r="BS227" t="inlineStr">
        <is>
          <t>#VALUE!</t>
        </is>
      </c>
    </row>
    <row r="228" ht="25.5" customHeight="1">
      <c r="A228" t="inlineStr">
        <is>
          <t>IT</t>
        </is>
      </c>
      <c r="B228" t="inlineStr">
        <is>
          <t>R0001EU</t>
        </is>
      </c>
      <c r="C228" t="inlineStr">
        <is>
          <t>NEW</t>
        </is>
      </c>
      <c r="D228" t="inlineStr">
        <is>
          <t>XXX仪（coupon-10%）</t>
        </is>
      </c>
      <c r="E228">
        <v>93</v>
      </c>
      <c r="F228">
        <v>134.99</v>
      </c>
      <c r="G228"/>
      <c r="H228"/>
      <c r="I228"/>
      <c r="J228"/>
      <c r="K228"/>
      <c r="L228"/>
      <c r="M228"/>
      <c r="N228"/>
      <c r="O228"/>
      <c r="P228">
        <v>3</v>
      </c>
      <c r="Q228">
        <v>8</v>
      </c>
      <c r="R228"/>
      <c r="S228"/>
      <c r="T228"/>
      <c r="U228">
        <v>0.01</v>
      </c>
      <c r="V228"/>
      <c r="W228"/>
      <c r="X228">
        <v>0.188</v>
      </c>
      <c r="Y228">
        <v>10</v>
      </c>
      <c r="Z228"/>
      <c r="AA228"/>
      <c r="AB228"/>
      <c r="AC228">
        <v>220</v>
      </c>
      <c r="AD228"/>
      <c r="AE228"/>
      <c r="AF228"/>
      <c r="AG228"/>
      <c r="AH228">
        <v>30</v>
      </c>
      <c r="AI228"/>
      <c r="AJ228"/>
      <c r="AK228"/>
      <c r="AL228"/>
      <c r="AM228"/>
      <c r="AN228"/>
      <c r="AO228"/>
      <c r="AP228"/>
      <c r="AQ228"/>
      <c r="AR228"/>
      <c r="AS228"/>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c r="BS228" t="inlineStr">
        <is>
          <t>#VALUE!</t>
        </is>
      </c>
    </row>
    <row r="229" ht="25.5" customHeight="1">
      <c r="A229" t="inlineStr">
        <is>
          <t>IT</t>
        </is>
      </c>
      <c r="B229" t="inlineStr">
        <is>
          <t>R0001EU</t>
        </is>
      </c>
      <c r="C229" t="inlineStr">
        <is>
          <t>NEW</t>
        </is>
      </c>
      <c r="D229" t="inlineStr">
        <is>
          <t>XXX仪（coupon-15%）</t>
        </is>
      </c>
      <c r="E229">
        <v>93</v>
      </c>
      <c r="F229">
        <v>134.99</v>
      </c>
      <c r="G229"/>
      <c r="H229"/>
      <c r="I229"/>
      <c r="J229"/>
      <c r="K229"/>
      <c r="L229"/>
      <c r="M229"/>
      <c r="N229"/>
      <c r="O229"/>
      <c r="P229">
        <v>3</v>
      </c>
      <c r="Q229">
        <v>8</v>
      </c>
      <c r="R229"/>
      <c r="S229"/>
      <c r="T229"/>
      <c r="U229">
        <v>0.01</v>
      </c>
      <c r="V229"/>
      <c r="W229"/>
      <c r="X229">
        <v>0.188</v>
      </c>
      <c r="Y229">
        <v>10</v>
      </c>
      <c r="Z229"/>
      <c r="AA229"/>
      <c r="AB229"/>
      <c r="AC229">
        <v>220</v>
      </c>
      <c r="AD229"/>
      <c r="AE229"/>
      <c r="AF229"/>
      <c r="AG229"/>
      <c r="AH229">
        <v>30</v>
      </c>
      <c r="AI229"/>
      <c r="AJ229"/>
      <c r="AK229"/>
      <c r="AL229"/>
      <c r="AM229"/>
      <c r="AN229"/>
      <c r="AO229"/>
      <c r="AP229"/>
      <c r="AQ229"/>
      <c r="AR229"/>
      <c r="AS229"/>
      <c r="AT229" t="inlineStr">
        <is>
          <t>☆</t>
        </is>
      </c>
      <c r="AU229" t="inlineStr">
        <is>
          <t>☆</t>
        </is>
      </c>
      <c r="AV229" t="inlineStr">
        <is>
          <t>☆</t>
        </is>
      </c>
      <c r="AW229" t="inlineStr">
        <is>
          <t>☆</t>
        </is>
      </c>
      <c r="AX229" t="inlineStr">
        <is>
          <t>☆</t>
        </is>
      </c>
      <c r="AY229" t="inlineStr">
        <is>
          <t>☆</t>
        </is>
      </c>
      <c r="AZ229" t="inlineStr">
        <is>
          <t>☆</t>
        </is>
      </c>
      <c r="BA229" t="inlineStr">
        <is>
          <t>☆</t>
        </is>
      </c>
      <c r="BB229" t="inlineStr">
        <is>
          <t>☆</t>
        </is>
      </c>
      <c r="BC229" t="inlineStr">
        <is>
          <t>☆</t>
        </is>
      </c>
      <c r="BD229" t="inlineStr">
        <is>
          <t>☆</t>
        </is>
      </c>
      <c r="BE229" t="inlineStr">
        <is>
          <t>☆</t>
        </is>
      </c>
      <c r="BF229" t="inlineStr">
        <is>
          <t>☆</t>
        </is>
      </c>
      <c r="BG229" t="inlineStr">
        <is>
          <t>☆</t>
        </is>
      </c>
      <c r="BH229" t="inlineStr">
        <is>
          <t>☆</t>
        </is>
      </c>
      <c r="BI229" t="inlineStr">
        <is>
          <t>☆</t>
        </is>
      </c>
      <c r="BJ229" t="inlineStr">
        <is>
          <t>☆</t>
        </is>
      </c>
      <c r="BK229" t="inlineStr">
        <is>
          <t>☆</t>
        </is>
      </c>
      <c r="BL229" t="inlineStr">
        <is>
          <t>☆</t>
        </is>
      </c>
      <c r="BM229" t="inlineStr">
        <is>
          <t>☆</t>
        </is>
      </c>
      <c r="BN229" t="inlineStr">
        <is>
          <t>☆</t>
        </is>
      </c>
      <c r="BO229" t="inlineStr">
        <is>
          <t>☆</t>
        </is>
      </c>
      <c r="BP229" t="inlineStr">
        <is>
          <t>☆</t>
        </is>
      </c>
      <c r="BQ229" t="inlineStr">
        <is>
          <t>☆</t>
        </is>
      </c>
      <c r="BR229"/>
      <c r="BS229" t="inlineStr">
        <is>
          <t>#VALUE!</t>
        </is>
      </c>
    </row>
    <row r="230" ht="25.5" customHeight="1">
      <c r="A230" t="inlineStr">
        <is>
          <t>ES</t>
        </is>
      </c>
      <c r="B230" t="inlineStr">
        <is>
          <t>R0001EU</t>
        </is>
      </c>
      <c r="C230" t="inlineStr">
        <is>
          <t>NEW</t>
        </is>
      </c>
      <c r="D230" t="inlineStr">
        <is>
          <t>XXX仪（coupon-0%）</t>
        </is>
      </c>
      <c r="E230">
        <v>93</v>
      </c>
      <c r="F230">
        <v>134.99</v>
      </c>
      <c r="G230"/>
      <c r="H230"/>
      <c r="I230"/>
      <c r="J230"/>
      <c r="K230"/>
      <c r="L230"/>
      <c r="M230"/>
      <c r="N230"/>
      <c r="O230"/>
      <c r="P230">
        <v>3</v>
      </c>
      <c r="Q230">
        <v>8</v>
      </c>
      <c r="R230"/>
      <c r="S230"/>
      <c r="T230"/>
      <c r="U230">
        <v>0.01</v>
      </c>
      <c r="V230"/>
      <c r="W230"/>
      <c r="X230">
        <v>0.188</v>
      </c>
      <c r="Y230">
        <v>10</v>
      </c>
      <c r="Z230">
        <v>0</v>
      </c>
      <c r="AA230"/>
      <c r="AB230"/>
      <c r="AC230">
        <v>220</v>
      </c>
      <c r="AD230"/>
      <c r="AE230"/>
      <c r="AF230"/>
      <c r="AG230"/>
      <c r="AH230">
        <v>30</v>
      </c>
      <c r="AI230"/>
      <c r="AJ230"/>
      <c r="AK230"/>
      <c r="AL230"/>
      <c r="AM230"/>
      <c r="AN230"/>
      <c r="AO230"/>
      <c r="AP230"/>
      <c r="AQ230"/>
      <c r="AR230"/>
      <c r="AS230"/>
      <c r="AT230" t="inlineStr">
        <is>
          <t>☆</t>
        </is>
      </c>
      <c r="AU230" t="inlineStr">
        <is>
          <t>☆</t>
        </is>
      </c>
      <c r="AV230" t="inlineStr">
        <is>
          <t>☆</t>
        </is>
      </c>
      <c r="AW230" t="inlineStr">
        <is>
          <t>☆</t>
        </is>
      </c>
      <c r="AX230" t="inlineStr">
        <is>
          <t>☆</t>
        </is>
      </c>
      <c r="AY230" t="inlineStr">
        <is>
          <t>☆</t>
        </is>
      </c>
      <c r="AZ230" t="inlineStr">
        <is>
          <t>☆</t>
        </is>
      </c>
      <c r="BA230" t="inlineStr">
        <is>
          <t>☆</t>
        </is>
      </c>
      <c r="BB230" t="inlineStr">
        <is>
          <t>☆</t>
        </is>
      </c>
      <c r="BC230" t="inlineStr">
        <is>
          <t>☆</t>
        </is>
      </c>
      <c r="BD230" t="inlineStr">
        <is>
          <t>☆</t>
        </is>
      </c>
      <c r="BE230" t="inlineStr">
        <is>
          <t>☆</t>
        </is>
      </c>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is>
          <t>☆</t>
        </is>
      </c>
      <c r="BR230"/>
      <c r="BS230" t="inlineStr">
        <is>
          <t>#VALUE!</t>
        </is>
      </c>
    </row>
    <row r="231" ht="25.5" customHeight="1">
      <c r="A231" t="inlineStr">
        <is>
          <t>ES</t>
        </is>
      </c>
      <c r="B231" t="inlineStr">
        <is>
          <t>R0001EU</t>
        </is>
      </c>
      <c r="C231" t="inlineStr">
        <is>
          <t>NEW</t>
        </is>
      </c>
      <c r="D231" t="inlineStr">
        <is>
          <t>XXX仪（coupon-5%）</t>
        </is>
      </c>
      <c r="E231">
        <v>93</v>
      </c>
      <c r="F231">
        <v>134.99</v>
      </c>
      <c r="G231"/>
      <c r="H231"/>
      <c r="I231"/>
      <c r="J231"/>
      <c r="K231"/>
      <c r="L231"/>
      <c r="M231"/>
      <c r="N231"/>
      <c r="O231"/>
      <c r="P231">
        <v>3</v>
      </c>
      <c r="Q231">
        <v>8</v>
      </c>
      <c r="R231"/>
      <c r="S231"/>
      <c r="T231"/>
      <c r="U231">
        <v>0.01</v>
      </c>
      <c r="V231"/>
      <c r="W231"/>
      <c r="X231">
        <v>0.188</v>
      </c>
      <c r="Y231">
        <v>10</v>
      </c>
      <c r="Z231"/>
      <c r="AA231"/>
      <c r="AB231"/>
      <c r="AC231">
        <v>220</v>
      </c>
      <c r="AD231"/>
      <c r="AE231"/>
      <c r="AF231"/>
      <c r="AG231"/>
      <c r="AH231">
        <v>30</v>
      </c>
      <c r="AI231"/>
      <c r="AJ231"/>
      <c r="AK231"/>
      <c r="AL231"/>
      <c r="AM231"/>
      <c r="AN231"/>
      <c r="AO231"/>
      <c r="AP231"/>
      <c r="AQ231"/>
      <c r="AR231"/>
      <c r="AS231"/>
      <c r="AT231" t="inlineStr">
        <is>
          <t>☆</t>
        </is>
      </c>
      <c r="AU231" t="inlineStr">
        <is>
          <t>☆</t>
        </is>
      </c>
      <c r="AV231" t="inlineStr">
        <is>
          <t>☆</t>
        </is>
      </c>
      <c r="AW231" t="inlineStr">
        <is>
          <t>☆</t>
        </is>
      </c>
      <c r="AX231" t="inlineStr">
        <is>
          <t>☆</t>
        </is>
      </c>
      <c r="AY231" t="inlineStr">
        <is>
          <t>☆</t>
        </is>
      </c>
      <c r="AZ231" t="inlineStr">
        <is>
          <t>☆</t>
        </is>
      </c>
      <c r="BA231" t="inlineStr">
        <is>
          <t>☆</t>
        </is>
      </c>
      <c r="BB231" t="inlineStr">
        <is>
          <t>☆</t>
        </is>
      </c>
      <c r="BC231" t="inlineStr">
        <is>
          <t>☆</t>
        </is>
      </c>
      <c r="BD231" t="inlineStr">
        <is>
          <t>☆</t>
        </is>
      </c>
      <c r="BE231" t="inlineStr">
        <is>
          <t>☆</t>
        </is>
      </c>
      <c r="BF231" t="inlineStr">
        <is>
          <t>☆</t>
        </is>
      </c>
      <c r="BG231" t="inlineStr">
        <is>
          <t>☆</t>
        </is>
      </c>
      <c r="BH231" t="inlineStr">
        <is>
          <t>☆</t>
        </is>
      </c>
      <c r="BI231" t="inlineStr">
        <is>
          <t>☆</t>
        </is>
      </c>
      <c r="BJ231" t="inlineStr">
        <is>
          <t>☆</t>
        </is>
      </c>
      <c r="BK231" t="inlineStr">
        <is>
          <t>☆</t>
        </is>
      </c>
      <c r="BL231" t="inlineStr">
        <is>
          <t>☆</t>
        </is>
      </c>
      <c r="BM231" t="inlineStr">
        <is>
          <t>☆</t>
        </is>
      </c>
      <c r="BN231" t="inlineStr">
        <is>
          <t>☆</t>
        </is>
      </c>
      <c r="BO231" t="inlineStr">
        <is>
          <t>☆</t>
        </is>
      </c>
      <c r="BP231" t="inlineStr">
        <is>
          <t>☆</t>
        </is>
      </c>
      <c r="BQ231" t="inlineStr">
        <is>
          <t>☆</t>
        </is>
      </c>
      <c r="BR231"/>
      <c r="BS231" t="inlineStr">
        <is>
          <t>#VALUE!</t>
        </is>
      </c>
    </row>
    <row r="232" ht="25.5" customHeight="1">
      <c r="A232" t="inlineStr">
        <is>
          <t>ES</t>
        </is>
      </c>
      <c r="B232" t="inlineStr">
        <is>
          <t>R0001EU</t>
        </is>
      </c>
      <c r="C232" t="inlineStr">
        <is>
          <t>NEW</t>
        </is>
      </c>
      <c r="D232" t="inlineStr">
        <is>
          <t>XXX仪（coupon-10%）</t>
        </is>
      </c>
      <c r="E232">
        <v>93</v>
      </c>
      <c r="F232">
        <v>134.99</v>
      </c>
      <c r="G232"/>
      <c r="H232"/>
      <c r="I232"/>
      <c r="J232"/>
      <c r="K232"/>
      <c r="L232"/>
      <c r="M232"/>
      <c r="N232"/>
      <c r="O232"/>
      <c r="P232">
        <v>3</v>
      </c>
      <c r="Q232">
        <v>8</v>
      </c>
      <c r="R232"/>
      <c r="S232"/>
      <c r="T232"/>
      <c r="U232">
        <v>0.01</v>
      </c>
      <c r="V232"/>
      <c r="W232"/>
      <c r="X232">
        <v>0.188</v>
      </c>
      <c r="Y232">
        <v>10</v>
      </c>
      <c r="Z232"/>
      <c r="AA232"/>
      <c r="AB232"/>
      <c r="AC232">
        <v>220</v>
      </c>
      <c r="AD232"/>
      <c r="AE232"/>
      <c r="AF232"/>
      <c r="AG232"/>
      <c r="AH232">
        <v>30</v>
      </c>
      <c r="AI232"/>
      <c r="AJ232"/>
      <c r="AK232"/>
      <c r="AL232"/>
      <c r="AM232"/>
      <c r="AN232"/>
      <c r="AO232"/>
      <c r="AP232"/>
      <c r="AQ232"/>
      <c r="AR232"/>
      <c r="AS232"/>
      <c r="AT232" t="inlineStr">
        <is>
          <t>☆</t>
        </is>
      </c>
      <c r="AU232" t="inlineStr">
        <is>
          <t>☆</t>
        </is>
      </c>
      <c r="AV232" t="inlineStr">
        <is>
          <t>☆</t>
        </is>
      </c>
      <c r="AW232" t="inlineStr">
        <is>
          <t>☆</t>
        </is>
      </c>
      <c r="AX232" t="inlineStr">
        <is>
          <t>☆</t>
        </is>
      </c>
      <c r="AY232" t="inlineStr">
        <is>
          <t>☆</t>
        </is>
      </c>
      <c r="AZ232" t="inlineStr">
        <is>
          <t>☆</t>
        </is>
      </c>
      <c r="BA232" t="inlineStr">
        <is>
          <t>☆</t>
        </is>
      </c>
      <c r="BB232" t="inlineStr">
        <is>
          <t>☆</t>
        </is>
      </c>
      <c r="BC232" t="inlineStr">
        <is>
          <t>☆</t>
        </is>
      </c>
      <c r="BD232" t="inlineStr">
        <is>
          <t>☆</t>
        </is>
      </c>
      <c r="BE232" t="inlineStr">
        <is>
          <t>☆</t>
        </is>
      </c>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is>
          <t>☆</t>
        </is>
      </c>
      <c r="BR232"/>
      <c r="BS232" t="inlineStr">
        <is>
          <t>#VALUE!</t>
        </is>
      </c>
    </row>
    <row r="233" ht="25.5" customHeight="1">
      <c r="A233" t="inlineStr">
        <is>
          <t>ES</t>
        </is>
      </c>
      <c r="B233" t="inlineStr">
        <is>
          <t>R0001EU</t>
        </is>
      </c>
      <c r="C233" t="inlineStr">
        <is>
          <t>NEW</t>
        </is>
      </c>
      <c r="D233" t="inlineStr">
        <is>
          <t>XXX仪（coupon-15%）</t>
        </is>
      </c>
      <c r="E233">
        <v>93</v>
      </c>
      <c r="F233">
        <v>134.99</v>
      </c>
      <c r="G233"/>
      <c r="H233"/>
      <c r="I233"/>
      <c r="J233"/>
      <c r="K233"/>
      <c r="L233"/>
      <c r="M233"/>
      <c r="N233"/>
      <c r="O233"/>
      <c r="P233">
        <v>3</v>
      </c>
      <c r="Q233">
        <v>8</v>
      </c>
      <c r="R233"/>
      <c r="S233"/>
      <c r="T233"/>
      <c r="U233">
        <v>0.01</v>
      </c>
      <c r="V233"/>
      <c r="W233"/>
      <c r="X233">
        <v>0.188</v>
      </c>
      <c r="Y233">
        <v>10</v>
      </c>
      <c r="Z233"/>
      <c r="AA233"/>
      <c r="AB233"/>
      <c r="AC233">
        <v>220</v>
      </c>
      <c r="AD233"/>
      <c r="AE233"/>
      <c r="AF233"/>
      <c r="AG233"/>
      <c r="AH233">
        <v>30</v>
      </c>
      <c r="AI233"/>
      <c r="AJ233"/>
      <c r="AK233"/>
      <c r="AL233"/>
      <c r="AM233"/>
      <c r="AN233"/>
      <c r="AO233"/>
      <c r="AP233"/>
      <c r="AQ233"/>
      <c r="AR233"/>
      <c r="AS233"/>
      <c r="AT233" t="inlineStr">
        <is>
          <t>☆</t>
        </is>
      </c>
      <c r="AU233" t="inlineStr">
        <is>
          <t>☆</t>
        </is>
      </c>
      <c r="AV233" t="inlineStr">
        <is>
          <t>☆</t>
        </is>
      </c>
      <c r="AW233" t="inlineStr">
        <is>
          <t>☆</t>
        </is>
      </c>
      <c r="AX233" t="inlineStr">
        <is>
          <t>☆</t>
        </is>
      </c>
      <c r="AY233" t="inlineStr">
        <is>
          <t>☆</t>
        </is>
      </c>
      <c r="AZ233" t="inlineStr">
        <is>
          <t>☆</t>
        </is>
      </c>
      <c r="BA233" t="inlineStr">
        <is>
          <t>☆</t>
        </is>
      </c>
      <c r="BB233" t="inlineStr">
        <is>
          <t>☆</t>
        </is>
      </c>
      <c r="BC233" t="inlineStr">
        <is>
          <t>☆</t>
        </is>
      </c>
      <c r="BD233" t="inlineStr">
        <is>
          <t>☆</t>
        </is>
      </c>
      <c r="BE233" t="inlineStr">
        <is>
          <t>☆</t>
        </is>
      </c>
      <c r="BF233" t="inlineStr">
        <is>
          <t>☆</t>
        </is>
      </c>
      <c r="BG233" t="inlineStr">
        <is>
          <t>☆</t>
        </is>
      </c>
      <c r="BH233" t="inlineStr">
        <is>
          <t>☆</t>
        </is>
      </c>
      <c r="BI233" t="inlineStr">
        <is>
          <t>☆</t>
        </is>
      </c>
      <c r="BJ233" t="inlineStr">
        <is>
          <t>☆</t>
        </is>
      </c>
      <c r="BK233" t="inlineStr">
        <is>
          <t>☆</t>
        </is>
      </c>
      <c r="BL233" t="inlineStr">
        <is>
          <t>☆</t>
        </is>
      </c>
      <c r="BM233" t="inlineStr">
        <is>
          <t>☆</t>
        </is>
      </c>
      <c r="BN233" t="inlineStr">
        <is>
          <t>☆</t>
        </is>
      </c>
      <c r="BO233" t="inlineStr">
        <is>
          <t>☆</t>
        </is>
      </c>
      <c r="BP233" t="inlineStr">
        <is>
          <t>☆</t>
        </is>
      </c>
      <c r="BQ233" t="inlineStr">
        <is>
          <t>☆</t>
        </is>
      </c>
      <c r="BR233"/>
      <c r="BS233" t="inlineStr">
        <is>
          <t>#VALUE!</t>
        </is>
      </c>
    </row>
    <row r="234" ht="25.5" customHeight="1">
      <c r="A234" t="inlineStr">
        <is>
          <t>NL</t>
        </is>
      </c>
      <c r="B234" t="inlineStr">
        <is>
          <t>R0001EU</t>
        </is>
      </c>
      <c r="C234" t="inlineStr">
        <is>
          <t>NEW</t>
        </is>
      </c>
      <c r="D234" t="inlineStr">
        <is>
          <t>XXX仪（coupon-0%）</t>
        </is>
      </c>
      <c r="E234">
        <v>89</v>
      </c>
      <c r="F234">
        <v>129.99</v>
      </c>
      <c r="G234"/>
      <c r="H234"/>
      <c r="I234"/>
      <c r="J234"/>
      <c r="K234"/>
      <c r="L234"/>
      <c r="M234"/>
      <c r="N234"/>
      <c r="O234"/>
      <c r="P234">
        <v>3</v>
      </c>
      <c r="Q234">
        <v>8</v>
      </c>
      <c r="R234"/>
      <c r="S234"/>
      <c r="T234"/>
      <c r="U234">
        <v>0.01</v>
      </c>
      <c r="V234"/>
      <c r="W234"/>
      <c r="X234">
        <v>0.188</v>
      </c>
      <c r="Y234">
        <v>0</v>
      </c>
      <c r="Z234"/>
      <c r="AA234"/>
      <c r="AB234"/>
      <c r="AC234">
        <v>220</v>
      </c>
      <c r="AD234"/>
      <c r="AE234"/>
      <c r="AF234"/>
      <c r="AG234"/>
      <c r="AH234">
        <v>30</v>
      </c>
      <c r="AI234"/>
      <c r="AJ234"/>
      <c r="AK234"/>
      <c r="AL234"/>
      <c r="AM234"/>
      <c r="AN234"/>
      <c r="AO234"/>
      <c r="AP234"/>
      <c r="AQ234"/>
      <c r="AR234"/>
      <c r="AS234"/>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is>
          <t>☆</t>
        </is>
      </c>
      <c r="BR234"/>
      <c r="BS234" t="inlineStr">
        <is>
          <t>#VALUE!</t>
        </is>
      </c>
    </row>
    <row r="235" ht="25.5" customHeight="1">
      <c r="A235" t="inlineStr">
        <is>
          <t>PL</t>
        </is>
      </c>
      <c r="B235" t="inlineStr">
        <is>
          <t>R0001EU</t>
        </is>
      </c>
      <c r="C235" t="inlineStr">
        <is>
          <t>NEW</t>
        </is>
      </c>
      <c r="D235" t="inlineStr">
        <is>
          <t>XXX仪（coupon-5%）</t>
        </is>
      </c>
      <c r="E235">
        <v>89</v>
      </c>
      <c r="F235">
        <v>129.99</v>
      </c>
      <c r="G235"/>
      <c r="H235"/>
      <c r="I235"/>
      <c r="J235"/>
      <c r="K235"/>
      <c r="L235"/>
      <c r="M235"/>
      <c r="N235"/>
      <c r="O235"/>
      <c r="P235">
        <v>3</v>
      </c>
      <c r="Q235">
        <v>8</v>
      </c>
      <c r="R235"/>
      <c r="S235"/>
      <c r="T235"/>
      <c r="U235">
        <v>0.01</v>
      </c>
      <c r="V235"/>
      <c r="W235"/>
      <c r="X235">
        <v>0.188</v>
      </c>
      <c r="Y235">
        <v>0</v>
      </c>
      <c r="Z235"/>
      <c r="AA235"/>
      <c r="AB235"/>
      <c r="AC235">
        <v>220</v>
      </c>
      <c r="AD235"/>
      <c r="AE235"/>
      <c r="AF235"/>
      <c r="AG235"/>
      <c r="AH235">
        <v>30</v>
      </c>
      <c r="AI235"/>
      <c r="AJ235"/>
      <c r="AK235"/>
      <c r="AL235"/>
      <c r="AM235"/>
      <c r="AN235"/>
      <c r="AO235"/>
      <c r="AP235"/>
      <c r="AQ235"/>
      <c r="AR235"/>
      <c r="AS235"/>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c r="BS235" t="inlineStr">
        <is>
          <t>#VALUE!</t>
        </is>
      </c>
    </row>
    <row r="236" ht="25.5" customHeight="1">
      <c r="A236" t="inlineStr">
        <is>
          <t>SE</t>
        </is>
      </c>
      <c r="B236" t="inlineStr">
        <is>
          <t>R0001EU</t>
        </is>
      </c>
      <c r="C236" t="inlineStr">
        <is>
          <t>NEW</t>
        </is>
      </c>
      <c r="D236" t="inlineStr">
        <is>
          <t>XXX仪（coupon-10%）</t>
        </is>
      </c>
      <c r="E236">
        <v>89</v>
      </c>
      <c r="F236">
        <v>129.99</v>
      </c>
      <c r="G236"/>
      <c r="H236"/>
      <c r="I236"/>
      <c r="J236"/>
      <c r="K236"/>
      <c r="L236"/>
      <c r="M236"/>
      <c r="N236"/>
      <c r="O236"/>
      <c r="P236">
        <v>3</v>
      </c>
      <c r="Q236">
        <v>8</v>
      </c>
      <c r="R236"/>
      <c r="S236"/>
      <c r="T236"/>
      <c r="U236">
        <v>0.01</v>
      </c>
      <c r="V236"/>
      <c r="W236"/>
      <c r="X236">
        <v>0.188</v>
      </c>
      <c r="Y236">
        <v>0</v>
      </c>
      <c r="Z236"/>
      <c r="AA236"/>
      <c r="AB236"/>
      <c r="AC236">
        <v>220</v>
      </c>
      <c r="AD236"/>
      <c r="AE236"/>
      <c r="AF236"/>
      <c r="AG236"/>
      <c r="AH236">
        <v>30</v>
      </c>
      <c r="AI236"/>
      <c r="AJ236"/>
      <c r="AK236"/>
      <c r="AL236"/>
      <c r="AM236"/>
      <c r="AN236"/>
      <c r="AO236"/>
      <c r="AP236"/>
      <c r="AQ236"/>
      <c r="AR236"/>
      <c r="AS236"/>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c r="BS236" t="inlineStr">
        <is>
          <t>#VALUE!</t>
        </is>
      </c>
    </row>
    <row r="237" ht="25.5" customHeight="1">
      <c r="A237" t="inlineStr">
        <is>
          <t>BE</t>
        </is>
      </c>
      <c r="B237" t="inlineStr">
        <is>
          <t>R0001EU</t>
        </is>
      </c>
      <c r="C237" t="inlineStr">
        <is>
          <t>NEW</t>
        </is>
      </c>
      <c r="D237" t="inlineStr">
        <is>
          <t>XXX仪（coupon-15%）</t>
        </is>
      </c>
      <c r="E237">
        <v>89</v>
      </c>
      <c r="F237">
        <v>129.99</v>
      </c>
      <c r="G237"/>
      <c r="H237"/>
      <c r="I237"/>
      <c r="J237"/>
      <c r="K237"/>
      <c r="L237"/>
      <c r="M237"/>
      <c r="N237"/>
      <c r="O237"/>
      <c r="P237">
        <v>3</v>
      </c>
      <c r="Q237">
        <v>8</v>
      </c>
      <c r="R237"/>
      <c r="S237"/>
      <c r="T237"/>
      <c r="U237">
        <v>0.01</v>
      </c>
      <c r="V237"/>
      <c r="W237"/>
      <c r="X237">
        <v>0.188</v>
      </c>
      <c r="Y237">
        <v>0</v>
      </c>
      <c r="Z237"/>
      <c r="AA237"/>
      <c r="AB237"/>
      <c r="AC237">
        <v>220</v>
      </c>
      <c r="AD237"/>
      <c r="AE237"/>
      <c r="AF237"/>
      <c r="AG237"/>
      <c r="AH237">
        <v>30</v>
      </c>
      <c r="AI237"/>
      <c r="AJ237"/>
      <c r="AK237"/>
      <c r="AL237"/>
      <c r="AM237"/>
      <c r="AN237"/>
      <c r="AO237"/>
      <c r="AP237"/>
      <c r="AQ237"/>
      <c r="AR237"/>
      <c r="AS237"/>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c r="BS237" t="inlineStr">
        <is>
          <t>#VALUE!</t>
        </is>
      </c>
    </row>
    <row r="238" ht="25.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row>
    <row r="239" ht="25.5" customHeight="1">
      <c r="A239" t="inlineStr">
        <is>
          <t>UK</t>
        </is>
      </c>
      <c r="B239" t="inlineStr">
        <is>
          <t>R0001EU</t>
        </is>
      </c>
      <c r="C239" t="inlineStr">
        <is>
          <t>R0003EU</t>
        </is>
      </c>
      <c r="D239" t="inlineStr">
        <is>
          <t>B2-1(PRO)(coupon-0%)</t>
        </is>
      </c>
      <c r="E239">
        <v>8.9</v>
      </c>
      <c r="F239">
        <v>12.99</v>
      </c>
      <c r="G239"/>
      <c r="H239"/>
      <c r="I239"/>
      <c r="J239"/>
      <c r="K239"/>
      <c r="L239"/>
      <c r="M239"/>
      <c r="N239"/>
      <c r="O239"/>
      <c r="P239">
        <v>48</v>
      </c>
      <c r="Q239">
        <v>9</v>
      </c>
      <c r="R239"/>
      <c r="S239"/>
      <c r="T239"/>
      <c r="U239">
        <v>0.01</v>
      </c>
      <c r="V239"/>
      <c r="W239"/>
      <c r="X239">
        <v>0.178</v>
      </c>
      <c r="Y239">
        <v>2.5</v>
      </c>
      <c r="Z239">
        <v>0</v>
      </c>
      <c r="AA239"/>
      <c r="AB239"/>
      <c r="AC239">
        <v>17.8</v>
      </c>
      <c r="AD239"/>
      <c r="AE239"/>
      <c r="AF239"/>
      <c r="AG239"/>
      <c r="AH239">
        <v>4</v>
      </c>
      <c r="AI239"/>
      <c r="AJ239"/>
      <c r="AK239"/>
      <c r="AL239"/>
      <c r="AM239"/>
      <c r="AN239"/>
      <c r="AO239"/>
      <c r="AP239"/>
      <c r="AQ239"/>
      <c r="AR239"/>
      <c r="AS239"/>
      <c r="AT239" t="inlineStr">
        <is>
          <t>☆</t>
        </is>
      </c>
      <c r="AU239" t="inlineStr">
        <is>
          <t>☆</t>
        </is>
      </c>
      <c r="AV239" t="inlineStr">
        <is>
          <t>☆</t>
        </is>
      </c>
      <c r="AW239" t="inlineStr">
        <is>
          <t>☆</t>
        </is>
      </c>
      <c r="AX239" t="inlineStr">
        <is>
          <t>☆</t>
        </is>
      </c>
      <c r="AY239" t="inlineStr">
        <is>
          <t>☆</t>
        </is>
      </c>
      <c r="AZ239" t="inlineStr">
        <is>
          <t>☆</t>
        </is>
      </c>
      <c r="BA239" t="inlineStr">
        <is>
          <t>☆</t>
        </is>
      </c>
      <c r="BB239" t="inlineStr">
        <is>
          <t>☆</t>
        </is>
      </c>
      <c r="BC239" t="inlineStr">
        <is>
          <t>☆</t>
        </is>
      </c>
      <c r="BD239" t="inlineStr">
        <is>
          <t>☆</t>
        </is>
      </c>
      <c r="BE239" t="inlineStr">
        <is>
          <t>☆</t>
        </is>
      </c>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t>
        </is>
      </c>
      <c r="BQ239" t="inlineStr">
        <is>
          <t>☆</t>
        </is>
      </c>
      <c r="BR239"/>
      <c r="BS239" t="inlineStr">
        <is>
          <t>#VALUE!</t>
        </is>
      </c>
    </row>
    <row r="240" ht="25.5" customHeight="1">
      <c r="A240" t="inlineStr">
        <is>
          <t>UK</t>
        </is>
      </c>
      <c r="B240" t="inlineStr">
        <is>
          <t>R0001EU</t>
        </is>
      </c>
      <c r="C240" t="inlineStr">
        <is>
          <t>R0003EU</t>
        </is>
      </c>
      <c r="D240" t="inlineStr">
        <is>
          <t>B2-1(PRO)(coupon-10%)</t>
        </is>
      </c>
      <c r="E240">
        <v>8.9</v>
      </c>
      <c r="F240">
        <v>12.99</v>
      </c>
      <c r="G240"/>
      <c r="H240"/>
      <c r="I240"/>
      <c r="J240"/>
      <c r="K240"/>
      <c r="L240"/>
      <c r="M240"/>
      <c r="N240"/>
      <c r="O240"/>
      <c r="P240">
        <v>48</v>
      </c>
      <c r="Q240">
        <v>9</v>
      </c>
      <c r="R240"/>
      <c r="S240"/>
      <c r="T240"/>
      <c r="U240">
        <v>0.01</v>
      </c>
      <c r="V240"/>
      <c r="W240"/>
      <c r="X240">
        <v>0.178</v>
      </c>
      <c r="Y240">
        <v>2.5</v>
      </c>
      <c r="Z240"/>
      <c r="AA240"/>
      <c r="AB240"/>
      <c r="AC240">
        <v>17.8</v>
      </c>
      <c r="AD240"/>
      <c r="AE240"/>
      <c r="AF240"/>
      <c r="AG240"/>
      <c r="AH240">
        <v>4</v>
      </c>
      <c r="AI240"/>
      <c r="AJ240"/>
      <c r="AK240"/>
      <c r="AL240"/>
      <c r="AM240"/>
      <c r="AN240"/>
      <c r="AO240"/>
      <c r="AP240"/>
      <c r="AQ240"/>
      <c r="AR240"/>
      <c r="AS240"/>
      <c r="AT240" t="inlineStr">
        <is>
          <t>☆</t>
        </is>
      </c>
      <c r="AU240" t="inlineStr">
        <is>
          <t>☆</t>
        </is>
      </c>
      <c r="AV240" t="inlineStr">
        <is>
          <t>☆</t>
        </is>
      </c>
      <c r="AW240" t="inlineStr">
        <is>
          <t>☆</t>
        </is>
      </c>
      <c r="AX240" t="inlineStr">
        <is>
          <t>☆</t>
        </is>
      </c>
      <c r="AY240" t="inlineStr">
        <is>
          <t>☆</t>
        </is>
      </c>
      <c r="AZ240" t="inlineStr">
        <is>
          <t>☆</t>
        </is>
      </c>
      <c r="BA240" t="inlineStr">
        <is>
          <t>☆</t>
        </is>
      </c>
      <c r="BB240" t="inlineStr">
        <is>
          <t>☆</t>
        </is>
      </c>
      <c r="BC240" t="inlineStr">
        <is>
          <t>☆</t>
        </is>
      </c>
      <c r="BD240" t="inlineStr">
        <is>
          <t>☆</t>
        </is>
      </c>
      <c r="BE240" t="inlineStr">
        <is>
          <t>☆</t>
        </is>
      </c>
      <c r="BF240" t="inlineStr">
        <is>
          <t>☆</t>
        </is>
      </c>
      <c r="BG240" t="inlineStr">
        <is>
          <t>☆</t>
        </is>
      </c>
      <c r="BH240" t="inlineStr">
        <is>
          <t>☆</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c r="BS240" t="inlineStr">
        <is>
          <t>#VALUE!</t>
        </is>
      </c>
    </row>
    <row r="241" ht="25.5" customHeight="1">
      <c r="A241" t="inlineStr">
        <is>
          <t>UK</t>
        </is>
      </c>
      <c r="B241" t="inlineStr">
        <is>
          <t>R0001EU</t>
        </is>
      </c>
      <c r="C241" t="inlineStr">
        <is>
          <t>R0003EU</t>
        </is>
      </c>
      <c r="D241" t="inlineStr">
        <is>
          <t>B2-1(PRO)(coupon-15%)</t>
        </is>
      </c>
      <c r="E241">
        <v>8.9</v>
      </c>
      <c r="F241">
        <v>12.99</v>
      </c>
      <c r="G241"/>
      <c r="H241"/>
      <c r="I241"/>
      <c r="J241"/>
      <c r="K241"/>
      <c r="L241"/>
      <c r="M241"/>
      <c r="N241"/>
      <c r="O241"/>
      <c r="P241">
        <v>48</v>
      </c>
      <c r="Q241">
        <v>9</v>
      </c>
      <c r="R241"/>
      <c r="S241"/>
      <c r="T241"/>
      <c r="U241">
        <v>0.01</v>
      </c>
      <c r="V241"/>
      <c r="W241"/>
      <c r="X241">
        <v>0.178</v>
      </c>
      <c r="Y241">
        <v>2.5</v>
      </c>
      <c r="Z241"/>
      <c r="AA241"/>
      <c r="AB241"/>
      <c r="AC241">
        <v>17.8</v>
      </c>
      <c r="AD241"/>
      <c r="AE241"/>
      <c r="AF241"/>
      <c r="AG241"/>
      <c r="AH241">
        <v>4</v>
      </c>
      <c r="AI241"/>
      <c r="AJ241"/>
      <c r="AK241"/>
      <c r="AL241"/>
      <c r="AM241"/>
      <c r="AN241"/>
      <c r="AO241"/>
      <c r="AP241"/>
      <c r="AQ241"/>
      <c r="AR241"/>
      <c r="AS241"/>
      <c r="AT241" t="inlineStr">
        <is>
          <t>☆</t>
        </is>
      </c>
      <c r="AU241" t="inlineStr">
        <is>
          <t>☆</t>
        </is>
      </c>
      <c r="AV241" t="inlineStr">
        <is>
          <t>☆</t>
        </is>
      </c>
      <c r="AW241" t="inlineStr">
        <is>
          <t>☆</t>
        </is>
      </c>
      <c r="AX241" t="inlineStr">
        <is>
          <t>☆</t>
        </is>
      </c>
      <c r="AY241" t="inlineStr">
        <is>
          <t>☆</t>
        </is>
      </c>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c r="BS241" t="inlineStr">
        <is>
          <t>#VALUE!</t>
        </is>
      </c>
    </row>
    <row r="242" ht="25.5" customHeight="1">
      <c r="A242" t="inlineStr">
        <is>
          <t>DE</t>
        </is>
      </c>
      <c r="B242" t="inlineStr">
        <is>
          <t>R0001EU</t>
        </is>
      </c>
      <c r="C242" t="inlineStr">
        <is>
          <t>R0003EU</t>
        </is>
      </c>
      <c r="D242" t="inlineStr">
        <is>
          <t>B2-1(PRO)(coupon-0%)</t>
        </is>
      </c>
      <c r="E242">
        <v>9.6</v>
      </c>
      <c r="F242">
        <v>13.99</v>
      </c>
      <c r="G242"/>
      <c r="H242"/>
      <c r="I242"/>
      <c r="J242"/>
      <c r="K242"/>
      <c r="L242"/>
      <c r="M242"/>
      <c r="N242"/>
      <c r="O242"/>
      <c r="P242">
        <v>48</v>
      </c>
      <c r="Q242">
        <v>8</v>
      </c>
      <c r="R242"/>
      <c r="S242"/>
      <c r="T242"/>
      <c r="U242">
        <v>0.01</v>
      </c>
      <c r="V242"/>
      <c r="W242"/>
      <c r="X242">
        <v>0.188</v>
      </c>
      <c r="Y242">
        <v>2.5</v>
      </c>
      <c r="Z242">
        <v>0</v>
      </c>
      <c r="AA242"/>
      <c r="AB242"/>
      <c r="AC242">
        <v>17.8</v>
      </c>
      <c r="AD242"/>
      <c r="AE242"/>
      <c r="AF242"/>
      <c r="AG242"/>
      <c r="AH242">
        <v>4</v>
      </c>
      <c r="AI242"/>
      <c r="AJ242"/>
      <c r="AK242"/>
      <c r="AL242"/>
      <c r="AM242"/>
      <c r="AN242"/>
      <c r="AO242"/>
      <c r="AP242"/>
      <c r="AQ242"/>
      <c r="AR242"/>
      <c r="AS242"/>
      <c r="AT242" t="inlineStr">
        <is>
          <t>☆</t>
        </is>
      </c>
      <c r="AU242" t="inlineStr">
        <is>
          <t>☆</t>
        </is>
      </c>
      <c r="AV242" t="inlineStr">
        <is>
          <t>☆</t>
        </is>
      </c>
      <c r="AW242" t="inlineStr">
        <is>
          <t>☆</t>
        </is>
      </c>
      <c r="AX242" t="inlineStr">
        <is>
          <t>☆</t>
        </is>
      </c>
      <c r="AY242" t="inlineStr">
        <is>
          <t>☆</t>
        </is>
      </c>
      <c r="AZ242" t="inlineStr">
        <is>
          <t>☆</t>
        </is>
      </c>
      <c r="BA242" t="inlineStr">
        <is>
          <t>☆</t>
        </is>
      </c>
      <c r="BB242" t="inlineStr">
        <is>
          <t>☆</t>
        </is>
      </c>
      <c r="BC242" t="inlineStr">
        <is>
          <t>☆</t>
        </is>
      </c>
      <c r="BD242" t="inlineStr">
        <is>
          <t>☆</t>
        </is>
      </c>
      <c r="BE242" t="inlineStr">
        <is>
          <t>☆</t>
        </is>
      </c>
      <c r="BF242" t="inlineStr">
        <is>
          <t>☆</t>
        </is>
      </c>
      <c r="BG242" t="inlineStr">
        <is>
          <t>☆</t>
        </is>
      </c>
      <c r="BH242" t="inlineStr">
        <is>
          <t>☆</t>
        </is>
      </c>
      <c r="BI242" t="inlineStr">
        <is>
          <t>☆</t>
        </is>
      </c>
      <c r="BJ242" t="inlineStr">
        <is>
          <t>☆</t>
        </is>
      </c>
      <c r="BK242" t="inlineStr">
        <is>
          <t>☆</t>
        </is>
      </c>
      <c r="BL242" t="inlineStr">
        <is>
          <t>☆</t>
        </is>
      </c>
      <c r="BM242" t="inlineStr">
        <is>
          <t>☆</t>
        </is>
      </c>
      <c r="BN242" t="inlineStr">
        <is>
          <t>☆</t>
        </is>
      </c>
      <c r="BO242" t="inlineStr">
        <is>
          <t>☆</t>
        </is>
      </c>
      <c r="BP242" t="inlineStr">
        <is>
          <t>☆</t>
        </is>
      </c>
      <c r="BQ242" t="inlineStr">
        <is>
          <t>☆</t>
        </is>
      </c>
      <c r="BR242"/>
      <c r="BS242" t="inlineStr">
        <is>
          <t>#VALUE!</t>
        </is>
      </c>
    </row>
    <row r="243" ht="25.5" customHeight="1">
      <c r="A243" t="inlineStr">
        <is>
          <t>DE</t>
        </is>
      </c>
      <c r="B243" t="inlineStr">
        <is>
          <t>R0001EU</t>
        </is>
      </c>
      <c r="C243" t="inlineStr">
        <is>
          <t>R0003EU</t>
        </is>
      </c>
      <c r="D243" t="inlineStr">
        <is>
          <t>B2-1(PRO)(coupon-10%)</t>
        </is>
      </c>
      <c r="E243">
        <v>9.6</v>
      </c>
      <c r="F243">
        <v>13.99</v>
      </c>
      <c r="G243"/>
      <c r="H243"/>
      <c r="I243"/>
      <c r="J243"/>
      <c r="K243"/>
      <c r="L243"/>
      <c r="M243"/>
      <c r="N243"/>
      <c r="O243"/>
      <c r="P243">
        <v>48</v>
      </c>
      <c r="Q243">
        <v>8</v>
      </c>
      <c r="R243"/>
      <c r="S243"/>
      <c r="T243"/>
      <c r="U243">
        <v>0.01</v>
      </c>
      <c r="V243"/>
      <c r="W243"/>
      <c r="X243">
        <v>0.188</v>
      </c>
      <c r="Y243">
        <v>2.5</v>
      </c>
      <c r="Z243"/>
      <c r="AA243"/>
      <c r="AB243"/>
      <c r="AC243">
        <v>17.8</v>
      </c>
      <c r="AD243"/>
      <c r="AE243"/>
      <c r="AF243"/>
      <c r="AG243"/>
      <c r="AH243">
        <v>4</v>
      </c>
      <c r="AI243"/>
      <c r="AJ243"/>
      <c r="AK243"/>
      <c r="AL243"/>
      <c r="AM243"/>
      <c r="AN243"/>
      <c r="AO243"/>
      <c r="AP243"/>
      <c r="AQ243"/>
      <c r="AR243"/>
      <c r="AS243"/>
      <c r="AT243" t="inlineStr">
        <is>
          <t>☆</t>
        </is>
      </c>
      <c r="AU243" t="inlineStr">
        <is>
          <t>☆</t>
        </is>
      </c>
      <c r="AV243" t="inlineStr">
        <is>
          <t>☆</t>
        </is>
      </c>
      <c r="AW243" t="inlineStr">
        <is>
          <t>☆</t>
        </is>
      </c>
      <c r="AX243" t="inlineStr">
        <is>
          <t>☆</t>
        </is>
      </c>
      <c r="AY243" t="inlineStr">
        <is>
          <t>☆</t>
        </is>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t>
        </is>
      </c>
      <c r="BQ243" t="inlineStr">
        <is>
          <t>☆</t>
        </is>
      </c>
      <c r="BR243"/>
      <c r="BS243" t="inlineStr">
        <is>
          <t>#VALUE!</t>
        </is>
      </c>
    </row>
    <row r="244" ht="25.5" customHeight="1">
      <c r="A244" t="inlineStr">
        <is>
          <t>DE</t>
        </is>
      </c>
      <c r="B244" t="inlineStr">
        <is>
          <t>R0001EU</t>
        </is>
      </c>
      <c r="C244" t="inlineStr">
        <is>
          <t>R0003EU</t>
        </is>
      </c>
      <c r="D244" t="inlineStr">
        <is>
          <t>B2-1(PRO)(coupon-15%)</t>
        </is>
      </c>
      <c r="E244">
        <v>9.6</v>
      </c>
      <c r="F244">
        <v>13.99</v>
      </c>
      <c r="G244"/>
      <c r="H244"/>
      <c r="I244"/>
      <c r="J244"/>
      <c r="K244"/>
      <c r="L244"/>
      <c r="M244"/>
      <c r="N244"/>
      <c r="O244"/>
      <c r="P244">
        <v>48</v>
      </c>
      <c r="Q244">
        <v>8</v>
      </c>
      <c r="R244"/>
      <c r="S244"/>
      <c r="T244"/>
      <c r="U244">
        <v>0.01</v>
      </c>
      <c r="V244"/>
      <c r="W244"/>
      <c r="X244">
        <v>0.188</v>
      </c>
      <c r="Y244">
        <v>2.5</v>
      </c>
      <c r="Z244"/>
      <c r="AA244"/>
      <c r="AB244"/>
      <c r="AC244">
        <v>17.8</v>
      </c>
      <c r="AD244"/>
      <c r="AE244"/>
      <c r="AF244"/>
      <c r="AG244"/>
      <c r="AH244">
        <v>4</v>
      </c>
      <c r="AI244"/>
      <c r="AJ244"/>
      <c r="AK244"/>
      <c r="AL244"/>
      <c r="AM244"/>
      <c r="AN244"/>
      <c r="AO244"/>
      <c r="AP244"/>
      <c r="AQ244"/>
      <c r="AR244"/>
      <c r="AS244"/>
      <c r="AT244" t="inlineStr">
        <is>
          <t>☆</t>
        </is>
      </c>
      <c r="AU244" t="inlineStr">
        <is>
          <t>☆</t>
        </is>
      </c>
      <c r="AV244" t="inlineStr">
        <is>
          <t>☆</t>
        </is>
      </c>
      <c r="AW244" t="inlineStr">
        <is>
          <t>☆</t>
        </is>
      </c>
      <c r="AX244" t="inlineStr">
        <is>
          <t>☆</t>
        </is>
      </c>
      <c r="AY244" t="inlineStr">
        <is>
          <t>☆</t>
        </is>
      </c>
      <c r="AZ244" t="inlineStr">
        <is>
          <t>☆</t>
        </is>
      </c>
      <c r="BA244" t="inlineStr">
        <is>
          <t>☆</t>
        </is>
      </c>
      <c r="BB244" t="inlineStr">
        <is>
          <t>☆</t>
        </is>
      </c>
      <c r="BC244" t="inlineStr">
        <is>
          <t>☆</t>
        </is>
      </c>
      <c r="BD244" t="inlineStr">
        <is>
          <t>☆</t>
        </is>
      </c>
      <c r="BE244" t="inlineStr">
        <is>
          <t>☆</t>
        </is>
      </c>
      <c r="BF244" t="inlineStr">
        <is>
          <t>☆</t>
        </is>
      </c>
      <c r="BG244" t="inlineStr">
        <is>
          <t>☆</t>
        </is>
      </c>
      <c r="BH244" t="inlineStr">
        <is>
          <t>☆</t>
        </is>
      </c>
      <c r="BI244" t="inlineStr">
        <is>
          <t>☆</t>
        </is>
      </c>
      <c r="BJ244" t="inlineStr">
        <is>
          <t>☆</t>
        </is>
      </c>
      <c r="BK244" t="inlineStr">
        <is>
          <t>☆</t>
        </is>
      </c>
      <c r="BL244" t="inlineStr">
        <is>
          <t>☆</t>
        </is>
      </c>
      <c r="BM244" t="inlineStr">
        <is>
          <t>☆</t>
        </is>
      </c>
      <c r="BN244" t="inlineStr">
        <is>
          <t>☆</t>
        </is>
      </c>
      <c r="BO244" t="inlineStr">
        <is>
          <t>☆</t>
        </is>
      </c>
      <c r="BP244" t="inlineStr">
        <is>
          <t>☆</t>
        </is>
      </c>
      <c r="BQ244" t="inlineStr">
        <is>
          <t>☆</t>
        </is>
      </c>
      <c r="BR244"/>
      <c r="BS244" t="inlineStr">
        <is>
          <t>#VALUE!</t>
        </is>
      </c>
    </row>
    <row r="245" ht="25.5" customHeight="1">
      <c r="A245" t="inlineStr">
        <is>
          <t>FR</t>
        </is>
      </c>
      <c r="B245" t="inlineStr">
        <is>
          <t>R0001EU</t>
        </is>
      </c>
      <c r="C245" t="inlineStr">
        <is>
          <t>R0003EU</t>
        </is>
      </c>
      <c r="D245" t="inlineStr">
        <is>
          <t>B2-1(PRO)(coupon-0%)</t>
        </is>
      </c>
      <c r="E245">
        <v>9.6</v>
      </c>
      <c r="F245">
        <v>13.99</v>
      </c>
      <c r="G245"/>
      <c r="H245"/>
      <c r="I245"/>
      <c r="J245"/>
      <c r="K245"/>
      <c r="L245"/>
      <c r="M245"/>
      <c r="N245"/>
      <c r="O245"/>
      <c r="P245">
        <v>48</v>
      </c>
      <c r="Q245">
        <v>8</v>
      </c>
      <c r="R245"/>
      <c r="S245"/>
      <c r="T245"/>
      <c r="U245">
        <v>0.01</v>
      </c>
      <c r="V245"/>
      <c r="W245"/>
      <c r="X245">
        <v>0.188</v>
      </c>
      <c r="Y245">
        <v>2.5</v>
      </c>
      <c r="Z245">
        <v>0</v>
      </c>
      <c r="AA245"/>
      <c r="AB245"/>
      <c r="AC245">
        <v>17.8</v>
      </c>
      <c r="AD245"/>
      <c r="AE245"/>
      <c r="AF245"/>
      <c r="AG245"/>
      <c r="AH245">
        <v>4</v>
      </c>
      <c r="AI245"/>
      <c r="AJ245"/>
      <c r="AK245"/>
      <c r="AL245"/>
      <c r="AM245"/>
      <c r="AN245"/>
      <c r="AO245"/>
      <c r="AP245"/>
      <c r="AQ245"/>
      <c r="AR245"/>
      <c r="AS245"/>
      <c r="AT245" t="inlineStr">
        <is>
          <t>☆</t>
        </is>
      </c>
      <c r="AU245" t="inlineStr">
        <is>
          <t>☆</t>
        </is>
      </c>
      <c r="AV245" t="inlineStr">
        <is>
          <t>☆</t>
        </is>
      </c>
      <c r="AW245" t="inlineStr">
        <is>
          <t>☆</t>
        </is>
      </c>
      <c r="AX245" t="inlineStr">
        <is>
          <t>☆</t>
        </is>
      </c>
      <c r="AY245" t="inlineStr">
        <is>
          <t>☆</t>
        </is>
      </c>
      <c r="AZ245" t="inlineStr">
        <is>
          <t>☆</t>
        </is>
      </c>
      <c r="BA245" t="inlineStr">
        <is>
          <t>☆</t>
        </is>
      </c>
      <c r="BB245" t="inlineStr">
        <is>
          <t>☆</t>
        </is>
      </c>
      <c r="BC245" t="inlineStr">
        <is>
          <t>☆</t>
        </is>
      </c>
      <c r="BD245" t="inlineStr">
        <is>
          <t>☆</t>
        </is>
      </c>
      <c r="BE245" t="inlineStr">
        <is>
          <t>☆</t>
        </is>
      </c>
      <c r="BF245" t="inlineStr">
        <is>
          <t>☆</t>
        </is>
      </c>
      <c r="BG245" t="inlineStr">
        <is>
          <t>☆</t>
        </is>
      </c>
      <c r="BH245" t="inlineStr">
        <is>
          <t>☆</t>
        </is>
      </c>
      <c r="BI245" t="inlineStr">
        <is>
          <t>☆</t>
        </is>
      </c>
      <c r="BJ245" t="inlineStr">
        <is>
          <t>☆</t>
        </is>
      </c>
      <c r="BK245" t="inlineStr">
        <is>
          <t>☆</t>
        </is>
      </c>
      <c r="BL245" t="inlineStr">
        <is>
          <t>☆</t>
        </is>
      </c>
      <c r="BM245" t="inlineStr">
        <is>
          <t>☆</t>
        </is>
      </c>
      <c r="BN245" t="inlineStr">
        <is>
          <t>☆</t>
        </is>
      </c>
      <c r="BO245" t="inlineStr">
        <is>
          <t>☆</t>
        </is>
      </c>
      <c r="BP245" t="inlineStr">
        <is>
          <t>☆</t>
        </is>
      </c>
      <c r="BQ245" t="inlineStr">
        <is>
          <t>☆</t>
        </is>
      </c>
      <c r="BR245"/>
      <c r="BS245" t="inlineStr">
        <is>
          <t>#VALUE!</t>
        </is>
      </c>
    </row>
    <row r="246" ht="25.5" customHeight="1">
      <c r="A246" t="inlineStr">
        <is>
          <t>FR</t>
        </is>
      </c>
      <c r="B246" t="inlineStr">
        <is>
          <t>R0001EU</t>
        </is>
      </c>
      <c r="C246" t="inlineStr">
        <is>
          <t>R0003EU</t>
        </is>
      </c>
      <c r="D246" t="inlineStr">
        <is>
          <t>B2-1(PRO)(coupon-10%)</t>
        </is>
      </c>
      <c r="E246">
        <v>9.6</v>
      </c>
      <c r="F246">
        <v>13.99</v>
      </c>
      <c r="G246"/>
      <c r="H246"/>
      <c r="I246"/>
      <c r="J246"/>
      <c r="K246"/>
      <c r="L246"/>
      <c r="M246"/>
      <c r="N246"/>
      <c r="O246"/>
      <c r="P246">
        <v>48</v>
      </c>
      <c r="Q246">
        <v>8</v>
      </c>
      <c r="R246"/>
      <c r="S246"/>
      <c r="T246"/>
      <c r="U246">
        <v>0.01</v>
      </c>
      <c r="V246"/>
      <c r="W246"/>
      <c r="X246">
        <v>0.188</v>
      </c>
      <c r="Y246">
        <v>2.5</v>
      </c>
      <c r="Z246"/>
      <c r="AA246"/>
      <c r="AB246"/>
      <c r="AC246">
        <v>17.8</v>
      </c>
      <c r="AD246"/>
      <c r="AE246"/>
      <c r="AF246"/>
      <c r="AG246"/>
      <c r="AH246">
        <v>4</v>
      </c>
      <c r="AI246"/>
      <c r="AJ246"/>
      <c r="AK246"/>
      <c r="AL246"/>
      <c r="AM246"/>
      <c r="AN246"/>
      <c r="AO246"/>
      <c r="AP246"/>
      <c r="AQ246"/>
      <c r="AR246"/>
      <c r="AS246"/>
      <c r="AT246" t="inlineStr">
        <is>
          <t>☆</t>
        </is>
      </c>
      <c r="AU246" t="inlineStr">
        <is>
          <t>☆</t>
        </is>
      </c>
      <c r="AV246" t="inlineStr">
        <is>
          <t>☆</t>
        </is>
      </c>
      <c r="AW246" t="inlineStr">
        <is>
          <t>☆</t>
        </is>
      </c>
      <c r="AX246" t="inlineStr">
        <is>
          <t>☆</t>
        </is>
      </c>
      <c r="AY246" t="inlineStr">
        <is>
          <t>☆</t>
        </is>
      </c>
      <c r="AZ246" t="inlineStr">
        <is>
          <t>☆</t>
        </is>
      </c>
      <c r="BA246" t="inlineStr">
        <is>
          <t>☆</t>
        </is>
      </c>
      <c r="BB246" t="inlineStr">
        <is>
          <t>☆</t>
        </is>
      </c>
      <c r="BC246" t="inlineStr">
        <is>
          <t>☆</t>
        </is>
      </c>
      <c r="BD246" t="inlineStr">
        <is>
          <t>☆</t>
        </is>
      </c>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t>
        </is>
      </c>
      <c r="BQ246" t="inlineStr">
        <is>
          <t>☆</t>
        </is>
      </c>
      <c r="BR246"/>
      <c r="BS246" t="inlineStr">
        <is>
          <t>#VALUE!</t>
        </is>
      </c>
    </row>
    <row r="247" ht="25.5" customHeight="1">
      <c r="A247" t="inlineStr">
        <is>
          <t>FR</t>
        </is>
      </c>
      <c r="B247" t="inlineStr">
        <is>
          <t>R0001EU</t>
        </is>
      </c>
      <c r="C247" t="inlineStr">
        <is>
          <t>R0003EU</t>
        </is>
      </c>
      <c r="D247" t="inlineStr">
        <is>
          <t>B2-1(PRO)(coupon-15%)</t>
        </is>
      </c>
      <c r="E247">
        <v>9.6</v>
      </c>
      <c r="F247">
        <v>13.99</v>
      </c>
      <c r="G247"/>
      <c r="H247"/>
      <c r="I247"/>
      <c r="J247"/>
      <c r="K247"/>
      <c r="L247"/>
      <c r="M247"/>
      <c r="N247"/>
      <c r="O247"/>
      <c r="P247">
        <v>48</v>
      </c>
      <c r="Q247">
        <v>8</v>
      </c>
      <c r="R247"/>
      <c r="S247"/>
      <c r="T247"/>
      <c r="U247">
        <v>0.01</v>
      </c>
      <c r="V247"/>
      <c r="W247"/>
      <c r="X247">
        <v>0.188</v>
      </c>
      <c r="Y247">
        <v>2.5</v>
      </c>
      <c r="Z247"/>
      <c r="AA247"/>
      <c r="AB247"/>
      <c r="AC247">
        <v>17.8</v>
      </c>
      <c r="AD247"/>
      <c r="AE247"/>
      <c r="AF247"/>
      <c r="AG247"/>
      <c r="AH247">
        <v>4</v>
      </c>
      <c r="AI247"/>
      <c r="AJ247"/>
      <c r="AK247"/>
      <c r="AL247"/>
      <c r="AM247"/>
      <c r="AN247"/>
      <c r="AO247"/>
      <c r="AP247"/>
      <c r="AQ247"/>
      <c r="AR247"/>
      <c r="AS247"/>
      <c r="AT247" t="inlineStr">
        <is>
          <t>☆</t>
        </is>
      </c>
      <c r="AU247" t="inlineStr">
        <is>
          <t>☆</t>
        </is>
      </c>
      <c r="AV247" t="inlineStr">
        <is>
          <t>☆</t>
        </is>
      </c>
      <c r="AW247" t="inlineStr">
        <is>
          <t>☆</t>
        </is>
      </c>
      <c r="AX247" t="inlineStr">
        <is>
          <t>☆</t>
        </is>
      </c>
      <c r="AY247" t="inlineStr">
        <is>
          <t>☆</t>
        </is>
      </c>
      <c r="AZ247" t="inlineStr">
        <is>
          <t>☆</t>
        </is>
      </c>
      <c r="BA247" t="inlineStr">
        <is>
          <t>☆</t>
        </is>
      </c>
      <c r="BB247" t="inlineStr">
        <is>
          <t>☆</t>
        </is>
      </c>
      <c r="BC247" t="inlineStr">
        <is>
          <t>☆</t>
        </is>
      </c>
      <c r="BD247" t="inlineStr">
        <is>
          <t>☆</t>
        </is>
      </c>
      <c r="BE247" t="inlineStr">
        <is>
          <t>☆</t>
        </is>
      </c>
      <c r="BF247" t="inlineStr">
        <is>
          <t>☆</t>
        </is>
      </c>
      <c r="BG247" t="inlineStr">
        <is>
          <t>☆</t>
        </is>
      </c>
      <c r="BH247" t="inlineStr">
        <is>
          <t>☆</t>
        </is>
      </c>
      <c r="BI247" t="inlineStr">
        <is>
          <t>☆</t>
        </is>
      </c>
      <c r="BJ247" t="inlineStr">
        <is>
          <t>☆</t>
        </is>
      </c>
      <c r="BK247" t="inlineStr">
        <is>
          <t>☆</t>
        </is>
      </c>
      <c r="BL247" t="inlineStr">
        <is>
          <t>☆</t>
        </is>
      </c>
      <c r="BM247" t="inlineStr">
        <is>
          <t>☆</t>
        </is>
      </c>
      <c r="BN247" t="inlineStr">
        <is>
          <t>☆</t>
        </is>
      </c>
      <c r="BO247" t="inlineStr">
        <is>
          <t>☆</t>
        </is>
      </c>
      <c r="BP247" t="inlineStr">
        <is>
          <t>☆</t>
        </is>
      </c>
      <c r="BQ247" t="inlineStr">
        <is>
          <t>☆</t>
        </is>
      </c>
      <c r="BR247"/>
      <c r="BS247" t="inlineStr">
        <is>
          <t>#VALUE!</t>
        </is>
      </c>
    </row>
    <row r="248" ht="25.5" customHeight="1">
      <c r="A248" t="inlineStr">
        <is>
          <t>IT</t>
        </is>
      </c>
      <c r="B248" t="inlineStr">
        <is>
          <t>R0001EU</t>
        </is>
      </c>
      <c r="C248" t="inlineStr">
        <is>
          <t>R0003EU</t>
        </is>
      </c>
      <c r="D248" t="inlineStr">
        <is>
          <t>B2-1(PRO)(coupon-0%)</t>
        </is>
      </c>
      <c r="E248">
        <v>9.6</v>
      </c>
      <c r="F248">
        <v>13.99</v>
      </c>
      <c r="G248"/>
      <c r="H248"/>
      <c r="I248"/>
      <c r="J248"/>
      <c r="K248"/>
      <c r="L248"/>
      <c r="M248"/>
      <c r="N248"/>
      <c r="O248"/>
      <c r="P248">
        <v>48</v>
      </c>
      <c r="Q248">
        <v>8</v>
      </c>
      <c r="R248"/>
      <c r="S248"/>
      <c r="T248"/>
      <c r="U248">
        <v>0.01</v>
      </c>
      <c r="V248"/>
      <c r="W248"/>
      <c r="X248">
        <v>0.188</v>
      </c>
      <c r="Y248">
        <v>2.5</v>
      </c>
      <c r="Z248">
        <v>0</v>
      </c>
      <c r="AA248"/>
      <c r="AB248"/>
      <c r="AC248">
        <v>17.8</v>
      </c>
      <c r="AD248"/>
      <c r="AE248"/>
      <c r="AF248"/>
      <c r="AG248"/>
      <c r="AH248">
        <v>4</v>
      </c>
      <c r="AI248"/>
      <c r="AJ248"/>
      <c r="AK248"/>
      <c r="AL248"/>
      <c r="AM248"/>
      <c r="AN248"/>
      <c r="AO248"/>
      <c r="AP248"/>
      <c r="AQ248"/>
      <c r="AR248"/>
      <c r="AS248"/>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c r="BS248" t="inlineStr">
        <is>
          <t>#VALUE!</t>
        </is>
      </c>
    </row>
    <row r="249" ht="25.5" customHeight="1">
      <c r="A249" t="inlineStr">
        <is>
          <t>IT</t>
        </is>
      </c>
      <c r="B249" t="inlineStr">
        <is>
          <t>R0001EU</t>
        </is>
      </c>
      <c r="C249" t="inlineStr">
        <is>
          <t>R0003EU</t>
        </is>
      </c>
      <c r="D249" t="inlineStr">
        <is>
          <t>B2-1(PRO)(coupon-10%)</t>
        </is>
      </c>
      <c r="E249">
        <v>9.6</v>
      </c>
      <c r="F249">
        <v>13.99</v>
      </c>
      <c r="G249"/>
      <c r="H249"/>
      <c r="I249"/>
      <c r="J249"/>
      <c r="K249"/>
      <c r="L249"/>
      <c r="M249"/>
      <c r="N249"/>
      <c r="O249"/>
      <c r="P249">
        <v>48</v>
      </c>
      <c r="Q249">
        <v>8</v>
      </c>
      <c r="R249"/>
      <c r="S249"/>
      <c r="T249"/>
      <c r="U249">
        <v>0.01</v>
      </c>
      <c r="V249"/>
      <c r="W249"/>
      <c r="X249">
        <v>0.188</v>
      </c>
      <c r="Y249">
        <v>2.5</v>
      </c>
      <c r="Z249"/>
      <c r="AA249"/>
      <c r="AB249"/>
      <c r="AC249">
        <v>17.8</v>
      </c>
      <c r="AD249"/>
      <c r="AE249"/>
      <c r="AF249"/>
      <c r="AG249"/>
      <c r="AH249">
        <v>4</v>
      </c>
      <c r="AI249"/>
      <c r="AJ249"/>
      <c r="AK249"/>
      <c r="AL249"/>
      <c r="AM249"/>
      <c r="AN249"/>
      <c r="AO249"/>
      <c r="AP249"/>
      <c r="AQ249"/>
      <c r="AR249"/>
      <c r="AS249"/>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c r="BS249" t="inlineStr">
        <is>
          <t>#VALUE!</t>
        </is>
      </c>
    </row>
    <row r="250" ht="25.5" customHeight="1">
      <c r="A250" t="inlineStr">
        <is>
          <t>IT</t>
        </is>
      </c>
      <c r="B250" t="inlineStr">
        <is>
          <t>R0001EU</t>
        </is>
      </c>
      <c r="C250" t="inlineStr">
        <is>
          <t>R0003EU</t>
        </is>
      </c>
      <c r="D250" t="inlineStr">
        <is>
          <t>B2-1(PRO)(coupon-15%)</t>
        </is>
      </c>
      <c r="E250">
        <v>9.6</v>
      </c>
      <c r="F250">
        <v>13.99</v>
      </c>
      <c r="G250"/>
      <c r="H250"/>
      <c r="I250"/>
      <c r="J250"/>
      <c r="K250"/>
      <c r="L250"/>
      <c r="M250"/>
      <c r="N250"/>
      <c r="O250"/>
      <c r="P250">
        <v>48</v>
      </c>
      <c r="Q250">
        <v>8</v>
      </c>
      <c r="R250"/>
      <c r="S250"/>
      <c r="T250"/>
      <c r="U250">
        <v>0.01</v>
      </c>
      <c r="V250"/>
      <c r="W250"/>
      <c r="X250">
        <v>0.188</v>
      </c>
      <c r="Y250">
        <v>2.5</v>
      </c>
      <c r="Z250"/>
      <c r="AA250"/>
      <c r="AB250"/>
      <c r="AC250">
        <v>17.8</v>
      </c>
      <c r="AD250"/>
      <c r="AE250"/>
      <c r="AF250"/>
      <c r="AG250"/>
      <c r="AH250">
        <v>4</v>
      </c>
      <c r="AI250"/>
      <c r="AJ250"/>
      <c r="AK250"/>
      <c r="AL250"/>
      <c r="AM250"/>
      <c r="AN250"/>
      <c r="AO250"/>
      <c r="AP250"/>
      <c r="AQ250"/>
      <c r="AR250"/>
      <c r="AS250"/>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c r="BS250" t="inlineStr">
        <is>
          <t>#VALUE!</t>
        </is>
      </c>
    </row>
    <row r="251" ht="25.5" customHeight="1">
      <c r="A251" t="inlineStr">
        <is>
          <t>ES</t>
        </is>
      </c>
      <c r="B251" t="inlineStr">
        <is>
          <t>R0001EU</t>
        </is>
      </c>
      <c r="C251" t="inlineStr">
        <is>
          <t>R0003EU</t>
        </is>
      </c>
      <c r="D251" t="inlineStr">
        <is>
          <t>B2-1(PRO)(coupon-0%)</t>
        </is>
      </c>
      <c r="E251">
        <v>9.6</v>
      </c>
      <c r="F251">
        <v>13.99</v>
      </c>
      <c r="G251"/>
      <c r="H251"/>
      <c r="I251"/>
      <c r="J251"/>
      <c r="K251"/>
      <c r="L251"/>
      <c r="M251"/>
      <c r="N251"/>
      <c r="O251"/>
      <c r="P251">
        <v>48</v>
      </c>
      <c r="Q251">
        <v>8</v>
      </c>
      <c r="R251"/>
      <c r="S251"/>
      <c r="T251"/>
      <c r="U251">
        <v>0.01</v>
      </c>
      <c r="V251"/>
      <c r="W251"/>
      <c r="X251">
        <v>0.188</v>
      </c>
      <c r="Y251">
        <v>2.5</v>
      </c>
      <c r="Z251">
        <v>0</v>
      </c>
      <c r="AA251"/>
      <c r="AB251"/>
      <c r="AC251">
        <v>17.8</v>
      </c>
      <c r="AD251"/>
      <c r="AE251"/>
      <c r="AF251"/>
      <c r="AG251"/>
      <c r="AH251">
        <v>4</v>
      </c>
      <c r="AI251"/>
      <c r="AJ251"/>
      <c r="AK251"/>
      <c r="AL251"/>
      <c r="AM251"/>
      <c r="AN251"/>
      <c r="AO251"/>
      <c r="AP251"/>
      <c r="AQ251"/>
      <c r="AR251"/>
      <c r="AS251"/>
      <c r="AT251" t="inlineStr">
        <is>
          <t>☆</t>
        </is>
      </c>
      <c r="AU251" t="inlineStr">
        <is>
          <t>☆</t>
        </is>
      </c>
      <c r="AV251" t="inlineStr">
        <is>
          <t>☆</t>
        </is>
      </c>
      <c r="AW251" t="inlineStr">
        <is>
          <t>☆</t>
        </is>
      </c>
      <c r="AX251" t="inlineStr">
        <is>
          <t>☆</t>
        </is>
      </c>
      <c r="AY251" t="inlineStr">
        <is>
          <t>☆</t>
        </is>
      </c>
      <c r="AZ251" t="inlineStr">
        <is>
          <t>☆</t>
        </is>
      </c>
      <c r="BA251" t="inlineStr">
        <is>
          <t>☆</t>
        </is>
      </c>
      <c r="BB251" t="inlineStr">
        <is>
          <t>☆</t>
        </is>
      </c>
      <c r="BC251" t="inlineStr">
        <is>
          <t>☆</t>
        </is>
      </c>
      <c r="BD251" t="inlineStr">
        <is>
          <t>☆</t>
        </is>
      </c>
      <c r="BE251" t="inlineStr">
        <is>
          <t>☆</t>
        </is>
      </c>
      <c r="BF251" t="inlineStr">
        <is>
          <t>☆</t>
        </is>
      </c>
      <c r="BG251" t="inlineStr">
        <is>
          <t>☆</t>
        </is>
      </c>
      <c r="BH251" t="inlineStr">
        <is>
          <t>☆</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c r="BS251" t="inlineStr">
        <is>
          <t>#VALUE!</t>
        </is>
      </c>
    </row>
    <row r="252" ht="25.5" customHeight="1">
      <c r="A252" t="inlineStr">
        <is>
          <t>ES</t>
        </is>
      </c>
      <c r="B252" t="inlineStr">
        <is>
          <t>R0001EU</t>
        </is>
      </c>
      <c r="C252" t="inlineStr">
        <is>
          <t>R0003EU</t>
        </is>
      </c>
      <c r="D252" t="inlineStr">
        <is>
          <t>B2-1(PRO)(coupon-10%)</t>
        </is>
      </c>
      <c r="E252">
        <v>9.6</v>
      </c>
      <c r="F252">
        <v>13.99</v>
      </c>
      <c r="G252"/>
      <c r="H252"/>
      <c r="I252"/>
      <c r="J252"/>
      <c r="K252"/>
      <c r="L252"/>
      <c r="M252"/>
      <c r="N252"/>
      <c r="O252"/>
      <c r="P252">
        <v>48</v>
      </c>
      <c r="Q252">
        <v>8</v>
      </c>
      <c r="R252"/>
      <c r="S252"/>
      <c r="T252"/>
      <c r="U252">
        <v>0.01</v>
      </c>
      <c r="V252"/>
      <c r="W252"/>
      <c r="X252">
        <v>0.188</v>
      </c>
      <c r="Y252">
        <v>2.5</v>
      </c>
      <c r="Z252"/>
      <c r="AA252"/>
      <c r="AB252"/>
      <c r="AC252">
        <v>17.8</v>
      </c>
      <c r="AD252"/>
      <c r="AE252"/>
      <c r="AF252"/>
      <c r="AG252"/>
      <c r="AH252">
        <v>4</v>
      </c>
      <c r="AI252"/>
      <c r="AJ252"/>
      <c r="AK252"/>
      <c r="AL252"/>
      <c r="AM252"/>
      <c r="AN252"/>
      <c r="AO252"/>
      <c r="AP252"/>
      <c r="AQ252"/>
      <c r="AR252"/>
      <c r="AS252"/>
      <c r="AT252" t="inlineStr">
        <is>
          <t>☆</t>
        </is>
      </c>
      <c r="AU252" t="inlineStr">
        <is>
          <t>☆</t>
        </is>
      </c>
      <c r="AV252" t="inlineStr">
        <is>
          <t>☆</t>
        </is>
      </c>
      <c r="AW252" t="inlineStr">
        <is>
          <t>☆</t>
        </is>
      </c>
      <c r="AX252" t="inlineStr">
        <is>
          <t>☆</t>
        </is>
      </c>
      <c r="AY252" t="inlineStr">
        <is>
          <t>☆</t>
        </is>
      </c>
      <c r="AZ252" t="inlineStr">
        <is>
          <t>☆</t>
        </is>
      </c>
      <c r="BA252" t="inlineStr">
        <is>
          <t>☆</t>
        </is>
      </c>
      <c r="BB252" t="inlineStr">
        <is>
          <t>☆</t>
        </is>
      </c>
      <c r="BC252" t="inlineStr">
        <is>
          <t>☆</t>
        </is>
      </c>
      <c r="BD252" t="inlineStr">
        <is>
          <t>☆</t>
        </is>
      </c>
      <c r="BE252" t="inlineStr">
        <is>
          <t>☆</t>
        </is>
      </c>
      <c r="BF252" t="inlineStr">
        <is>
          <t>☆</t>
        </is>
      </c>
      <c r="BG252" t="inlineStr">
        <is>
          <t>☆</t>
        </is>
      </c>
      <c r="BH252" t="inlineStr">
        <is>
          <t>☆</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c r="BS252" t="inlineStr">
        <is>
          <t>#VALUE!</t>
        </is>
      </c>
    </row>
    <row r="253" ht="25.5" customHeight="1">
      <c r="A253" t="inlineStr">
        <is>
          <t>ES</t>
        </is>
      </c>
      <c r="B253" t="inlineStr">
        <is>
          <t>R0001EU</t>
        </is>
      </c>
      <c r="C253" t="inlineStr">
        <is>
          <t>R0003EU</t>
        </is>
      </c>
      <c r="D253" t="inlineStr">
        <is>
          <t>B2-1(PRO)(coupon-15%)</t>
        </is>
      </c>
      <c r="E253">
        <v>9.6</v>
      </c>
      <c r="F253">
        <v>13.99</v>
      </c>
      <c r="G253"/>
      <c r="H253"/>
      <c r="I253"/>
      <c r="J253"/>
      <c r="K253"/>
      <c r="L253"/>
      <c r="M253"/>
      <c r="N253"/>
      <c r="O253"/>
      <c r="P253">
        <v>48</v>
      </c>
      <c r="Q253">
        <v>8</v>
      </c>
      <c r="R253"/>
      <c r="S253"/>
      <c r="T253"/>
      <c r="U253">
        <v>0.01</v>
      </c>
      <c r="V253"/>
      <c r="W253"/>
      <c r="X253">
        <v>0.188</v>
      </c>
      <c r="Y253">
        <v>2.5</v>
      </c>
      <c r="Z253"/>
      <c r="AA253"/>
      <c r="AB253"/>
      <c r="AC253">
        <v>17.8</v>
      </c>
      <c r="AD253"/>
      <c r="AE253"/>
      <c r="AF253"/>
      <c r="AG253"/>
      <c r="AH253">
        <v>4</v>
      </c>
      <c r="AI253"/>
      <c r="AJ253"/>
      <c r="AK253"/>
      <c r="AL253"/>
      <c r="AM253"/>
      <c r="AN253"/>
      <c r="AO253"/>
      <c r="AP253"/>
      <c r="AQ253"/>
      <c r="AR253"/>
      <c r="AS253"/>
      <c r="AT253" t="inlineStr">
        <is>
          <t>☆</t>
        </is>
      </c>
      <c r="AU253" t="inlineStr">
        <is>
          <t>☆</t>
        </is>
      </c>
      <c r="AV253" t="inlineStr">
        <is>
          <t>☆</t>
        </is>
      </c>
      <c r="AW253" t="inlineStr">
        <is>
          <t>☆</t>
        </is>
      </c>
      <c r="AX253" t="inlineStr">
        <is>
          <t>☆</t>
        </is>
      </c>
      <c r="AY253" t="inlineStr">
        <is>
          <t>☆</t>
        </is>
      </c>
      <c r="AZ253" t="inlineStr">
        <is>
          <t>☆</t>
        </is>
      </c>
      <c r="BA253" t="inlineStr">
        <is>
          <t>☆</t>
        </is>
      </c>
      <c r="BB253" t="inlineStr">
        <is>
          <t>☆</t>
        </is>
      </c>
      <c r="BC253" t="inlineStr">
        <is>
          <t>☆</t>
        </is>
      </c>
      <c r="BD253" t="inlineStr">
        <is>
          <t>☆</t>
        </is>
      </c>
      <c r="BE253" t="inlineStr">
        <is>
          <t>☆</t>
        </is>
      </c>
      <c r="BF253" t="inlineStr">
        <is>
          <t>☆</t>
        </is>
      </c>
      <c r="BG253" t="inlineStr">
        <is>
          <t>☆</t>
        </is>
      </c>
      <c r="BH253" t="inlineStr">
        <is>
          <t>☆</t>
        </is>
      </c>
      <c r="BI253" t="inlineStr">
        <is>
          <t>☆</t>
        </is>
      </c>
      <c r="BJ253" t="inlineStr">
        <is>
          <t>☆</t>
        </is>
      </c>
      <c r="BK253" t="inlineStr">
        <is>
          <t>☆</t>
        </is>
      </c>
      <c r="BL253" t="inlineStr">
        <is>
          <t>☆</t>
        </is>
      </c>
      <c r="BM253" t="inlineStr">
        <is>
          <t>☆</t>
        </is>
      </c>
      <c r="BN253" t="inlineStr">
        <is>
          <t>☆</t>
        </is>
      </c>
      <c r="BO253" t="inlineStr">
        <is>
          <t>☆</t>
        </is>
      </c>
      <c r="BP253" t="inlineStr">
        <is>
          <t>☆</t>
        </is>
      </c>
      <c r="BQ253" t="inlineStr">
        <is>
          <t>☆</t>
        </is>
      </c>
      <c r="BR253"/>
      <c r="BS253" t="inlineStr">
        <is>
          <t>#VALUE!</t>
        </is>
      </c>
    </row>
    <row r="254" ht="25.5" customHeight="1">
      <c r="A254" t="inlineStr">
        <is>
          <t>NL</t>
        </is>
      </c>
      <c r="B254" t="inlineStr">
        <is>
          <t>R0001EU</t>
        </is>
      </c>
      <c r="C254" t="inlineStr">
        <is>
          <t>R0003EU</t>
        </is>
      </c>
      <c r="D254" t="inlineStr">
        <is>
          <t>B2-1(PRO)荷兰</t>
        </is>
      </c>
      <c r="E254">
        <v>10.3</v>
      </c>
      <c r="F254">
        <v>14.99</v>
      </c>
      <c r="G254"/>
      <c r="H254"/>
      <c r="I254"/>
      <c r="J254"/>
      <c r="K254"/>
      <c r="L254"/>
      <c r="M254"/>
      <c r="N254"/>
      <c r="O254"/>
      <c r="P254">
        <v>48</v>
      </c>
      <c r="Q254">
        <v>8</v>
      </c>
      <c r="R254"/>
      <c r="S254"/>
      <c r="T254"/>
      <c r="U254">
        <v>0.01</v>
      </c>
      <c r="V254"/>
      <c r="W254"/>
      <c r="X254">
        <v>0.188</v>
      </c>
      <c r="Y254">
        <v>2.5</v>
      </c>
      <c r="Z254"/>
      <c r="AA254"/>
      <c r="AB254"/>
      <c r="AC254">
        <v>17.8</v>
      </c>
      <c r="AD254"/>
      <c r="AE254"/>
      <c r="AF254"/>
      <c r="AG254"/>
      <c r="AH254">
        <v>4</v>
      </c>
      <c r="AI254"/>
      <c r="AJ254"/>
      <c r="AK254"/>
      <c r="AL254"/>
      <c r="AM254"/>
      <c r="AN254"/>
      <c r="AO254"/>
      <c r="AP254"/>
      <c r="AQ254"/>
      <c r="AR254"/>
      <c r="AS254"/>
      <c r="AT254" t="inlineStr">
        <is>
          <t>☆</t>
        </is>
      </c>
      <c r="AU254" t="inlineStr">
        <is>
          <t>☆</t>
        </is>
      </c>
      <c r="AV254" t="inlineStr">
        <is>
          <t>☆</t>
        </is>
      </c>
      <c r="AW254" t="inlineStr">
        <is>
          <t>☆</t>
        </is>
      </c>
      <c r="AX254" t="inlineStr">
        <is>
          <t>☆</t>
        </is>
      </c>
      <c r="AY254" t="inlineStr">
        <is>
          <t>☆</t>
        </is>
      </c>
      <c r="AZ254" t="inlineStr">
        <is>
          <t>☆</t>
        </is>
      </c>
      <c r="BA254" t="inlineStr">
        <is>
          <t>☆</t>
        </is>
      </c>
      <c r="BB254" t="inlineStr">
        <is>
          <t>☆</t>
        </is>
      </c>
      <c r="BC254" t="inlineStr">
        <is>
          <t>☆</t>
        </is>
      </c>
      <c r="BD254" t="inlineStr">
        <is>
          <t>☆</t>
        </is>
      </c>
      <c r="BE254" t="inlineStr">
        <is>
          <t>☆</t>
        </is>
      </c>
      <c r="BF254" t="inlineStr">
        <is>
          <t>☆</t>
        </is>
      </c>
      <c r="BG254" t="inlineStr">
        <is>
          <t>☆</t>
        </is>
      </c>
      <c r="BH254" t="inlineStr">
        <is>
          <t>☆</t>
        </is>
      </c>
      <c r="BI254" t="inlineStr">
        <is>
          <t>☆</t>
        </is>
      </c>
      <c r="BJ254" t="inlineStr">
        <is>
          <t>☆</t>
        </is>
      </c>
      <c r="BK254" t="inlineStr">
        <is>
          <t>☆</t>
        </is>
      </c>
      <c r="BL254" t="inlineStr">
        <is>
          <t>☆</t>
        </is>
      </c>
      <c r="BM254" t="inlineStr">
        <is>
          <t>☆</t>
        </is>
      </c>
      <c r="BN254" t="inlineStr">
        <is>
          <t>☆</t>
        </is>
      </c>
      <c r="BO254" t="inlineStr">
        <is>
          <t>☆</t>
        </is>
      </c>
      <c r="BP254" t="inlineStr">
        <is>
          <t>☆</t>
        </is>
      </c>
      <c r="BQ254" t="inlineStr">
        <is>
          <t>☆</t>
        </is>
      </c>
      <c r="BR254"/>
      <c r="BS254" t="inlineStr">
        <is>
          <t>#VALUE!</t>
        </is>
      </c>
    </row>
    <row r="255" ht="25.5" customHeight="1">
      <c r="A255" t="inlineStr">
        <is>
          <t>PL</t>
        </is>
      </c>
      <c r="B255" t="inlineStr">
        <is>
          <t>R0001EU</t>
        </is>
      </c>
      <c r="C255" t="inlineStr">
        <is>
          <t>R0003EU</t>
        </is>
      </c>
      <c r="D255" t="inlineStr">
        <is>
          <t>B2-1(PRO)波兰</t>
        </is>
      </c>
      <c r="E255">
        <v>11</v>
      </c>
      <c r="F255">
        <v>15.99</v>
      </c>
      <c r="G255"/>
      <c r="H255"/>
      <c r="I255"/>
      <c r="J255"/>
      <c r="K255"/>
      <c r="L255"/>
      <c r="M255"/>
      <c r="N255"/>
      <c r="O255"/>
      <c r="P255">
        <v>48</v>
      </c>
      <c r="Q255">
        <v>8</v>
      </c>
      <c r="R255"/>
      <c r="S255"/>
      <c r="T255"/>
      <c r="U255">
        <v>0.01</v>
      </c>
      <c r="V255"/>
      <c r="W255"/>
      <c r="X255">
        <v>0.188</v>
      </c>
      <c r="Y255">
        <v>2.5</v>
      </c>
      <c r="Z255"/>
      <c r="AA255"/>
      <c r="AB255"/>
      <c r="AC255">
        <v>17.8</v>
      </c>
      <c r="AD255"/>
      <c r="AE255"/>
      <c r="AF255"/>
      <c r="AG255"/>
      <c r="AH255">
        <v>4</v>
      </c>
      <c r="AI255"/>
      <c r="AJ255"/>
      <c r="AK255"/>
      <c r="AL255"/>
      <c r="AM255"/>
      <c r="AN255"/>
      <c r="AO255"/>
      <c r="AP255"/>
      <c r="AQ255"/>
      <c r="AR255"/>
      <c r="AS255"/>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c r="BS255" t="inlineStr">
        <is>
          <t>#VALUE!</t>
        </is>
      </c>
    </row>
    <row r="256" ht="25.5" customHeight="1">
      <c r="A256" t="inlineStr">
        <is>
          <t>SE</t>
        </is>
      </c>
      <c r="B256" t="inlineStr">
        <is>
          <t>R0001EU</t>
        </is>
      </c>
      <c r="C256" t="inlineStr">
        <is>
          <t>R0003EU</t>
        </is>
      </c>
      <c r="D256" t="inlineStr">
        <is>
          <t>B2-1(PRO)瑞典</t>
        </is>
      </c>
      <c r="E256">
        <v>11</v>
      </c>
      <c r="F256">
        <v>15.99</v>
      </c>
      <c r="G256"/>
      <c r="H256"/>
      <c r="I256"/>
      <c r="J256"/>
      <c r="K256"/>
      <c r="L256"/>
      <c r="M256"/>
      <c r="N256"/>
      <c r="O256"/>
      <c r="P256">
        <v>48</v>
      </c>
      <c r="Q256">
        <v>8</v>
      </c>
      <c r="R256"/>
      <c r="S256"/>
      <c r="T256"/>
      <c r="U256">
        <v>0.01</v>
      </c>
      <c r="V256"/>
      <c r="W256"/>
      <c r="X256">
        <v>0.188</v>
      </c>
      <c r="Y256">
        <v>2.5</v>
      </c>
      <c r="Z256"/>
      <c r="AA256"/>
      <c r="AB256"/>
      <c r="AC256">
        <v>17.8</v>
      </c>
      <c r="AD256"/>
      <c r="AE256"/>
      <c r="AF256"/>
      <c r="AG256"/>
      <c r="AH256">
        <v>4</v>
      </c>
      <c r="AI256"/>
      <c r="AJ256"/>
      <c r="AK256"/>
      <c r="AL256"/>
      <c r="AM256"/>
      <c r="AN256"/>
      <c r="AO256"/>
      <c r="AP256"/>
      <c r="AQ256"/>
      <c r="AR256"/>
      <c r="AS256"/>
      <c r="AT256" t="inlineStr">
        <is>
          <t>☆</t>
        </is>
      </c>
      <c r="AU256" t="inlineStr">
        <is>
          <t>☆</t>
        </is>
      </c>
      <c r="AV256" t="inlineStr">
        <is>
          <t>☆</t>
        </is>
      </c>
      <c r="AW256" t="inlineStr">
        <is>
          <t>☆</t>
        </is>
      </c>
      <c r="AX256" t="inlineStr">
        <is>
          <t>☆</t>
        </is>
      </c>
      <c r="AY256" t="inlineStr">
        <is>
          <t>☆</t>
        </is>
      </c>
      <c r="AZ256" t="inlineStr">
        <is>
          <t>☆</t>
        </is>
      </c>
      <c r="BA256" t="inlineStr">
        <is>
          <t>☆</t>
        </is>
      </c>
      <c r="BB256" t="inlineStr">
        <is>
          <t>☆</t>
        </is>
      </c>
      <c r="BC256" t="inlineStr">
        <is>
          <t>☆</t>
        </is>
      </c>
      <c r="BD256" t="inlineStr">
        <is>
          <t>☆</t>
        </is>
      </c>
      <c r="BE256" t="inlineStr">
        <is>
          <t>☆</t>
        </is>
      </c>
      <c r="BF256" t="inlineStr">
        <is>
          <t>☆</t>
        </is>
      </c>
      <c r="BG256" t="inlineStr">
        <is>
          <t>☆</t>
        </is>
      </c>
      <c r="BH256" t="inlineStr">
        <is>
          <t>☆</t>
        </is>
      </c>
      <c r="BI256" t="inlineStr">
        <is>
          <t>☆</t>
        </is>
      </c>
      <c r="BJ256" t="inlineStr">
        <is>
          <t>☆</t>
        </is>
      </c>
      <c r="BK256" t="inlineStr">
        <is>
          <t>☆</t>
        </is>
      </c>
      <c r="BL256" t="inlineStr">
        <is>
          <t>☆</t>
        </is>
      </c>
      <c r="BM256" t="inlineStr">
        <is>
          <t>☆</t>
        </is>
      </c>
      <c r="BN256" t="inlineStr">
        <is>
          <t>☆</t>
        </is>
      </c>
      <c r="BO256" t="inlineStr">
        <is>
          <t>☆</t>
        </is>
      </c>
      <c r="BP256" t="inlineStr">
        <is>
          <t>☆</t>
        </is>
      </c>
      <c r="BQ256" t="inlineStr">
        <is>
          <t>☆</t>
        </is>
      </c>
      <c r="BR256"/>
      <c r="BS256" t="inlineStr">
        <is>
          <t>#VALUE!</t>
        </is>
      </c>
    </row>
    <row r="257" ht="25.5" customHeight="1">
      <c r="A257" t="inlineStr">
        <is>
          <t>BE</t>
        </is>
      </c>
      <c r="B257" t="inlineStr">
        <is>
          <t>R0001EU</t>
        </is>
      </c>
      <c r="C257" t="inlineStr">
        <is>
          <t>R0003EU</t>
        </is>
      </c>
      <c r="D257" t="inlineStr">
        <is>
          <t>B2-1(PRO)比利时</t>
        </is>
      </c>
      <c r="E257">
        <v>10.3</v>
      </c>
      <c r="F257">
        <v>14.99</v>
      </c>
      <c r="G257"/>
      <c r="H257"/>
      <c r="I257"/>
      <c r="J257"/>
      <c r="K257"/>
      <c r="L257"/>
      <c r="M257"/>
      <c r="N257"/>
      <c r="O257"/>
      <c r="P257">
        <v>48</v>
      </c>
      <c r="Q257">
        <v>8</v>
      </c>
      <c r="R257"/>
      <c r="S257"/>
      <c r="T257"/>
      <c r="U257">
        <v>0.01</v>
      </c>
      <c r="V257"/>
      <c r="W257"/>
      <c r="X257">
        <v>0.188</v>
      </c>
      <c r="Y257">
        <v>2.5</v>
      </c>
      <c r="Z257"/>
      <c r="AA257"/>
      <c r="AB257"/>
      <c r="AC257">
        <v>17.8</v>
      </c>
      <c r="AD257"/>
      <c r="AE257"/>
      <c r="AF257"/>
      <c r="AG257"/>
      <c r="AH257">
        <v>4</v>
      </c>
      <c r="AI257"/>
      <c r="AJ257"/>
      <c r="AK257"/>
      <c r="AL257"/>
      <c r="AM257"/>
      <c r="AN257"/>
      <c r="AO257"/>
      <c r="AP257"/>
      <c r="AQ257"/>
      <c r="AR257"/>
      <c r="AS257"/>
      <c r="AT257" t="inlineStr">
        <is>
          <t>☆</t>
        </is>
      </c>
      <c r="AU257" t="inlineStr">
        <is>
          <t>☆</t>
        </is>
      </c>
      <c r="AV257" t="inlineStr">
        <is>
          <t>☆</t>
        </is>
      </c>
      <c r="AW257" t="inlineStr">
        <is>
          <t>☆</t>
        </is>
      </c>
      <c r="AX257" t="inlineStr">
        <is>
          <t>☆</t>
        </is>
      </c>
      <c r="AY257" t="inlineStr">
        <is>
          <t>☆</t>
        </is>
      </c>
      <c r="AZ257" t="inlineStr">
        <is>
          <t>☆</t>
        </is>
      </c>
      <c r="BA257" t="inlineStr">
        <is>
          <t>☆</t>
        </is>
      </c>
      <c r="BB257" t="inlineStr">
        <is>
          <t>☆</t>
        </is>
      </c>
      <c r="BC257" t="inlineStr">
        <is>
          <t>☆</t>
        </is>
      </c>
      <c r="BD257" t="inlineStr">
        <is>
          <t>☆</t>
        </is>
      </c>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t>
        </is>
      </c>
      <c r="BQ257" t="inlineStr">
        <is>
          <t>☆</t>
        </is>
      </c>
      <c r="BR257"/>
      <c r="BS257" t="inlineStr">
        <is>
          <t>#VALUE!</t>
        </is>
      </c>
    </row>
    <row r="258" ht="25.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row>
    <row r="259" ht="25.5" customHeight="1">
      <c r="A259" t="inlineStr">
        <is>
          <t>UK</t>
        </is>
      </c>
      <c r="B259" t="inlineStr">
        <is>
          <t>R0001EU</t>
        </is>
      </c>
      <c r="C259" t="inlineStr">
        <is>
          <t>R0005EU</t>
        </is>
      </c>
      <c r="D259" t="inlineStr">
        <is>
          <t>B3-1(MAX)(coupon-0%）</t>
        </is>
      </c>
      <c r="E259">
        <v>11</v>
      </c>
      <c r="F259">
        <v>15.99</v>
      </c>
      <c r="G259"/>
      <c r="H259"/>
      <c r="I259"/>
      <c r="J259"/>
      <c r="K259"/>
      <c r="L259"/>
      <c r="M259"/>
      <c r="N259"/>
      <c r="O259"/>
      <c r="P259">
        <v>60</v>
      </c>
      <c r="Q259">
        <v>9</v>
      </c>
      <c r="R259"/>
      <c r="S259"/>
      <c r="T259"/>
      <c r="U259">
        <v>0.01</v>
      </c>
      <c r="V259"/>
      <c r="W259"/>
      <c r="X259">
        <v>0.178</v>
      </c>
      <c r="Y259">
        <v>3</v>
      </c>
      <c r="Z259">
        <v>0</v>
      </c>
      <c r="AA259"/>
      <c r="AB259"/>
      <c r="AC259">
        <v>24.5</v>
      </c>
      <c r="AD259"/>
      <c r="AE259"/>
      <c r="AF259"/>
      <c r="AG259"/>
      <c r="AH259">
        <v>4</v>
      </c>
      <c r="AI259"/>
      <c r="AJ259"/>
      <c r="AK259"/>
      <c r="AL259"/>
      <c r="AM259"/>
      <c r="AN259"/>
      <c r="AO259"/>
      <c r="AP259"/>
      <c r="AQ259"/>
      <c r="AR259"/>
      <c r="AS259"/>
      <c r="AT259" t="inlineStr">
        <is>
          <t>☆</t>
        </is>
      </c>
      <c r="AU259" t="inlineStr">
        <is>
          <t>☆</t>
        </is>
      </c>
      <c r="AV259" t="inlineStr">
        <is>
          <t>☆</t>
        </is>
      </c>
      <c r="AW259" t="inlineStr">
        <is>
          <t>☆</t>
        </is>
      </c>
      <c r="AX259" t="inlineStr">
        <is>
          <t>☆</t>
        </is>
      </c>
      <c r="AY259" t="inlineStr">
        <is>
          <t>☆</t>
        </is>
      </c>
      <c r="AZ259" t="inlineStr">
        <is>
          <t>☆</t>
        </is>
      </c>
      <c r="BA259" t="inlineStr">
        <is>
          <t>☆</t>
        </is>
      </c>
      <c r="BB259" t="inlineStr">
        <is>
          <t>☆</t>
        </is>
      </c>
      <c r="BC259" t="inlineStr">
        <is>
          <t>☆</t>
        </is>
      </c>
      <c r="BD259" t="inlineStr">
        <is>
          <t>☆</t>
        </is>
      </c>
      <c r="BE259" t="inlineStr">
        <is>
          <t>☆</t>
        </is>
      </c>
      <c r="BF259" t="inlineStr">
        <is>
          <t>☆</t>
        </is>
      </c>
      <c r="BG259" t="inlineStr">
        <is>
          <t>☆</t>
        </is>
      </c>
      <c r="BH259" t="inlineStr">
        <is>
          <t>☆</t>
        </is>
      </c>
      <c r="BI259" t="inlineStr">
        <is>
          <t>☆</t>
        </is>
      </c>
      <c r="BJ259" t="inlineStr">
        <is>
          <t>☆</t>
        </is>
      </c>
      <c r="BK259" t="inlineStr">
        <is>
          <t>☆</t>
        </is>
      </c>
      <c r="BL259" t="inlineStr">
        <is>
          <t>☆</t>
        </is>
      </c>
      <c r="BM259" t="inlineStr">
        <is>
          <t>☆</t>
        </is>
      </c>
      <c r="BN259" t="inlineStr">
        <is>
          <t>☆</t>
        </is>
      </c>
      <c r="BO259" t="inlineStr">
        <is>
          <t>☆</t>
        </is>
      </c>
      <c r="BP259" t="inlineStr">
        <is>
          <t>☆</t>
        </is>
      </c>
      <c r="BQ259" t="inlineStr">
        <is>
          <t>☆</t>
        </is>
      </c>
      <c r="BR259"/>
      <c r="BS259" t="inlineStr">
        <is>
          <t>#VALUE!</t>
        </is>
      </c>
    </row>
    <row r="260" ht="25.5" customHeight="1">
      <c r="A260" t="inlineStr">
        <is>
          <t>UK</t>
        </is>
      </c>
      <c r="B260" t="inlineStr">
        <is>
          <t>R0001EU</t>
        </is>
      </c>
      <c r="C260" t="inlineStr">
        <is>
          <t>R0005EU</t>
        </is>
      </c>
      <c r="D260" t="inlineStr">
        <is>
          <t>B3-1(MAX)(coupon-10%）</t>
        </is>
      </c>
      <c r="E260">
        <v>11</v>
      </c>
      <c r="F260">
        <v>15.99</v>
      </c>
      <c r="G260"/>
      <c r="H260"/>
      <c r="I260"/>
      <c r="J260"/>
      <c r="K260"/>
      <c r="L260"/>
      <c r="M260"/>
      <c r="N260"/>
      <c r="O260"/>
      <c r="P260">
        <v>60</v>
      </c>
      <c r="Q260">
        <v>9</v>
      </c>
      <c r="R260"/>
      <c r="S260"/>
      <c r="T260"/>
      <c r="U260">
        <v>0.01</v>
      </c>
      <c r="V260"/>
      <c r="W260"/>
      <c r="X260">
        <v>0.178</v>
      </c>
      <c r="Y260">
        <v>3</v>
      </c>
      <c r="Z260"/>
      <c r="AA260"/>
      <c r="AB260"/>
      <c r="AC260">
        <v>24.5</v>
      </c>
      <c r="AD260"/>
      <c r="AE260"/>
      <c r="AF260"/>
      <c r="AG260"/>
      <c r="AH260">
        <v>4</v>
      </c>
      <c r="AI260"/>
      <c r="AJ260"/>
      <c r="AK260"/>
      <c r="AL260"/>
      <c r="AM260"/>
      <c r="AN260"/>
      <c r="AO260"/>
      <c r="AP260"/>
      <c r="AQ260"/>
      <c r="AR260"/>
      <c r="AS260"/>
      <c r="AT260" t="inlineStr">
        <is>
          <t>☆</t>
        </is>
      </c>
      <c r="AU260" t="inlineStr">
        <is>
          <t>☆</t>
        </is>
      </c>
      <c r="AV260" t="inlineStr">
        <is>
          <t>☆</t>
        </is>
      </c>
      <c r="AW260" t="inlineStr">
        <is>
          <t>☆</t>
        </is>
      </c>
      <c r="AX260" t="inlineStr">
        <is>
          <t>☆</t>
        </is>
      </c>
      <c r="AY260" t="inlineStr">
        <is>
          <t>☆</t>
        </is>
      </c>
      <c r="AZ260" t="inlineStr">
        <is>
          <t>☆</t>
        </is>
      </c>
      <c r="BA260" t="inlineStr">
        <is>
          <t>☆</t>
        </is>
      </c>
      <c r="BB260" t="inlineStr">
        <is>
          <t>☆</t>
        </is>
      </c>
      <c r="BC260" t="inlineStr">
        <is>
          <t>☆</t>
        </is>
      </c>
      <c r="BD260" t="inlineStr">
        <is>
          <t>☆</t>
        </is>
      </c>
      <c r="BE260" t="inlineStr">
        <is>
          <t>☆</t>
        </is>
      </c>
      <c r="BF260" t="inlineStr">
        <is>
          <t>☆</t>
        </is>
      </c>
      <c r="BG260" t="inlineStr">
        <is>
          <t>☆</t>
        </is>
      </c>
      <c r="BH260" t="inlineStr">
        <is>
          <t>☆</t>
        </is>
      </c>
      <c r="BI260" t="inlineStr">
        <is>
          <t>☆</t>
        </is>
      </c>
      <c r="BJ260" t="inlineStr">
        <is>
          <t>☆</t>
        </is>
      </c>
      <c r="BK260" t="inlineStr">
        <is>
          <t>☆</t>
        </is>
      </c>
      <c r="BL260" t="inlineStr">
        <is>
          <t>☆</t>
        </is>
      </c>
      <c r="BM260" t="inlineStr">
        <is>
          <t>☆</t>
        </is>
      </c>
      <c r="BN260" t="inlineStr">
        <is>
          <t>☆</t>
        </is>
      </c>
      <c r="BO260" t="inlineStr">
        <is>
          <t>☆</t>
        </is>
      </c>
      <c r="BP260" t="inlineStr">
        <is>
          <t>☆</t>
        </is>
      </c>
      <c r="BQ260" t="inlineStr">
        <is>
          <t>☆</t>
        </is>
      </c>
      <c r="BR260"/>
      <c r="BS260" t="inlineStr">
        <is>
          <t>#VALUE!</t>
        </is>
      </c>
    </row>
    <row r="261" ht="25.5" customHeight="1">
      <c r="A261" t="inlineStr">
        <is>
          <t>UK</t>
        </is>
      </c>
      <c r="B261" t="inlineStr">
        <is>
          <t>R0001EU</t>
        </is>
      </c>
      <c r="C261" t="inlineStr">
        <is>
          <t>R0005EU</t>
        </is>
      </c>
      <c r="D261" t="inlineStr">
        <is>
          <t>B3-1(MAX)(coupon-15%）</t>
        </is>
      </c>
      <c r="E261">
        <v>11</v>
      </c>
      <c r="F261">
        <v>15.99</v>
      </c>
      <c r="G261"/>
      <c r="H261"/>
      <c r="I261"/>
      <c r="J261"/>
      <c r="K261"/>
      <c r="L261"/>
      <c r="M261"/>
      <c r="N261"/>
      <c r="O261"/>
      <c r="P261">
        <v>60</v>
      </c>
      <c r="Q261">
        <v>9</v>
      </c>
      <c r="R261"/>
      <c r="S261"/>
      <c r="T261"/>
      <c r="U261">
        <v>0.01</v>
      </c>
      <c r="V261"/>
      <c r="W261"/>
      <c r="X261">
        <v>0.178</v>
      </c>
      <c r="Y261">
        <v>3</v>
      </c>
      <c r="Z261"/>
      <c r="AA261"/>
      <c r="AB261"/>
      <c r="AC261">
        <v>24.5</v>
      </c>
      <c r="AD261"/>
      <c r="AE261"/>
      <c r="AF261"/>
      <c r="AG261"/>
      <c r="AH261">
        <v>4</v>
      </c>
      <c r="AI261"/>
      <c r="AJ261"/>
      <c r="AK261"/>
      <c r="AL261"/>
      <c r="AM261"/>
      <c r="AN261"/>
      <c r="AO261"/>
      <c r="AP261"/>
      <c r="AQ261"/>
      <c r="AR261"/>
      <c r="AS261"/>
      <c r="AT261" t="inlineStr">
        <is>
          <t>☆</t>
        </is>
      </c>
      <c r="AU261" t="inlineStr">
        <is>
          <t>☆</t>
        </is>
      </c>
      <c r="AV261" t="inlineStr">
        <is>
          <t>☆</t>
        </is>
      </c>
      <c r="AW261" t="inlineStr">
        <is>
          <t>☆</t>
        </is>
      </c>
      <c r="AX261" t="inlineStr">
        <is>
          <t>☆</t>
        </is>
      </c>
      <c r="AY261" t="inlineStr">
        <is>
          <t>☆</t>
        </is>
      </c>
      <c r="AZ261" t="inlineStr">
        <is>
          <t>☆</t>
        </is>
      </c>
      <c r="BA261" t="inlineStr">
        <is>
          <t>☆</t>
        </is>
      </c>
      <c r="BB261" t="inlineStr">
        <is>
          <t>☆</t>
        </is>
      </c>
      <c r="BC261" t="inlineStr">
        <is>
          <t>☆</t>
        </is>
      </c>
      <c r="BD261" t="inlineStr">
        <is>
          <t>☆</t>
        </is>
      </c>
      <c r="BE261" t="inlineStr">
        <is>
          <t>☆</t>
        </is>
      </c>
      <c r="BF261" t="inlineStr">
        <is>
          <t>☆</t>
        </is>
      </c>
      <c r="BG261" t="inlineStr">
        <is>
          <t>☆</t>
        </is>
      </c>
      <c r="BH261" t="inlineStr">
        <is>
          <t>☆</t>
        </is>
      </c>
      <c r="BI261" t="inlineStr">
        <is>
          <t>☆</t>
        </is>
      </c>
      <c r="BJ261" t="inlineStr">
        <is>
          <t>☆</t>
        </is>
      </c>
      <c r="BK261" t="inlineStr">
        <is>
          <t>☆</t>
        </is>
      </c>
      <c r="BL261" t="inlineStr">
        <is>
          <t>☆</t>
        </is>
      </c>
      <c r="BM261" t="inlineStr">
        <is>
          <t>☆</t>
        </is>
      </c>
      <c r="BN261" t="inlineStr">
        <is>
          <t>☆</t>
        </is>
      </c>
      <c r="BO261" t="inlineStr">
        <is>
          <t>☆</t>
        </is>
      </c>
      <c r="BP261" t="inlineStr">
        <is>
          <t>☆</t>
        </is>
      </c>
      <c r="BQ261" t="inlineStr">
        <is>
          <t>☆</t>
        </is>
      </c>
      <c r="BR261"/>
      <c r="BS261" t="inlineStr">
        <is>
          <t>#VALUE!</t>
        </is>
      </c>
    </row>
    <row r="262" ht="25.5" customHeight="1">
      <c r="A262" t="inlineStr">
        <is>
          <t>DE</t>
        </is>
      </c>
      <c r="B262" t="inlineStr">
        <is>
          <t>R0001EU</t>
        </is>
      </c>
      <c r="C262" t="inlineStr">
        <is>
          <t>R0005EU</t>
        </is>
      </c>
      <c r="D262" t="inlineStr">
        <is>
          <t>B3-1(MAX)(coupon-0%）</t>
        </is>
      </c>
      <c r="E262">
        <v>11.7</v>
      </c>
      <c r="F262">
        <v>16.99</v>
      </c>
      <c r="G262"/>
      <c r="H262"/>
      <c r="I262"/>
      <c r="J262"/>
      <c r="K262"/>
      <c r="L262"/>
      <c r="M262"/>
      <c r="N262"/>
      <c r="O262"/>
      <c r="P262">
        <v>60</v>
      </c>
      <c r="Q262">
        <v>8</v>
      </c>
      <c r="R262"/>
      <c r="S262"/>
      <c r="T262"/>
      <c r="U262">
        <v>0.01</v>
      </c>
      <c r="V262"/>
      <c r="W262"/>
      <c r="X262">
        <v>0.188</v>
      </c>
      <c r="Y262">
        <v>3</v>
      </c>
      <c r="Z262">
        <v>0</v>
      </c>
      <c r="AA262"/>
      <c r="AB262"/>
      <c r="AC262">
        <v>24.5</v>
      </c>
      <c r="AD262"/>
      <c r="AE262"/>
      <c r="AF262"/>
      <c r="AG262"/>
      <c r="AH262">
        <v>4</v>
      </c>
      <c r="AI262"/>
      <c r="AJ262"/>
      <c r="AK262"/>
      <c r="AL262"/>
      <c r="AM262"/>
      <c r="AN262"/>
      <c r="AO262"/>
      <c r="AP262"/>
      <c r="AQ262"/>
      <c r="AR262"/>
      <c r="AS262"/>
      <c r="AT262" t="inlineStr">
        <is>
          <t>☆</t>
        </is>
      </c>
      <c r="AU262" t="inlineStr">
        <is>
          <t>☆</t>
        </is>
      </c>
      <c r="AV262" t="inlineStr">
        <is>
          <t>☆</t>
        </is>
      </c>
      <c r="AW262" t="inlineStr">
        <is>
          <t>☆</t>
        </is>
      </c>
      <c r="AX262" t="inlineStr">
        <is>
          <t>☆</t>
        </is>
      </c>
      <c r="AY262" t="inlineStr">
        <is>
          <t>☆</t>
        </is>
      </c>
      <c r="AZ262" t="inlineStr">
        <is>
          <t>☆</t>
        </is>
      </c>
      <c r="BA262" t="inlineStr">
        <is>
          <t>☆</t>
        </is>
      </c>
      <c r="BB262" t="inlineStr">
        <is>
          <t>☆</t>
        </is>
      </c>
      <c r="BC262" t="inlineStr">
        <is>
          <t>☆</t>
        </is>
      </c>
      <c r="BD262" t="inlineStr">
        <is>
          <t>☆</t>
        </is>
      </c>
      <c r="BE262" t="inlineStr">
        <is>
          <t>☆</t>
        </is>
      </c>
      <c r="BF262" t="inlineStr">
        <is>
          <t>☆</t>
        </is>
      </c>
      <c r="BG262" t="inlineStr">
        <is>
          <t>☆</t>
        </is>
      </c>
      <c r="BH262" t="inlineStr">
        <is>
          <t>☆</t>
        </is>
      </c>
      <c r="BI262" t="inlineStr">
        <is>
          <t>☆</t>
        </is>
      </c>
      <c r="BJ262" t="inlineStr">
        <is>
          <t>☆</t>
        </is>
      </c>
      <c r="BK262" t="inlineStr">
        <is>
          <t>☆</t>
        </is>
      </c>
      <c r="BL262" t="inlineStr">
        <is>
          <t>☆</t>
        </is>
      </c>
      <c r="BM262" t="inlineStr">
        <is>
          <t>☆</t>
        </is>
      </c>
      <c r="BN262" t="inlineStr">
        <is>
          <t>☆</t>
        </is>
      </c>
      <c r="BO262" t="inlineStr">
        <is>
          <t>☆</t>
        </is>
      </c>
      <c r="BP262" t="inlineStr">
        <is>
          <t>☆</t>
        </is>
      </c>
      <c r="BQ262" t="inlineStr">
        <is>
          <t>☆</t>
        </is>
      </c>
      <c r="BR262"/>
      <c r="BS262" t="inlineStr">
        <is>
          <t>#VALUE!</t>
        </is>
      </c>
    </row>
    <row r="263" ht="25.5" customHeight="1">
      <c r="A263" t="inlineStr">
        <is>
          <t>DE</t>
        </is>
      </c>
      <c r="B263" t="inlineStr">
        <is>
          <t>R0001EU</t>
        </is>
      </c>
      <c r="C263" t="inlineStr">
        <is>
          <t>R0005EU</t>
        </is>
      </c>
      <c r="D263" t="inlineStr">
        <is>
          <t>B3-1(MAX)(coupon-10%）</t>
        </is>
      </c>
      <c r="E263">
        <v>11.7</v>
      </c>
      <c r="F263">
        <v>16.99</v>
      </c>
      <c r="G263"/>
      <c r="H263"/>
      <c r="I263"/>
      <c r="J263"/>
      <c r="K263"/>
      <c r="L263"/>
      <c r="M263"/>
      <c r="N263"/>
      <c r="O263"/>
      <c r="P263">
        <v>60</v>
      </c>
      <c r="Q263">
        <v>8</v>
      </c>
      <c r="R263"/>
      <c r="S263"/>
      <c r="T263"/>
      <c r="U263">
        <v>0.01</v>
      </c>
      <c r="V263"/>
      <c r="W263"/>
      <c r="X263">
        <v>0.188</v>
      </c>
      <c r="Y263">
        <v>3</v>
      </c>
      <c r="Z263"/>
      <c r="AA263"/>
      <c r="AB263"/>
      <c r="AC263">
        <v>24.5</v>
      </c>
      <c r="AD263"/>
      <c r="AE263"/>
      <c r="AF263"/>
      <c r="AG263"/>
      <c r="AH263">
        <v>4</v>
      </c>
      <c r="AI263"/>
      <c r="AJ263"/>
      <c r="AK263"/>
      <c r="AL263"/>
      <c r="AM263"/>
      <c r="AN263"/>
      <c r="AO263"/>
      <c r="AP263"/>
      <c r="AQ263"/>
      <c r="AR263"/>
      <c r="AS263"/>
      <c r="AT263" t="inlineStr">
        <is>
          <t>☆</t>
        </is>
      </c>
      <c r="AU263" t="inlineStr">
        <is>
          <t>☆</t>
        </is>
      </c>
      <c r="AV263" t="inlineStr">
        <is>
          <t>☆</t>
        </is>
      </c>
      <c r="AW263" t="inlineStr">
        <is>
          <t>☆</t>
        </is>
      </c>
      <c r="AX263" t="inlineStr">
        <is>
          <t>☆</t>
        </is>
      </c>
      <c r="AY263" t="inlineStr">
        <is>
          <t>☆</t>
        </is>
      </c>
      <c r="AZ263" t="inlineStr">
        <is>
          <t>☆</t>
        </is>
      </c>
      <c r="BA263" t="inlineStr">
        <is>
          <t>☆</t>
        </is>
      </c>
      <c r="BB263" t="inlineStr">
        <is>
          <t>☆</t>
        </is>
      </c>
      <c r="BC263" t="inlineStr">
        <is>
          <t>☆</t>
        </is>
      </c>
      <c r="BD263" t="inlineStr">
        <is>
          <t>☆</t>
        </is>
      </c>
      <c r="BE263" t="inlineStr">
        <is>
          <t>☆</t>
        </is>
      </c>
      <c r="BF263" t="inlineStr">
        <is>
          <t>☆</t>
        </is>
      </c>
      <c r="BG263" t="inlineStr">
        <is>
          <t>☆</t>
        </is>
      </c>
      <c r="BH263" t="inlineStr">
        <is>
          <t>☆</t>
        </is>
      </c>
      <c r="BI263" t="inlineStr">
        <is>
          <t>☆</t>
        </is>
      </c>
      <c r="BJ263" t="inlineStr">
        <is>
          <t>☆</t>
        </is>
      </c>
      <c r="BK263" t="inlineStr">
        <is>
          <t>☆</t>
        </is>
      </c>
      <c r="BL263" t="inlineStr">
        <is>
          <t>☆</t>
        </is>
      </c>
      <c r="BM263" t="inlineStr">
        <is>
          <t>☆</t>
        </is>
      </c>
      <c r="BN263" t="inlineStr">
        <is>
          <t>☆</t>
        </is>
      </c>
      <c r="BO263" t="inlineStr">
        <is>
          <t>☆</t>
        </is>
      </c>
      <c r="BP263" t="inlineStr">
        <is>
          <t>☆</t>
        </is>
      </c>
      <c r="BQ263" t="inlineStr">
        <is>
          <t>☆</t>
        </is>
      </c>
      <c r="BR263"/>
      <c r="BS263" t="inlineStr">
        <is>
          <t>#VALUE!</t>
        </is>
      </c>
    </row>
    <row r="264" ht="25.5" customHeight="1">
      <c r="A264" t="inlineStr">
        <is>
          <t>DE</t>
        </is>
      </c>
      <c r="B264" t="inlineStr">
        <is>
          <t>R0001EU</t>
        </is>
      </c>
      <c r="C264" t="inlineStr">
        <is>
          <t>R0005EU</t>
        </is>
      </c>
      <c r="D264" t="inlineStr">
        <is>
          <t>B3-1(MAX)(coupon-15%）</t>
        </is>
      </c>
      <c r="E264">
        <v>11.7</v>
      </c>
      <c r="F264">
        <v>16.99</v>
      </c>
      <c r="G264"/>
      <c r="H264"/>
      <c r="I264"/>
      <c r="J264"/>
      <c r="K264"/>
      <c r="L264"/>
      <c r="M264"/>
      <c r="N264"/>
      <c r="O264"/>
      <c r="P264">
        <v>60</v>
      </c>
      <c r="Q264">
        <v>8</v>
      </c>
      <c r="R264"/>
      <c r="S264"/>
      <c r="T264"/>
      <c r="U264">
        <v>0.01</v>
      </c>
      <c r="V264"/>
      <c r="W264"/>
      <c r="X264">
        <v>0.188</v>
      </c>
      <c r="Y264">
        <v>3</v>
      </c>
      <c r="Z264"/>
      <c r="AA264"/>
      <c r="AB264"/>
      <c r="AC264">
        <v>24.5</v>
      </c>
      <c r="AD264"/>
      <c r="AE264"/>
      <c r="AF264"/>
      <c r="AG264"/>
      <c r="AH264">
        <v>4</v>
      </c>
      <c r="AI264"/>
      <c r="AJ264"/>
      <c r="AK264"/>
      <c r="AL264"/>
      <c r="AM264"/>
      <c r="AN264"/>
      <c r="AO264"/>
      <c r="AP264"/>
      <c r="AQ264"/>
      <c r="AR264"/>
      <c r="AS264"/>
      <c r="AT264" t="inlineStr">
        <is>
          <t>☆</t>
        </is>
      </c>
      <c r="AU264" t="inlineStr">
        <is>
          <t>☆</t>
        </is>
      </c>
      <c r="AV264" t="inlineStr">
        <is>
          <t>☆</t>
        </is>
      </c>
      <c r="AW264" t="inlineStr">
        <is>
          <t>☆</t>
        </is>
      </c>
      <c r="AX264" t="inlineStr">
        <is>
          <t>☆</t>
        </is>
      </c>
      <c r="AY264" t="inlineStr">
        <is>
          <t>☆</t>
        </is>
      </c>
      <c r="AZ264" t="inlineStr">
        <is>
          <t>☆</t>
        </is>
      </c>
      <c r="BA264" t="inlineStr">
        <is>
          <t>☆</t>
        </is>
      </c>
      <c r="BB264" t="inlineStr">
        <is>
          <t>☆</t>
        </is>
      </c>
      <c r="BC264" t="inlineStr">
        <is>
          <t>☆</t>
        </is>
      </c>
      <c r="BD264" t="inlineStr">
        <is>
          <t>☆</t>
        </is>
      </c>
      <c r="BE264" t="inlineStr">
        <is>
          <t>☆</t>
        </is>
      </c>
      <c r="BF264" t="inlineStr">
        <is>
          <t>☆</t>
        </is>
      </c>
      <c r="BG264" t="inlineStr">
        <is>
          <t>☆</t>
        </is>
      </c>
      <c r="BH264" t="inlineStr">
        <is>
          <t>☆</t>
        </is>
      </c>
      <c r="BI264" t="inlineStr">
        <is>
          <t>☆</t>
        </is>
      </c>
      <c r="BJ264" t="inlineStr">
        <is>
          <t>☆</t>
        </is>
      </c>
      <c r="BK264" t="inlineStr">
        <is>
          <t>☆</t>
        </is>
      </c>
      <c r="BL264" t="inlineStr">
        <is>
          <t>☆</t>
        </is>
      </c>
      <c r="BM264" t="inlineStr">
        <is>
          <t>☆</t>
        </is>
      </c>
      <c r="BN264" t="inlineStr">
        <is>
          <t>☆</t>
        </is>
      </c>
      <c r="BO264" t="inlineStr">
        <is>
          <t>☆</t>
        </is>
      </c>
      <c r="BP264" t="inlineStr">
        <is>
          <t>☆</t>
        </is>
      </c>
      <c r="BQ264" t="inlineStr">
        <is>
          <t>☆</t>
        </is>
      </c>
      <c r="BR264"/>
      <c r="BS264" t="inlineStr">
        <is>
          <t>#VALUE!</t>
        </is>
      </c>
    </row>
    <row r="265" ht="25.5" customHeight="1">
      <c r="A265" t="inlineStr">
        <is>
          <t>FR</t>
        </is>
      </c>
      <c r="B265" t="inlineStr">
        <is>
          <t>R0001EU</t>
        </is>
      </c>
      <c r="C265" t="inlineStr">
        <is>
          <t>R0005EU</t>
        </is>
      </c>
      <c r="D265" t="inlineStr">
        <is>
          <t>B3-1(MAX)(coupon-0%）</t>
        </is>
      </c>
      <c r="E265">
        <v>11.7</v>
      </c>
      <c r="F265">
        <v>16.99</v>
      </c>
      <c r="G265"/>
      <c r="H265"/>
      <c r="I265"/>
      <c r="J265"/>
      <c r="K265"/>
      <c r="L265"/>
      <c r="M265"/>
      <c r="N265"/>
      <c r="O265"/>
      <c r="P265">
        <v>60</v>
      </c>
      <c r="Q265">
        <v>8</v>
      </c>
      <c r="R265"/>
      <c r="S265"/>
      <c r="T265"/>
      <c r="U265">
        <v>0.01</v>
      </c>
      <c r="V265"/>
      <c r="W265"/>
      <c r="X265">
        <v>0.188</v>
      </c>
      <c r="Y265">
        <v>3</v>
      </c>
      <c r="Z265">
        <v>0</v>
      </c>
      <c r="AA265"/>
      <c r="AB265"/>
      <c r="AC265">
        <v>24.5</v>
      </c>
      <c r="AD265"/>
      <c r="AE265"/>
      <c r="AF265"/>
      <c r="AG265"/>
      <c r="AH265">
        <v>4</v>
      </c>
      <c r="AI265"/>
      <c r="AJ265"/>
      <c r="AK265"/>
      <c r="AL265"/>
      <c r="AM265"/>
      <c r="AN265"/>
      <c r="AO265"/>
      <c r="AP265"/>
      <c r="AQ265"/>
      <c r="AR265"/>
      <c r="AS265"/>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c r="BS265" t="inlineStr">
        <is>
          <t>#VALUE!</t>
        </is>
      </c>
    </row>
    <row r="266" ht="25.5" customHeight="1">
      <c r="A266" t="inlineStr">
        <is>
          <t>FR</t>
        </is>
      </c>
      <c r="B266" t="inlineStr">
        <is>
          <t>R0001EU</t>
        </is>
      </c>
      <c r="C266" t="inlineStr">
        <is>
          <t>R0005EU</t>
        </is>
      </c>
      <c r="D266" t="inlineStr">
        <is>
          <t>B3-1(MAX)(coupon-10%）</t>
        </is>
      </c>
      <c r="E266">
        <v>11.7</v>
      </c>
      <c r="F266">
        <v>16.99</v>
      </c>
      <c r="G266"/>
      <c r="H266"/>
      <c r="I266"/>
      <c r="J266"/>
      <c r="K266"/>
      <c r="L266"/>
      <c r="M266"/>
      <c r="N266"/>
      <c r="O266"/>
      <c r="P266">
        <v>60</v>
      </c>
      <c r="Q266">
        <v>8</v>
      </c>
      <c r="R266"/>
      <c r="S266"/>
      <c r="T266"/>
      <c r="U266">
        <v>0.01</v>
      </c>
      <c r="V266"/>
      <c r="W266"/>
      <c r="X266">
        <v>0.188</v>
      </c>
      <c r="Y266">
        <v>3</v>
      </c>
      <c r="Z266"/>
      <c r="AA266"/>
      <c r="AB266"/>
      <c r="AC266">
        <v>24.5</v>
      </c>
      <c r="AD266"/>
      <c r="AE266"/>
      <c r="AF266"/>
      <c r="AG266"/>
      <c r="AH266">
        <v>4</v>
      </c>
      <c r="AI266"/>
      <c r="AJ266"/>
      <c r="AK266"/>
      <c r="AL266"/>
      <c r="AM266"/>
      <c r="AN266"/>
      <c r="AO266"/>
      <c r="AP266"/>
      <c r="AQ266"/>
      <c r="AR266"/>
      <c r="AS266"/>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c r="BS266" t="inlineStr">
        <is>
          <t>#VALUE!</t>
        </is>
      </c>
    </row>
    <row r="267" ht="25.5" customHeight="1">
      <c r="A267" t="inlineStr">
        <is>
          <t>FR</t>
        </is>
      </c>
      <c r="B267" t="inlineStr">
        <is>
          <t>R0001EU</t>
        </is>
      </c>
      <c r="C267" t="inlineStr">
        <is>
          <t>R0005EU</t>
        </is>
      </c>
      <c r="D267" t="inlineStr">
        <is>
          <t>B3-1(MAX)(coupon-15%）</t>
        </is>
      </c>
      <c r="E267">
        <v>11.7</v>
      </c>
      <c r="F267">
        <v>16.99</v>
      </c>
      <c r="G267"/>
      <c r="H267"/>
      <c r="I267"/>
      <c r="J267"/>
      <c r="K267"/>
      <c r="L267"/>
      <c r="M267"/>
      <c r="N267"/>
      <c r="O267"/>
      <c r="P267">
        <v>60</v>
      </c>
      <c r="Q267">
        <v>8</v>
      </c>
      <c r="R267"/>
      <c r="S267"/>
      <c r="T267"/>
      <c r="U267">
        <v>0.01</v>
      </c>
      <c r="V267"/>
      <c r="W267"/>
      <c r="X267">
        <v>0.188</v>
      </c>
      <c r="Y267">
        <v>3</v>
      </c>
      <c r="Z267"/>
      <c r="AA267"/>
      <c r="AB267"/>
      <c r="AC267">
        <v>24.5</v>
      </c>
      <c r="AD267"/>
      <c r="AE267"/>
      <c r="AF267"/>
      <c r="AG267"/>
      <c r="AH267">
        <v>4</v>
      </c>
      <c r="AI267"/>
      <c r="AJ267"/>
      <c r="AK267"/>
      <c r="AL267"/>
      <c r="AM267"/>
      <c r="AN267"/>
      <c r="AO267"/>
      <c r="AP267"/>
      <c r="AQ267"/>
      <c r="AR267"/>
      <c r="AS267"/>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c r="BS267" t="inlineStr">
        <is>
          <t>#VALUE!</t>
        </is>
      </c>
    </row>
    <row r="268" ht="25.5" customHeight="1">
      <c r="A268" t="inlineStr">
        <is>
          <t>IT</t>
        </is>
      </c>
      <c r="B268" t="inlineStr">
        <is>
          <t>R0001EU</t>
        </is>
      </c>
      <c r="C268" t="inlineStr">
        <is>
          <t>R0005EU</t>
        </is>
      </c>
      <c r="D268" t="inlineStr">
        <is>
          <t>B3-1(MAX)(coupon-0%）</t>
        </is>
      </c>
      <c r="E268">
        <v>11.7</v>
      </c>
      <c r="F268">
        <v>16.99</v>
      </c>
      <c r="G268"/>
      <c r="H268"/>
      <c r="I268"/>
      <c r="J268"/>
      <c r="K268"/>
      <c r="L268"/>
      <c r="M268"/>
      <c r="N268"/>
      <c r="O268"/>
      <c r="P268">
        <v>60</v>
      </c>
      <c r="Q268">
        <v>8</v>
      </c>
      <c r="R268"/>
      <c r="S268"/>
      <c r="T268"/>
      <c r="U268">
        <v>0.01</v>
      </c>
      <c r="V268"/>
      <c r="W268"/>
      <c r="X268">
        <v>0.188</v>
      </c>
      <c r="Y268">
        <v>3</v>
      </c>
      <c r="Z268">
        <v>0</v>
      </c>
      <c r="AA268"/>
      <c r="AB268"/>
      <c r="AC268">
        <v>24.5</v>
      </c>
      <c r="AD268"/>
      <c r="AE268"/>
      <c r="AF268"/>
      <c r="AG268"/>
      <c r="AH268">
        <v>4</v>
      </c>
      <c r="AI268"/>
      <c r="AJ268"/>
      <c r="AK268"/>
      <c r="AL268"/>
      <c r="AM268"/>
      <c r="AN268"/>
      <c r="AO268"/>
      <c r="AP268"/>
      <c r="AQ268"/>
      <c r="AR268"/>
      <c r="AS268"/>
      <c r="AT268" t="inlineStr">
        <is>
          <t>☆</t>
        </is>
      </c>
      <c r="AU268" t="inlineStr">
        <is>
          <t>☆</t>
        </is>
      </c>
      <c r="AV268" t="inlineStr">
        <is>
          <t>☆</t>
        </is>
      </c>
      <c r="AW268" t="inlineStr">
        <is>
          <t>☆</t>
        </is>
      </c>
      <c r="AX268" t="inlineStr">
        <is>
          <t>☆</t>
        </is>
      </c>
      <c r="AY268" t="inlineStr">
        <is>
          <t>☆</t>
        </is>
      </c>
      <c r="AZ268" t="inlineStr">
        <is>
          <t>☆</t>
        </is>
      </c>
      <c r="BA268" t="inlineStr">
        <is>
          <t>☆</t>
        </is>
      </c>
      <c r="BB268" t="inlineStr">
        <is>
          <t>☆</t>
        </is>
      </c>
      <c r="BC268" t="inlineStr">
        <is>
          <t>☆</t>
        </is>
      </c>
      <c r="BD268" t="inlineStr">
        <is>
          <t>☆</t>
        </is>
      </c>
      <c r="BE268" t="inlineStr">
        <is>
          <t>☆</t>
        </is>
      </c>
      <c r="BF268" t="inlineStr">
        <is>
          <t>☆</t>
        </is>
      </c>
      <c r="BG268" t="inlineStr">
        <is>
          <t>☆</t>
        </is>
      </c>
      <c r="BH268" t="inlineStr">
        <is>
          <t>☆</t>
        </is>
      </c>
      <c r="BI268" t="inlineStr">
        <is>
          <t>☆</t>
        </is>
      </c>
      <c r="BJ268" t="inlineStr">
        <is>
          <t>☆</t>
        </is>
      </c>
      <c r="BK268" t="inlineStr">
        <is>
          <t>☆</t>
        </is>
      </c>
      <c r="BL268" t="inlineStr">
        <is>
          <t>☆</t>
        </is>
      </c>
      <c r="BM268" t="inlineStr">
        <is>
          <t>☆</t>
        </is>
      </c>
      <c r="BN268" t="inlineStr">
        <is>
          <t>☆</t>
        </is>
      </c>
      <c r="BO268" t="inlineStr">
        <is>
          <t>☆</t>
        </is>
      </c>
      <c r="BP268" t="inlineStr">
        <is>
          <t>☆</t>
        </is>
      </c>
      <c r="BQ268" t="inlineStr">
        <is>
          <t>☆</t>
        </is>
      </c>
      <c r="BR268"/>
      <c r="BS268" t="inlineStr">
        <is>
          <t>#VALUE!</t>
        </is>
      </c>
    </row>
    <row r="269" ht="25.5" customHeight="1">
      <c r="A269" t="inlineStr">
        <is>
          <t>IT</t>
        </is>
      </c>
      <c r="B269" t="inlineStr">
        <is>
          <t>R0001EU</t>
        </is>
      </c>
      <c r="C269" t="inlineStr">
        <is>
          <t>R0005EU</t>
        </is>
      </c>
      <c r="D269" t="inlineStr">
        <is>
          <t>B3-1(MAX)(coupon-10%）</t>
        </is>
      </c>
      <c r="E269">
        <v>11.7</v>
      </c>
      <c r="F269">
        <v>16.99</v>
      </c>
      <c r="G269"/>
      <c r="H269"/>
      <c r="I269"/>
      <c r="J269"/>
      <c r="K269"/>
      <c r="L269"/>
      <c r="M269"/>
      <c r="N269"/>
      <c r="O269"/>
      <c r="P269">
        <v>60</v>
      </c>
      <c r="Q269">
        <v>8</v>
      </c>
      <c r="R269"/>
      <c r="S269"/>
      <c r="T269"/>
      <c r="U269">
        <v>0.01</v>
      </c>
      <c r="V269"/>
      <c r="W269"/>
      <c r="X269">
        <v>0.188</v>
      </c>
      <c r="Y269">
        <v>3</v>
      </c>
      <c r="Z269"/>
      <c r="AA269"/>
      <c r="AB269"/>
      <c r="AC269">
        <v>24.5</v>
      </c>
      <c r="AD269"/>
      <c r="AE269"/>
      <c r="AF269"/>
      <c r="AG269"/>
      <c r="AH269">
        <v>4</v>
      </c>
      <c r="AI269"/>
      <c r="AJ269"/>
      <c r="AK269"/>
      <c r="AL269"/>
      <c r="AM269"/>
      <c r="AN269"/>
      <c r="AO269"/>
      <c r="AP269"/>
      <c r="AQ269"/>
      <c r="AR269"/>
      <c r="AS269"/>
      <c r="AT269" t="inlineStr">
        <is>
          <t>☆</t>
        </is>
      </c>
      <c r="AU269" t="inlineStr">
        <is>
          <t>☆</t>
        </is>
      </c>
      <c r="AV269" t="inlineStr">
        <is>
          <t>☆</t>
        </is>
      </c>
      <c r="AW269" t="inlineStr">
        <is>
          <t>☆</t>
        </is>
      </c>
      <c r="AX269" t="inlineStr">
        <is>
          <t>☆</t>
        </is>
      </c>
      <c r="AY269" t="inlineStr">
        <is>
          <t>☆</t>
        </is>
      </c>
      <c r="AZ269" t="inlineStr">
        <is>
          <t>☆</t>
        </is>
      </c>
      <c r="BA269" t="inlineStr">
        <is>
          <t>☆</t>
        </is>
      </c>
      <c r="BB269" t="inlineStr">
        <is>
          <t>☆</t>
        </is>
      </c>
      <c r="BC269" t="inlineStr">
        <is>
          <t>☆</t>
        </is>
      </c>
      <c r="BD269" t="inlineStr">
        <is>
          <t>☆</t>
        </is>
      </c>
      <c r="BE269" t="inlineStr">
        <is>
          <t>☆</t>
        </is>
      </c>
      <c r="BF269" t="inlineStr">
        <is>
          <t>☆</t>
        </is>
      </c>
      <c r="BG269" t="inlineStr">
        <is>
          <t>☆</t>
        </is>
      </c>
      <c r="BH269" t="inlineStr">
        <is>
          <t>☆</t>
        </is>
      </c>
      <c r="BI269" t="inlineStr">
        <is>
          <t>☆</t>
        </is>
      </c>
      <c r="BJ269" t="inlineStr">
        <is>
          <t>☆</t>
        </is>
      </c>
      <c r="BK269" t="inlineStr">
        <is>
          <t>☆</t>
        </is>
      </c>
      <c r="BL269" t="inlineStr">
        <is>
          <t>☆</t>
        </is>
      </c>
      <c r="BM269" t="inlineStr">
        <is>
          <t>☆</t>
        </is>
      </c>
      <c r="BN269" t="inlineStr">
        <is>
          <t>☆</t>
        </is>
      </c>
      <c r="BO269" t="inlineStr">
        <is>
          <t>☆</t>
        </is>
      </c>
      <c r="BP269" t="inlineStr">
        <is>
          <t>☆</t>
        </is>
      </c>
      <c r="BQ269" t="inlineStr">
        <is>
          <t>☆</t>
        </is>
      </c>
      <c r="BR269"/>
      <c r="BS269" t="inlineStr">
        <is>
          <t>#VALUE!</t>
        </is>
      </c>
    </row>
    <row r="270" ht="25.5" customHeight="1">
      <c r="A270" t="inlineStr">
        <is>
          <t>IT</t>
        </is>
      </c>
      <c r="B270" t="inlineStr">
        <is>
          <t>R0001EU</t>
        </is>
      </c>
      <c r="C270" t="inlineStr">
        <is>
          <t>R0005EU</t>
        </is>
      </c>
      <c r="D270" t="inlineStr">
        <is>
          <t>B3-1(MAX)(coupon-15%）</t>
        </is>
      </c>
      <c r="E270">
        <v>11.7</v>
      </c>
      <c r="F270">
        <v>16.99</v>
      </c>
      <c r="G270"/>
      <c r="H270"/>
      <c r="I270"/>
      <c r="J270"/>
      <c r="K270"/>
      <c r="L270"/>
      <c r="M270"/>
      <c r="N270"/>
      <c r="O270"/>
      <c r="P270">
        <v>60</v>
      </c>
      <c r="Q270">
        <v>8</v>
      </c>
      <c r="R270"/>
      <c r="S270"/>
      <c r="T270"/>
      <c r="U270">
        <v>0.01</v>
      </c>
      <c r="V270"/>
      <c r="W270"/>
      <c r="X270">
        <v>0.188</v>
      </c>
      <c r="Y270">
        <v>3</v>
      </c>
      <c r="Z270"/>
      <c r="AA270"/>
      <c r="AB270"/>
      <c r="AC270">
        <v>24.5</v>
      </c>
      <c r="AD270"/>
      <c r="AE270"/>
      <c r="AF270"/>
      <c r="AG270"/>
      <c r="AH270">
        <v>4</v>
      </c>
      <c r="AI270"/>
      <c r="AJ270"/>
      <c r="AK270"/>
      <c r="AL270"/>
      <c r="AM270"/>
      <c r="AN270"/>
      <c r="AO270"/>
      <c r="AP270"/>
      <c r="AQ270"/>
      <c r="AR270"/>
      <c r="AS270"/>
      <c r="AT270" t="inlineStr">
        <is>
          <t>☆</t>
        </is>
      </c>
      <c r="AU270" t="inlineStr">
        <is>
          <t>☆</t>
        </is>
      </c>
      <c r="AV270" t="inlineStr">
        <is>
          <t>☆</t>
        </is>
      </c>
      <c r="AW270" t="inlineStr">
        <is>
          <t>☆</t>
        </is>
      </c>
      <c r="AX270" t="inlineStr">
        <is>
          <t>☆</t>
        </is>
      </c>
      <c r="AY270" t="inlineStr">
        <is>
          <t>☆</t>
        </is>
      </c>
      <c r="AZ270" t="inlineStr">
        <is>
          <t>☆</t>
        </is>
      </c>
      <c r="BA270" t="inlineStr">
        <is>
          <t>☆</t>
        </is>
      </c>
      <c r="BB270" t="inlineStr">
        <is>
          <t>☆</t>
        </is>
      </c>
      <c r="BC270" t="inlineStr">
        <is>
          <t>☆</t>
        </is>
      </c>
      <c r="BD270" t="inlineStr">
        <is>
          <t>☆</t>
        </is>
      </c>
      <c r="BE270" t="inlineStr">
        <is>
          <t>☆</t>
        </is>
      </c>
      <c r="BF270" t="inlineStr">
        <is>
          <t>☆</t>
        </is>
      </c>
      <c r="BG270" t="inlineStr">
        <is>
          <t>☆</t>
        </is>
      </c>
      <c r="BH270" t="inlineStr">
        <is>
          <t>☆</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c r="BS270" t="inlineStr">
        <is>
          <t>#VALUE!</t>
        </is>
      </c>
    </row>
    <row r="271" ht="25.5" customHeight="1">
      <c r="A271" t="inlineStr">
        <is>
          <t>ES</t>
        </is>
      </c>
      <c r="B271" t="inlineStr">
        <is>
          <t>R0001EU</t>
        </is>
      </c>
      <c r="C271" t="inlineStr">
        <is>
          <t>R0005EU</t>
        </is>
      </c>
      <c r="D271" t="inlineStr">
        <is>
          <t>B3-1(MAX)(coupon-0%）</t>
        </is>
      </c>
      <c r="E271">
        <v>11.7</v>
      </c>
      <c r="F271">
        <v>16.99</v>
      </c>
      <c r="G271"/>
      <c r="H271"/>
      <c r="I271"/>
      <c r="J271"/>
      <c r="K271"/>
      <c r="L271"/>
      <c r="M271"/>
      <c r="N271"/>
      <c r="O271"/>
      <c r="P271">
        <v>60</v>
      </c>
      <c r="Q271">
        <v>8</v>
      </c>
      <c r="R271"/>
      <c r="S271"/>
      <c r="T271"/>
      <c r="U271">
        <v>0.01</v>
      </c>
      <c r="V271"/>
      <c r="W271"/>
      <c r="X271">
        <v>0.188</v>
      </c>
      <c r="Y271">
        <v>3</v>
      </c>
      <c r="Z271">
        <v>0</v>
      </c>
      <c r="AA271"/>
      <c r="AB271"/>
      <c r="AC271">
        <v>24.5</v>
      </c>
      <c r="AD271"/>
      <c r="AE271"/>
      <c r="AF271"/>
      <c r="AG271"/>
      <c r="AH271">
        <v>4</v>
      </c>
      <c r="AI271"/>
      <c r="AJ271"/>
      <c r="AK271"/>
      <c r="AL271"/>
      <c r="AM271"/>
      <c r="AN271"/>
      <c r="AO271"/>
      <c r="AP271"/>
      <c r="AQ271"/>
      <c r="AR271"/>
      <c r="AS271"/>
      <c r="AT271" t="inlineStr">
        <is>
          <t>☆</t>
        </is>
      </c>
      <c r="AU271" t="inlineStr">
        <is>
          <t>☆</t>
        </is>
      </c>
      <c r="AV271" t="inlineStr">
        <is>
          <t>☆</t>
        </is>
      </c>
      <c r="AW271" t="inlineStr">
        <is>
          <t>☆</t>
        </is>
      </c>
      <c r="AX271" t="inlineStr">
        <is>
          <t>☆</t>
        </is>
      </c>
      <c r="AY271" t="inlineStr">
        <is>
          <t>☆</t>
        </is>
      </c>
      <c r="AZ271" t="inlineStr">
        <is>
          <t>☆</t>
        </is>
      </c>
      <c r="BA271" t="inlineStr">
        <is>
          <t>☆</t>
        </is>
      </c>
      <c r="BB271" t="inlineStr">
        <is>
          <t>☆</t>
        </is>
      </c>
      <c r="BC271" t="inlineStr">
        <is>
          <t>☆</t>
        </is>
      </c>
      <c r="BD271" t="inlineStr">
        <is>
          <t>☆</t>
        </is>
      </c>
      <c r="BE271" t="inlineStr">
        <is>
          <t>☆</t>
        </is>
      </c>
      <c r="BF271" t="inlineStr">
        <is>
          <t>☆</t>
        </is>
      </c>
      <c r="BG271" t="inlineStr">
        <is>
          <t>☆</t>
        </is>
      </c>
      <c r="BH271" t="inlineStr">
        <is>
          <t>☆</t>
        </is>
      </c>
      <c r="BI271" t="inlineStr">
        <is>
          <t>☆</t>
        </is>
      </c>
      <c r="BJ271" t="inlineStr">
        <is>
          <t>☆</t>
        </is>
      </c>
      <c r="BK271" t="inlineStr">
        <is>
          <t>☆</t>
        </is>
      </c>
      <c r="BL271" t="inlineStr">
        <is>
          <t>☆</t>
        </is>
      </c>
      <c r="BM271" t="inlineStr">
        <is>
          <t>☆</t>
        </is>
      </c>
      <c r="BN271" t="inlineStr">
        <is>
          <t>☆</t>
        </is>
      </c>
      <c r="BO271" t="inlineStr">
        <is>
          <t>☆</t>
        </is>
      </c>
      <c r="BP271" t="inlineStr">
        <is>
          <t>☆</t>
        </is>
      </c>
      <c r="BQ271" t="inlineStr">
        <is>
          <t>☆</t>
        </is>
      </c>
      <c r="BR271"/>
      <c r="BS271" t="inlineStr">
        <is>
          <t>#VALUE!</t>
        </is>
      </c>
    </row>
    <row r="272" ht="25.5" customHeight="1">
      <c r="A272" t="inlineStr">
        <is>
          <t>ES</t>
        </is>
      </c>
      <c r="B272" t="inlineStr">
        <is>
          <t>R0001EU</t>
        </is>
      </c>
      <c r="C272" t="inlineStr">
        <is>
          <t>R0005EU</t>
        </is>
      </c>
      <c r="D272" t="inlineStr">
        <is>
          <t>B3-1(MAX)(coupon-10%）</t>
        </is>
      </c>
      <c r="E272">
        <v>11.7</v>
      </c>
      <c r="F272">
        <v>16.99</v>
      </c>
      <c r="G272"/>
      <c r="H272"/>
      <c r="I272"/>
      <c r="J272"/>
      <c r="K272"/>
      <c r="L272"/>
      <c r="M272"/>
      <c r="N272"/>
      <c r="O272"/>
      <c r="P272">
        <v>60</v>
      </c>
      <c r="Q272">
        <v>8</v>
      </c>
      <c r="R272"/>
      <c r="S272"/>
      <c r="T272"/>
      <c r="U272">
        <v>0.01</v>
      </c>
      <c r="V272"/>
      <c r="W272"/>
      <c r="X272">
        <v>0.188</v>
      </c>
      <c r="Y272">
        <v>3</v>
      </c>
      <c r="Z272"/>
      <c r="AA272"/>
      <c r="AB272"/>
      <c r="AC272">
        <v>24.5</v>
      </c>
      <c r="AD272"/>
      <c r="AE272"/>
      <c r="AF272"/>
      <c r="AG272"/>
      <c r="AH272">
        <v>4</v>
      </c>
      <c r="AI272"/>
      <c r="AJ272"/>
      <c r="AK272"/>
      <c r="AL272"/>
      <c r="AM272"/>
      <c r="AN272"/>
      <c r="AO272"/>
      <c r="AP272"/>
      <c r="AQ272"/>
      <c r="AR272"/>
      <c r="AS272"/>
      <c r="AT272" t="inlineStr">
        <is>
          <t>☆</t>
        </is>
      </c>
      <c r="AU272" t="inlineStr">
        <is>
          <t>☆</t>
        </is>
      </c>
      <c r="AV272" t="inlineStr">
        <is>
          <t>☆</t>
        </is>
      </c>
      <c r="AW272" t="inlineStr">
        <is>
          <t>☆</t>
        </is>
      </c>
      <c r="AX272" t="inlineStr">
        <is>
          <t>☆</t>
        </is>
      </c>
      <c r="AY272" t="inlineStr">
        <is>
          <t>☆</t>
        </is>
      </c>
      <c r="AZ272" t="inlineStr">
        <is>
          <t>☆</t>
        </is>
      </c>
      <c r="BA272" t="inlineStr">
        <is>
          <t>☆</t>
        </is>
      </c>
      <c r="BB272" t="inlineStr">
        <is>
          <t>☆</t>
        </is>
      </c>
      <c r="BC272" t="inlineStr">
        <is>
          <t>☆</t>
        </is>
      </c>
      <c r="BD272" t="inlineStr">
        <is>
          <t>☆</t>
        </is>
      </c>
      <c r="BE272" t="inlineStr">
        <is>
          <t>☆</t>
        </is>
      </c>
      <c r="BF272" t="inlineStr">
        <is>
          <t>☆</t>
        </is>
      </c>
      <c r="BG272" t="inlineStr">
        <is>
          <t>☆</t>
        </is>
      </c>
      <c r="BH272" t="inlineStr">
        <is>
          <t>☆</t>
        </is>
      </c>
      <c r="BI272" t="inlineStr">
        <is>
          <t>☆</t>
        </is>
      </c>
      <c r="BJ272" t="inlineStr">
        <is>
          <t>☆</t>
        </is>
      </c>
      <c r="BK272" t="inlineStr">
        <is>
          <t>☆</t>
        </is>
      </c>
      <c r="BL272" t="inlineStr">
        <is>
          <t>☆</t>
        </is>
      </c>
      <c r="BM272" t="inlineStr">
        <is>
          <t>☆</t>
        </is>
      </c>
      <c r="BN272" t="inlineStr">
        <is>
          <t>☆</t>
        </is>
      </c>
      <c r="BO272" t="inlineStr">
        <is>
          <t>☆</t>
        </is>
      </c>
      <c r="BP272" t="inlineStr">
        <is>
          <t>☆</t>
        </is>
      </c>
      <c r="BQ272" t="inlineStr">
        <is>
          <t>☆</t>
        </is>
      </c>
      <c r="BR272"/>
      <c r="BS272" t="inlineStr">
        <is>
          <t>#VALUE!</t>
        </is>
      </c>
    </row>
    <row r="273" ht="25.5" customHeight="1">
      <c r="A273" t="inlineStr">
        <is>
          <t>ES</t>
        </is>
      </c>
      <c r="B273" t="inlineStr">
        <is>
          <t>R0001EU</t>
        </is>
      </c>
      <c r="C273" t="inlineStr">
        <is>
          <t>R0005EU</t>
        </is>
      </c>
      <c r="D273" t="inlineStr">
        <is>
          <t>B3-1(MAX)(coupon-15%）</t>
        </is>
      </c>
      <c r="E273">
        <v>11.7</v>
      </c>
      <c r="F273">
        <v>16.99</v>
      </c>
      <c r="G273"/>
      <c r="H273"/>
      <c r="I273"/>
      <c r="J273"/>
      <c r="K273"/>
      <c r="L273"/>
      <c r="M273"/>
      <c r="N273"/>
      <c r="O273"/>
      <c r="P273">
        <v>60</v>
      </c>
      <c r="Q273">
        <v>8</v>
      </c>
      <c r="R273"/>
      <c r="S273"/>
      <c r="T273"/>
      <c r="U273">
        <v>0.01</v>
      </c>
      <c r="V273"/>
      <c r="W273"/>
      <c r="X273">
        <v>0.188</v>
      </c>
      <c r="Y273">
        <v>3</v>
      </c>
      <c r="Z273"/>
      <c r="AA273"/>
      <c r="AB273"/>
      <c r="AC273">
        <v>24.5</v>
      </c>
      <c r="AD273"/>
      <c r="AE273"/>
      <c r="AF273"/>
      <c r="AG273"/>
      <c r="AH273">
        <v>4</v>
      </c>
      <c r="AI273"/>
      <c r="AJ273"/>
      <c r="AK273"/>
      <c r="AL273"/>
      <c r="AM273"/>
      <c r="AN273"/>
      <c r="AO273"/>
      <c r="AP273"/>
      <c r="AQ273"/>
      <c r="AR273"/>
      <c r="AS273"/>
      <c r="AT273" t="inlineStr">
        <is>
          <t>☆</t>
        </is>
      </c>
      <c r="AU273" t="inlineStr">
        <is>
          <t>☆</t>
        </is>
      </c>
      <c r="AV273" t="inlineStr">
        <is>
          <t>☆</t>
        </is>
      </c>
      <c r="AW273" t="inlineStr">
        <is>
          <t>☆</t>
        </is>
      </c>
      <c r="AX273" t="inlineStr">
        <is>
          <t>☆</t>
        </is>
      </c>
      <c r="AY273" t="inlineStr">
        <is>
          <t>☆</t>
        </is>
      </c>
      <c r="AZ273" t="inlineStr">
        <is>
          <t>☆</t>
        </is>
      </c>
      <c r="BA273" t="inlineStr">
        <is>
          <t>☆</t>
        </is>
      </c>
      <c r="BB273" t="inlineStr">
        <is>
          <t>☆</t>
        </is>
      </c>
      <c r="BC273" t="inlineStr">
        <is>
          <t>☆</t>
        </is>
      </c>
      <c r="BD273" t="inlineStr">
        <is>
          <t>☆</t>
        </is>
      </c>
      <c r="BE273" t="inlineStr">
        <is>
          <t>☆</t>
        </is>
      </c>
      <c r="BF273" t="inlineStr">
        <is>
          <t>☆</t>
        </is>
      </c>
      <c r="BG273" t="inlineStr">
        <is>
          <t>☆</t>
        </is>
      </c>
      <c r="BH273" t="inlineStr">
        <is>
          <t>☆</t>
        </is>
      </c>
      <c r="BI273" t="inlineStr">
        <is>
          <t>☆</t>
        </is>
      </c>
      <c r="BJ273" t="inlineStr">
        <is>
          <t>☆</t>
        </is>
      </c>
      <c r="BK273" t="inlineStr">
        <is>
          <t>☆</t>
        </is>
      </c>
      <c r="BL273" t="inlineStr">
        <is>
          <t>☆</t>
        </is>
      </c>
      <c r="BM273" t="inlineStr">
        <is>
          <t>☆</t>
        </is>
      </c>
      <c r="BN273" t="inlineStr">
        <is>
          <t>☆</t>
        </is>
      </c>
      <c r="BO273" t="inlineStr">
        <is>
          <t>☆</t>
        </is>
      </c>
      <c r="BP273" t="inlineStr">
        <is>
          <t>☆</t>
        </is>
      </c>
      <c r="BQ273" t="inlineStr">
        <is>
          <t>☆</t>
        </is>
      </c>
      <c r="BR273"/>
      <c r="BS273" t="inlineStr">
        <is>
          <t>#VALUE!</t>
        </is>
      </c>
    </row>
    <row r="274" ht="25.5" customHeight="1">
      <c r="A274" t="inlineStr">
        <is>
          <t>NL</t>
        </is>
      </c>
      <c r="B274" t="inlineStr">
        <is>
          <t>R0001EU</t>
        </is>
      </c>
      <c r="C274" t="inlineStr">
        <is>
          <t>R0005EU</t>
        </is>
      </c>
      <c r="D274" t="inlineStr">
        <is>
          <t>B3-1(MAX)荷兰</t>
        </is>
      </c>
      <c r="E274">
        <v>11.7</v>
      </c>
      <c r="F274">
        <v>16.99</v>
      </c>
      <c r="G274"/>
      <c r="H274"/>
      <c r="I274"/>
      <c r="J274"/>
      <c r="K274"/>
      <c r="L274"/>
      <c r="M274"/>
      <c r="N274"/>
      <c r="O274"/>
      <c r="P274">
        <v>60</v>
      </c>
      <c r="Q274">
        <v>8</v>
      </c>
      <c r="R274"/>
      <c r="S274"/>
      <c r="T274"/>
      <c r="U274">
        <v>0.01</v>
      </c>
      <c r="V274"/>
      <c r="W274"/>
      <c r="X274">
        <v>0.188</v>
      </c>
      <c r="Y274">
        <v>3</v>
      </c>
      <c r="Z274"/>
      <c r="AA274"/>
      <c r="AB274"/>
      <c r="AC274">
        <v>24.5</v>
      </c>
      <c r="AD274"/>
      <c r="AE274"/>
      <c r="AF274"/>
      <c r="AG274"/>
      <c r="AH274">
        <v>4</v>
      </c>
      <c r="AI274"/>
      <c r="AJ274"/>
      <c r="AK274"/>
      <c r="AL274"/>
      <c r="AM274"/>
      <c r="AN274"/>
      <c r="AO274"/>
      <c r="AP274"/>
      <c r="AQ274"/>
      <c r="AR274"/>
      <c r="AS274"/>
      <c r="AT274" t="inlineStr">
        <is>
          <t>☆</t>
        </is>
      </c>
      <c r="AU274" t="inlineStr">
        <is>
          <t>☆</t>
        </is>
      </c>
      <c r="AV274" t="inlineStr">
        <is>
          <t>☆</t>
        </is>
      </c>
      <c r="AW274" t="inlineStr">
        <is>
          <t>☆</t>
        </is>
      </c>
      <c r="AX274" t="inlineStr">
        <is>
          <t>☆</t>
        </is>
      </c>
      <c r="AY274" t="inlineStr">
        <is>
          <t>☆</t>
        </is>
      </c>
      <c r="AZ274" t="inlineStr">
        <is>
          <t>☆</t>
        </is>
      </c>
      <c r="BA274" t="inlineStr">
        <is>
          <t>☆</t>
        </is>
      </c>
      <c r="BB274" t="inlineStr">
        <is>
          <t>☆</t>
        </is>
      </c>
      <c r="BC274" t="inlineStr">
        <is>
          <t>☆</t>
        </is>
      </c>
      <c r="BD274" t="inlineStr">
        <is>
          <t>☆</t>
        </is>
      </c>
      <c r="BE274" t="inlineStr">
        <is>
          <t>☆</t>
        </is>
      </c>
      <c r="BF274" t="inlineStr">
        <is>
          <t>☆</t>
        </is>
      </c>
      <c r="BG274" t="inlineStr">
        <is>
          <t>☆</t>
        </is>
      </c>
      <c r="BH274" t="inlineStr">
        <is>
          <t>☆</t>
        </is>
      </c>
      <c r="BI274" t="inlineStr">
        <is>
          <t>☆</t>
        </is>
      </c>
      <c r="BJ274" t="inlineStr">
        <is>
          <t>☆</t>
        </is>
      </c>
      <c r="BK274" t="inlineStr">
        <is>
          <t>☆</t>
        </is>
      </c>
      <c r="BL274" t="inlineStr">
        <is>
          <t>☆</t>
        </is>
      </c>
      <c r="BM274" t="inlineStr">
        <is>
          <t>☆</t>
        </is>
      </c>
      <c r="BN274" t="inlineStr">
        <is>
          <t>☆</t>
        </is>
      </c>
      <c r="BO274" t="inlineStr">
        <is>
          <t>☆</t>
        </is>
      </c>
      <c r="BP274" t="inlineStr">
        <is>
          <t>☆</t>
        </is>
      </c>
      <c r="BQ274" t="inlineStr">
        <is>
          <t>☆</t>
        </is>
      </c>
      <c r="BR274"/>
      <c r="BS274" t="inlineStr">
        <is>
          <t>#VALUE!</t>
        </is>
      </c>
    </row>
    <row r="275" ht="25.5" customHeight="1">
      <c r="A275" t="inlineStr">
        <is>
          <t>PL</t>
        </is>
      </c>
      <c r="B275" t="inlineStr">
        <is>
          <t>R0001EU</t>
        </is>
      </c>
      <c r="C275" t="inlineStr">
        <is>
          <t>R0005EU</t>
        </is>
      </c>
      <c r="D275" t="inlineStr">
        <is>
          <t>B3-1(MAX)波兰</t>
        </is>
      </c>
      <c r="E275">
        <v>12.4</v>
      </c>
      <c r="F275">
        <v>17.99</v>
      </c>
      <c r="G275"/>
      <c r="H275"/>
      <c r="I275"/>
      <c r="J275"/>
      <c r="K275"/>
      <c r="L275"/>
      <c r="M275"/>
      <c r="N275"/>
      <c r="O275"/>
      <c r="P275">
        <v>60</v>
      </c>
      <c r="Q275">
        <v>8</v>
      </c>
      <c r="R275"/>
      <c r="S275"/>
      <c r="T275"/>
      <c r="U275">
        <v>0.01</v>
      </c>
      <c r="V275"/>
      <c r="W275"/>
      <c r="X275">
        <v>0.188</v>
      </c>
      <c r="Y275">
        <v>3</v>
      </c>
      <c r="Z275"/>
      <c r="AA275"/>
      <c r="AB275"/>
      <c r="AC275">
        <v>24.5</v>
      </c>
      <c r="AD275"/>
      <c r="AE275"/>
      <c r="AF275"/>
      <c r="AG275"/>
      <c r="AH275">
        <v>4</v>
      </c>
      <c r="AI275"/>
      <c r="AJ275"/>
      <c r="AK275"/>
      <c r="AL275"/>
      <c r="AM275"/>
      <c r="AN275"/>
      <c r="AO275"/>
      <c r="AP275"/>
      <c r="AQ275"/>
      <c r="AR275"/>
      <c r="AS275"/>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c r="BS275" t="inlineStr">
        <is>
          <t>#VALUE!</t>
        </is>
      </c>
    </row>
    <row r="276" ht="25.5" customHeight="1">
      <c r="A276" t="inlineStr">
        <is>
          <t>SE</t>
        </is>
      </c>
      <c r="B276" t="inlineStr">
        <is>
          <t>R0001EU</t>
        </is>
      </c>
      <c r="C276" t="inlineStr">
        <is>
          <t>R0005EU</t>
        </is>
      </c>
      <c r="D276" t="inlineStr">
        <is>
          <t>B3-1(MAX)瑞典</t>
        </is>
      </c>
      <c r="E276">
        <v>12.4</v>
      </c>
      <c r="F276">
        <v>17.99</v>
      </c>
      <c r="G276"/>
      <c r="H276"/>
      <c r="I276"/>
      <c r="J276"/>
      <c r="K276"/>
      <c r="L276"/>
      <c r="M276"/>
      <c r="N276"/>
      <c r="O276"/>
      <c r="P276">
        <v>60</v>
      </c>
      <c r="Q276">
        <v>8</v>
      </c>
      <c r="R276"/>
      <c r="S276"/>
      <c r="T276"/>
      <c r="U276">
        <v>0.01</v>
      </c>
      <c r="V276"/>
      <c r="W276"/>
      <c r="X276">
        <v>0.188</v>
      </c>
      <c r="Y276">
        <v>3</v>
      </c>
      <c r="Z276"/>
      <c r="AA276"/>
      <c r="AB276"/>
      <c r="AC276">
        <v>24.5</v>
      </c>
      <c r="AD276"/>
      <c r="AE276"/>
      <c r="AF276"/>
      <c r="AG276"/>
      <c r="AH276">
        <v>4</v>
      </c>
      <c r="AI276"/>
      <c r="AJ276"/>
      <c r="AK276"/>
      <c r="AL276"/>
      <c r="AM276"/>
      <c r="AN276"/>
      <c r="AO276"/>
      <c r="AP276"/>
      <c r="AQ276"/>
      <c r="AR276"/>
      <c r="AS276"/>
      <c r="AT276" t="inlineStr">
        <is>
          <t>☆</t>
        </is>
      </c>
      <c r="AU276" t="inlineStr">
        <is>
          <t>☆</t>
        </is>
      </c>
      <c r="AV276" t="inlineStr">
        <is>
          <t>☆</t>
        </is>
      </c>
      <c r="AW276" t="inlineStr">
        <is>
          <t>☆</t>
        </is>
      </c>
      <c r="AX276" t="inlineStr">
        <is>
          <t>☆</t>
        </is>
      </c>
      <c r="AY276" t="inlineStr">
        <is>
          <t>☆</t>
        </is>
      </c>
      <c r="AZ276" t="inlineStr">
        <is>
          <t>☆</t>
        </is>
      </c>
      <c r="BA276" t="inlineStr">
        <is>
          <t>☆</t>
        </is>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c r="BS276" t="inlineStr">
        <is>
          <t>#VALUE!</t>
        </is>
      </c>
    </row>
    <row r="277" ht="25.5" customHeight="1">
      <c r="A277" t="inlineStr">
        <is>
          <t>BE</t>
        </is>
      </c>
      <c r="B277" t="inlineStr">
        <is>
          <t>R0001EU</t>
        </is>
      </c>
      <c r="C277" t="inlineStr">
        <is>
          <t>R0005EU</t>
        </is>
      </c>
      <c r="D277" t="inlineStr">
        <is>
          <t>B3-1(MAX)比利时</t>
        </is>
      </c>
      <c r="E277">
        <v>11.7</v>
      </c>
      <c r="F277">
        <v>16.99</v>
      </c>
      <c r="G277"/>
      <c r="H277"/>
      <c r="I277"/>
      <c r="J277"/>
      <c r="K277"/>
      <c r="L277"/>
      <c r="M277"/>
      <c r="N277"/>
      <c r="O277"/>
      <c r="P277">
        <v>60</v>
      </c>
      <c r="Q277">
        <v>8</v>
      </c>
      <c r="R277"/>
      <c r="S277"/>
      <c r="T277"/>
      <c r="U277">
        <v>0.01</v>
      </c>
      <c r="V277"/>
      <c r="W277"/>
      <c r="X277">
        <v>0.188</v>
      </c>
      <c r="Y277">
        <v>3</v>
      </c>
      <c r="Z277"/>
      <c r="AA277"/>
      <c r="AB277"/>
      <c r="AC277">
        <v>24.5</v>
      </c>
      <c r="AD277"/>
      <c r="AE277"/>
      <c r="AF277"/>
      <c r="AG277"/>
      <c r="AH277">
        <v>4</v>
      </c>
      <c r="AI277"/>
      <c r="AJ277"/>
      <c r="AK277"/>
      <c r="AL277"/>
      <c r="AM277"/>
      <c r="AN277"/>
      <c r="AO277"/>
      <c r="AP277"/>
      <c r="AQ277"/>
      <c r="AR277"/>
      <c r="AS277"/>
      <c r="AT277" t="inlineStr">
        <is>
          <t>☆</t>
        </is>
      </c>
      <c r="AU277" t="inlineStr">
        <is>
          <t>☆</t>
        </is>
      </c>
      <c r="AV277" t="inlineStr">
        <is>
          <t>☆</t>
        </is>
      </c>
      <c r="AW277" t="inlineStr">
        <is>
          <t>☆</t>
        </is>
      </c>
      <c r="AX277" t="inlineStr">
        <is>
          <t>☆</t>
        </is>
      </c>
      <c r="AY277" t="inlineStr">
        <is>
          <t>☆</t>
        </is>
      </c>
      <c r="AZ277" t="inlineStr">
        <is>
          <t>☆</t>
        </is>
      </c>
      <c r="BA277" t="inlineStr">
        <is>
          <t>☆</t>
        </is>
      </c>
      <c r="BB277" t="inlineStr">
        <is>
          <t>☆</t>
        </is>
      </c>
      <c r="BC277" t="inlineStr">
        <is>
          <t>☆</t>
        </is>
      </c>
      <c r="BD277" t="inlineStr">
        <is>
          <t>☆</t>
        </is>
      </c>
      <c r="BE277" t="inlineStr">
        <is>
          <t>☆</t>
        </is>
      </c>
      <c r="BF277" t="inlineStr">
        <is>
          <t>☆</t>
        </is>
      </c>
      <c r="BG277" t="inlineStr">
        <is>
          <t>☆</t>
        </is>
      </c>
      <c r="BH277" t="inlineStr">
        <is>
          <t>☆</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c r="BS277" t="inlineStr">
        <is>
          <t>#VALUE!</t>
        </is>
      </c>
    </row>
    <row r="278" ht="25.5" customHeight="1">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row>
    <row r="279" ht="25.5" customHeight="1">
      <c r="A279" t="inlineStr">
        <is>
          <t>UK</t>
        </is>
      </c>
      <c r="B279" t="inlineStr">
        <is>
          <t>R0001EU</t>
        </is>
      </c>
      <c r="C279" t="inlineStr">
        <is>
          <t>R0006EU</t>
        </is>
      </c>
      <c r="D279" t="inlineStr">
        <is>
          <t>GS-PS1(MAX)(coupon-0%)</t>
        </is>
      </c>
      <c r="E279">
        <v>27.6</v>
      </c>
      <c r="F279">
        <v>39.99</v>
      </c>
      <c r="G279"/>
      <c r="H279"/>
      <c r="I279"/>
      <c r="J279"/>
      <c r="K279"/>
      <c r="L279"/>
      <c r="M279"/>
      <c r="N279"/>
      <c r="O279"/>
      <c r="P279">
        <v>30</v>
      </c>
      <c r="Q279">
        <v>9</v>
      </c>
      <c r="R279"/>
      <c r="S279"/>
      <c r="T279"/>
      <c r="U279">
        <v>0.01</v>
      </c>
      <c r="V279"/>
      <c r="W279"/>
      <c r="X279">
        <v>0.178</v>
      </c>
      <c r="Y279">
        <v>5</v>
      </c>
      <c r="Z279">
        <v>0</v>
      </c>
      <c r="AA279"/>
      <c r="AB279"/>
      <c r="AC279">
        <v>90</v>
      </c>
      <c r="AD279"/>
      <c r="AE279"/>
      <c r="AF279"/>
      <c r="AG279"/>
      <c r="AH279">
        <v>8</v>
      </c>
      <c r="AI279"/>
      <c r="AJ279"/>
      <c r="AK279"/>
      <c r="AL279"/>
      <c r="AM279"/>
      <c r="AN279"/>
      <c r="AO279"/>
      <c r="AP279"/>
      <c r="AQ279"/>
      <c r="AR279"/>
      <c r="AS279"/>
      <c r="AT279" t="inlineStr">
        <is>
          <t>☆</t>
        </is>
      </c>
      <c r="AU279" t="inlineStr">
        <is>
          <t>☆</t>
        </is>
      </c>
      <c r="AV279" t="inlineStr">
        <is>
          <t>☆</t>
        </is>
      </c>
      <c r="AW279" t="inlineStr">
        <is>
          <t>☆</t>
        </is>
      </c>
      <c r="AX279" t="inlineStr">
        <is>
          <t>☆</t>
        </is>
      </c>
      <c r="AY279" t="inlineStr">
        <is>
          <t>☆</t>
        </is>
      </c>
      <c r="AZ279" t="inlineStr">
        <is>
          <t>☆</t>
        </is>
      </c>
      <c r="BA279" t="inlineStr">
        <is>
          <t>☆</t>
        </is>
      </c>
      <c r="BB279" t="inlineStr">
        <is>
          <t>☆</t>
        </is>
      </c>
      <c r="BC279" t="inlineStr">
        <is>
          <t>☆</t>
        </is>
      </c>
      <c r="BD279" t="inlineStr">
        <is>
          <t>☆</t>
        </is>
      </c>
      <c r="BE279" t="inlineStr">
        <is>
          <t>☆</t>
        </is>
      </c>
      <c r="BF279" t="inlineStr">
        <is>
          <t>☆</t>
        </is>
      </c>
      <c r="BG279" t="inlineStr">
        <is>
          <t>☆</t>
        </is>
      </c>
      <c r="BH279" t="inlineStr">
        <is>
          <t>☆</t>
        </is>
      </c>
      <c r="BI279" t="inlineStr">
        <is>
          <t>☆</t>
        </is>
      </c>
      <c r="BJ279" t="inlineStr">
        <is>
          <t>☆</t>
        </is>
      </c>
      <c r="BK279" t="inlineStr">
        <is>
          <t>☆</t>
        </is>
      </c>
      <c r="BL279" t="inlineStr">
        <is>
          <t>☆</t>
        </is>
      </c>
      <c r="BM279" t="inlineStr">
        <is>
          <t>☆</t>
        </is>
      </c>
      <c r="BN279" t="inlineStr">
        <is>
          <t>☆</t>
        </is>
      </c>
      <c r="BO279" t="inlineStr">
        <is>
          <t>☆</t>
        </is>
      </c>
      <c r="BP279" t="inlineStr">
        <is>
          <t>☆</t>
        </is>
      </c>
      <c r="BQ279" t="inlineStr">
        <is>
          <t>☆</t>
        </is>
      </c>
      <c r="BR279"/>
      <c r="BS279" t="inlineStr">
        <is>
          <t>#VALUE!</t>
        </is>
      </c>
    </row>
    <row r="280" ht="25.5" customHeight="1">
      <c r="A280" t="inlineStr">
        <is>
          <t>UK</t>
        </is>
      </c>
      <c r="B280" t="inlineStr">
        <is>
          <t>R0001EU</t>
        </is>
      </c>
      <c r="C280" t="inlineStr">
        <is>
          <t>R0006EU</t>
        </is>
      </c>
      <c r="D280" t="inlineStr">
        <is>
          <t>GS-PS1(MAX)(coupon-10%)</t>
        </is>
      </c>
      <c r="E280">
        <v>27.6</v>
      </c>
      <c r="F280">
        <v>39.99</v>
      </c>
      <c r="G280"/>
      <c r="H280"/>
      <c r="I280"/>
      <c r="J280"/>
      <c r="K280"/>
      <c r="L280"/>
      <c r="M280"/>
      <c r="N280"/>
      <c r="O280"/>
      <c r="P280">
        <v>30</v>
      </c>
      <c r="Q280">
        <v>9</v>
      </c>
      <c r="R280"/>
      <c r="S280"/>
      <c r="T280"/>
      <c r="U280">
        <v>0.01</v>
      </c>
      <c r="V280"/>
      <c r="W280"/>
      <c r="X280">
        <v>0.178</v>
      </c>
      <c r="Y280">
        <v>5</v>
      </c>
      <c r="Z280"/>
      <c r="AA280"/>
      <c r="AB280"/>
      <c r="AC280">
        <v>90</v>
      </c>
      <c r="AD280"/>
      <c r="AE280"/>
      <c r="AF280"/>
      <c r="AG280"/>
      <c r="AH280">
        <v>8</v>
      </c>
      <c r="AI280"/>
      <c r="AJ280"/>
      <c r="AK280"/>
      <c r="AL280"/>
      <c r="AM280"/>
      <c r="AN280"/>
      <c r="AO280"/>
      <c r="AP280"/>
      <c r="AQ280"/>
      <c r="AR280"/>
      <c r="AS280"/>
      <c r="AT280" t="inlineStr">
        <is>
          <t>☆</t>
        </is>
      </c>
      <c r="AU280" t="inlineStr">
        <is>
          <t>☆</t>
        </is>
      </c>
      <c r="AV280" t="inlineStr">
        <is>
          <t>☆</t>
        </is>
      </c>
      <c r="AW280" t="inlineStr">
        <is>
          <t>☆</t>
        </is>
      </c>
      <c r="AX280" t="inlineStr">
        <is>
          <t>☆</t>
        </is>
      </c>
      <c r="AY280" t="inlineStr">
        <is>
          <t>☆</t>
        </is>
      </c>
      <c r="AZ280" t="inlineStr">
        <is>
          <t>☆</t>
        </is>
      </c>
      <c r="BA280" t="inlineStr">
        <is>
          <t>☆</t>
        </is>
      </c>
      <c r="BB280" t="inlineStr">
        <is>
          <t>☆</t>
        </is>
      </c>
      <c r="BC280" t="inlineStr">
        <is>
          <t>☆</t>
        </is>
      </c>
      <c r="BD280" t="inlineStr">
        <is>
          <t>☆</t>
        </is>
      </c>
      <c r="BE280" t="inlineStr">
        <is>
          <t>☆</t>
        </is>
      </c>
      <c r="BF280" t="inlineStr">
        <is>
          <t>☆</t>
        </is>
      </c>
      <c r="BG280" t="inlineStr">
        <is>
          <t>☆</t>
        </is>
      </c>
      <c r="BH280" t="inlineStr">
        <is>
          <t>☆</t>
        </is>
      </c>
      <c r="BI280" t="inlineStr">
        <is>
          <t>☆</t>
        </is>
      </c>
      <c r="BJ280" t="inlineStr">
        <is>
          <t>☆</t>
        </is>
      </c>
      <c r="BK280" t="inlineStr">
        <is>
          <t>☆</t>
        </is>
      </c>
      <c r="BL280" t="inlineStr">
        <is>
          <t>☆</t>
        </is>
      </c>
      <c r="BM280" t="inlineStr">
        <is>
          <t>☆</t>
        </is>
      </c>
      <c r="BN280" t="inlineStr">
        <is>
          <t>☆</t>
        </is>
      </c>
      <c r="BO280" t="inlineStr">
        <is>
          <t>☆</t>
        </is>
      </c>
      <c r="BP280" t="inlineStr">
        <is>
          <t>☆</t>
        </is>
      </c>
      <c r="BQ280" t="inlineStr">
        <is>
          <t>☆</t>
        </is>
      </c>
      <c r="BR280"/>
      <c r="BS280" t="inlineStr">
        <is>
          <t>#VALUE!</t>
        </is>
      </c>
    </row>
    <row r="281" ht="25.5" customHeight="1">
      <c r="A281" t="inlineStr">
        <is>
          <t>UK</t>
        </is>
      </c>
      <c r="B281" t="inlineStr">
        <is>
          <t>R0001EU</t>
        </is>
      </c>
      <c r="C281" t="inlineStr">
        <is>
          <t>R0006EU</t>
        </is>
      </c>
      <c r="D281" t="inlineStr">
        <is>
          <t>GS-PS1(MAX)(coupon-15%)</t>
        </is>
      </c>
      <c r="E281">
        <v>27.6</v>
      </c>
      <c r="F281">
        <v>39.99</v>
      </c>
      <c r="G281"/>
      <c r="H281"/>
      <c r="I281"/>
      <c r="J281"/>
      <c r="K281"/>
      <c r="L281"/>
      <c r="M281"/>
      <c r="N281"/>
      <c r="O281"/>
      <c r="P281">
        <v>30</v>
      </c>
      <c r="Q281">
        <v>9</v>
      </c>
      <c r="R281"/>
      <c r="S281"/>
      <c r="T281"/>
      <c r="U281">
        <v>0.01</v>
      </c>
      <c r="V281"/>
      <c r="W281"/>
      <c r="X281">
        <v>0.178</v>
      </c>
      <c r="Y281">
        <v>5</v>
      </c>
      <c r="Z281"/>
      <c r="AA281"/>
      <c r="AB281"/>
      <c r="AC281">
        <v>90</v>
      </c>
      <c r="AD281"/>
      <c r="AE281"/>
      <c r="AF281"/>
      <c r="AG281"/>
      <c r="AH281">
        <v>8</v>
      </c>
      <c r="AI281"/>
      <c r="AJ281"/>
      <c r="AK281"/>
      <c r="AL281"/>
      <c r="AM281"/>
      <c r="AN281"/>
      <c r="AO281"/>
      <c r="AP281"/>
      <c r="AQ281"/>
      <c r="AR281"/>
      <c r="AS281"/>
      <c r="AT281" t="inlineStr">
        <is>
          <t>☆</t>
        </is>
      </c>
      <c r="AU281" t="inlineStr">
        <is>
          <t>☆</t>
        </is>
      </c>
      <c r="AV281" t="inlineStr">
        <is>
          <t>☆</t>
        </is>
      </c>
      <c r="AW281" t="inlineStr">
        <is>
          <t>☆</t>
        </is>
      </c>
      <c r="AX281" t="inlineStr">
        <is>
          <t>☆</t>
        </is>
      </c>
      <c r="AY281" t="inlineStr">
        <is>
          <t>☆</t>
        </is>
      </c>
      <c r="AZ281" t="inlineStr">
        <is>
          <t>☆</t>
        </is>
      </c>
      <c r="BA281" t="inlineStr">
        <is>
          <t>☆</t>
        </is>
      </c>
      <c r="BB281" t="inlineStr">
        <is>
          <t>☆</t>
        </is>
      </c>
      <c r="BC281" t="inlineStr">
        <is>
          <t>☆</t>
        </is>
      </c>
      <c r="BD281" t="inlineStr">
        <is>
          <t>☆</t>
        </is>
      </c>
      <c r="BE281" t="inlineStr">
        <is>
          <t>☆</t>
        </is>
      </c>
      <c r="BF281" t="inlineStr">
        <is>
          <t>☆</t>
        </is>
      </c>
      <c r="BG281" t="inlineStr">
        <is>
          <t>☆</t>
        </is>
      </c>
      <c r="BH281" t="inlineStr">
        <is>
          <t>☆</t>
        </is>
      </c>
      <c r="BI281" t="inlineStr">
        <is>
          <t>☆</t>
        </is>
      </c>
      <c r="BJ281" t="inlineStr">
        <is>
          <t>☆</t>
        </is>
      </c>
      <c r="BK281" t="inlineStr">
        <is>
          <t>☆</t>
        </is>
      </c>
      <c r="BL281" t="inlineStr">
        <is>
          <t>☆</t>
        </is>
      </c>
      <c r="BM281" t="inlineStr">
        <is>
          <t>☆</t>
        </is>
      </c>
      <c r="BN281" t="inlineStr">
        <is>
          <t>☆</t>
        </is>
      </c>
      <c r="BO281" t="inlineStr">
        <is>
          <t>☆</t>
        </is>
      </c>
      <c r="BP281" t="inlineStr">
        <is>
          <t>☆</t>
        </is>
      </c>
      <c r="BQ281" t="inlineStr">
        <is>
          <t>☆</t>
        </is>
      </c>
      <c r="BR281"/>
      <c r="BS281" t="inlineStr">
        <is>
          <t>#VALUE!</t>
        </is>
      </c>
    </row>
    <row r="282" ht="25.5" customHeight="1">
      <c r="A282" t="inlineStr">
        <is>
          <t>DE</t>
        </is>
      </c>
      <c r="B282" t="inlineStr">
        <is>
          <t>R0001EU</t>
        </is>
      </c>
      <c r="C282" t="inlineStr">
        <is>
          <t>R0006EU</t>
        </is>
      </c>
      <c r="D282" t="inlineStr">
        <is>
          <t>GS-PS1(MAX)(coupon-0%)</t>
        </is>
      </c>
      <c r="E282">
        <v>31</v>
      </c>
      <c r="F282">
        <v>44.99</v>
      </c>
      <c r="G282"/>
      <c r="H282"/>
      <c r="I282"/>
      <c r="J282"/>
      <c r="K282"/>
      <c r="L282"/>
      <c r="M282"/>
      <c r="N282"/>
      <c r="O282"/>
      <c r="P282">
        <v>30</v>
      </c>
      <c r="Q282">
        <v>8</v>
      </c>
      <c r="R282"/>
      <c r="S282"/>
      <c r="T282"/>
      <c r="U282">
        <v>0.01</v>
      </c>
      <c r="V282"/>
      <c r="W282"/>
      <c r="X282">
        <v>0.188</v>
      </c>
      <c r="Y282">
        <v>5</v>
      </c>
      <c r="Z282">
        <v>0</v>
      </c>
      <c r="AA282"/>
      <c r="AB282"/>
      <c r="AC282">
        <v>90</v>
      </c>
      <c r="AD282"/>
      <c r="AE282"/>
      <c r="AF282"/>
      <c r="AG282"/>
      <c r="AH282">
        <v>8</v>
      </c>
      <c r="AI282"/>
      <c r="AJ282"/>
      <c r="AK282"/>
      <c r="AL282"/>
      <c r="AM282"/>
      <c r="AN282"/>
      <c r="AO282"/>
      <c r="AP282"/>
      <c r="AQ282"/>
      <c r="AR282"/>
      <c r="AS282"/>
      <c r="AT282" t="inlineStr">
        <is>
          <t>☆</t>
        </is>
      </c>
      <c r="AU282" t="inlineStr">
        <is>
          <t>☆</t>
        </is>
      </c>
      <c r="AV282" t="inlineStr">
        <is>
          <t>☆</t>
        </is>
      </c>
      <c r="AW282" t="inlineStr">
        <is>
          <t>☆</t>
        </is>
      </c>
      <c r="AX282" t="inlineStr">
        <is>
          <t>☆</t>
        </is>
      </c>
      <c r="AY282" t="inlineStr">
        <is>
          <t>☆</t>
        </is>
      </c>
      <c r="AZ282" t="inlineStr">
        <is>
          <t>☆</t>
        </is>
      </c>
      <c r="BA282" t="inlineStr">
        <is>
          <t>☆</t>
        </is>
      </c>
      <c r="BB282" t="inlineStr">
        <is>
          <t>☆</t>
        </is>
      </c>
      <c r="BC282" t="inlineStr">
        <is>
          <t>☆</t>
        </is>
      </c>
      <c r="BD282" t="inlineStr">
        <is>
          <t>☆</t>
        </is>
      </c>
      <c r="BE282" t="inlineStr">
        <is>
          <t>☆</t>
        </is>
      </c>
      <c r="BF282" t="inlineStr">
        <is>
          <t>☆</t>
        </is>
      </c>
      <c r="BG282" t="inlineStr">
        <is>
          <t>☆</t>
        </is>
      </c>
      <c r="BH282" t="inlineStr">
        <is>
          <t>☆</t>
        </is>
      </c>
      <c r="BI282" t="inlineStr">
        <is>
          <t>☆</t>
        </is>
      </c>
      <c r="BJ282" t="inlineStr">
        <is>
          <t>☆</t>
        </is>
      </c>
      <c r="BK282" t="inlineStr">
        <is>
          <t>☆</t>
        </is>
      </c>
      <c r="BL282" t="inlineStr">
        <is>
          <t>☆</t>
        </is>
      </c>
      <c r="BM282" t="inlineStr">
        <is>
          <t>☆</t>
        </is>
      </c>
      <c r="BN282" t="inlineStr">
        <is>
          <t>☆</t>
        </is>
      </c>
      <c r="BO282" t="inlineStr">
        <is>
          <t>☆</t>
        </is>
      </c>
      <c r="BP282" t="inlineStr">
        <is>
          <t>☆</t>
        </is>
      </c>
      <c r="BQ282" t="inlineStr">
        <is>
          <t>☆</t>
        </is>
      </c>
      <c r="BR282"/>
      <c r="BS282" t="inlineStr">
        <is>
          <t>#VALUE!</t>
        </is>
      </c>
    </row>
    <row r="283" ht="25.5" customHeight="1">
      <c r="A283" t="inlineStr">
        <is>
          <t>DE</t>
        </is>
      </c>
      <c r="B283" t="inlineStr">
        <is>
          <t>R0001EU</t>
        </is>
      </c>
      <c r="C283" t="inlineStr">
        <is>
          <t>R0006EU</t>
        </is>
      </c>
      <c r="D283" t="inlineStr">
        <is>
          <t>GS-PS1(MAX)(coupon-10%)</t>
        </is>
      </c>
      <c r="E283">
        <v>31</v>
      </c>
      <c r="F283">
        <v>44.99</v>
      </c>
      <c r="G283"/>
      <c r="H283"/>
      <c r="I283"/>
      <c r="J283"/>
      <c r="K283"/>
      <c r="L283"/>
      <c r="M283"/>
      <c r="N283"/>
      <c r="O283"/>
      <c r="P283">
        <v>30</v>
      </c>
      <c r="Q283">
        <v>8</v>
      </c>
      <c r="R283"/>
      <c r="S283"/>
      <c r="T283"/>
      <c r="U283">
        <v>0.01</v>
      </c>
      <c r="V283"/>
      <c r="W283"/>
      <c r="X283">
        <v>0.188</v>
      </c>
      <c r="Y283">
        <v>5</v>
      </c>
      <c r="Z283"/>
      <c r="AA283"/>
      <c r="AB283"/>
      <c r="AC283">
        <v>90</v>
      </c>
      <c r="AD283"/>
      <c r="AE283"/>
      <c r="AF283"/>
      <c r="AG283"/>
      <c r="AH283">
        <v>8</v>
      </c>
      <c r="AI283"/>
      <c r="AJ283"/>
      <c r="AK283"/>
      <c r="AL283"/>
      <c r="AM283"/>
      <c r="AN283"/>
      <c r="AO283"/>
      <c r="AP283"/>
      <c r="AQ283"/>
      <c r="AR283"/>
      <c r="AS283"/>
      <c r="AT283" t="inlineStr">
        <is>
          <t>☆</t>
        </is>
      </c>
      <c r="AU283" t="inlineStr">
        <is>
          <t>☆</t>
        </is>
      </c>
      <c r="AV283" t="inlineStr">
        <is>
          <t>☆</t>
        </is>
      </c>
      <c r="AW283" t="inlineStr">
        <is>
          <t>☆</t>
        </is>
      </c>
      <c r="AX283" t="inlineStr">
        <is>
          <t>☆</t>
        </is>
      </c>
      <c r="AY283" t="inlineStr">
        <is>
          <t>☆</t>
        </is>
      </c>
      <c r="AZ283" t="inlineStr">
        <is>
          <t>☆</t>
        </is>
      </c>
      <c r="BA283" t="inlineStr">
        <is>
          <t>☆</t>
        </is>
      </c>
      <c r="BB283" t="inlineStr">
        <is>
          <t>☆</t>
        </is>
      </c>
      <c r="BC283" t="inlineStr">
        <is>
          <t>☆</t>
        </is>
      </c>
      <c r="BD283" t="inlineStr">
        <is>
          <t>☆</t>
        </is>
      </c>
      <c r="BE283" t="inlineStr">
        <is>
          <t>☆</t>
        </is>
      </c>
      <c r="BF283" t="inlineStr">
        <is>
          <t>☆</t>
        </is>
      </c>
      <c r="BG283" t="inlineStr">
        <is>
          <t>☆</t>
        </is>
      </c>
      <c r="BH283" t="inlineStr">
        <is>
          <t>☆</t>
        </is>
      </c>
      <c r="BI283" t="inlineStr">
        <is>
          <t>☆</t>
        </is>
      </c>
      <c r="BJ283" t="inlineStr">
        <is>
          <t>☆</t>
        </is>
      </c>
      <c r="BK283" t="inlineStr">
        <is>
          <t>☆</t>
        </is>
      </c>
      <c r="BL283" t="inlineStr">
        <is>
          <t>☆</t>
        </is>
      </c>
      <c r="BM283" t="inlineStr">
        <is>
          <t>☆</t>
        </is>
      </c>
      <c r="BN283" t="inlineStr">
        <is>
          <t>☆</t>
        </is>
      </c>
      <c r="BO283" t="inlineStr">
        <is>
          <t>☆</t>
        </is>
      </c>
      <c r="BP283" t="inlineStr">
        <is>
          <t>☆</t>
        </is>
      </c>
      <c r="BQ283" t="inlineStr">
        <is>
          <t>☆</t>
        </is>
      </c>
      <c r="BR283"/>
      <c r="BS283" t="inlineStr">
        <is>
          <t>#VALUE!</t>
        </is>
      </c>
    </row>
    <row r="284" ht="25.5" customHeight="1">
      <c r="A284" t="inlineStr">
        <is>
          <t>DE</t>
        </is>
      </c>
      <c r="B284" t="inlineStr">
        <is>
          <t>R0001EU</t>
        </is>
      </c>
      <c r="C284" t="inlineStr">
        <is>
          <t>R0006EU</t>
        </is>
      </c>
      <c r="D284" t="inlineStr">
        <is>
          <t>GS-PS1(MAX)(coupon-15%)</t>
        </is>
      </c>
      <c r="E284">
        <v>31</v>
      </c>
      <c r="F284">
        <v>44.99</v>
      </c>
      <c r="G284"/>
      <c r="H284"/>
      <c r="I284"/>
      <c r="J284"/>
      <c r="K284"/>
      <c r="L284"/>
      <c r="M284"/>
      <c r="N284"/>
      <c r="O284"/>
      <c r="P284">
        <v>30</v>
      </c>
      <c r="Q284">
        <v>8</v>
      </c>
      <c r="R284"/>
      <c r="S284"/>
      <c r="T284"/>
      <c r="U284">
        <v>0.01</v>
      </c>
      <c r="V284"/>
      <c r="W284"/>
      <c r="X284">
        <v>0.188</v>
      </c>
      <c r="Y284">
        <v>5</v>
      </c>
      <c r="Z284"/>
      <c r="AA284"/>
      <c r="AB284"/>
      <c r="AC284">
        <v>90</v>
      </c>
      <c r="AD284"/>
      <c r="AE284"/>
      <c r="AF284"/>
      <c r="AG284"/>
      <c r="AH284">
        <v>8</v>
      </c>
      <c r="AI284"/>
      <c r="AJ284"/>
      <c r="AK284"/>
      <c r="AL284"/>
      <c r="AM284"/>
      <c r="AN284"/>
      <c r="AO284"/>
      <c r="AP284"/>
      <c r="AQ284"/>
      <c r="AR284"/>
      <c r="AS284"/>
      <c r="AT284" t="inlineStr">
        <is>
          <t>☆</t>
        </is>
      </c>
      <c r="AU284" t="inlineStr">
        <is>
          <t>☆</t>
        </is>
      </c>
      <c r="AV284" t="inlineStr">
        <is>
          <t>☆</t>
        </is>
      </c>
      <c r="AW284" t="inlineStr">
        <is>
          <t>☆</t>
        </is>
      </c>
      <c r="AX284" t="inlineStr">
        <is>
          <t>☆</t>
        </is>
      </c>
      <c r="AY284" t="inlineStr">
        <is>
          <t>☆</t>
        </is>
      </c>
      <c r="AZ284" t="inlineStr">
        <is>
          <t>☆</t>
        </is>
      </c>
      <c r="BA284" t="inlineStr">
        <is>
          <t>☆</t>
        </is>
      </c>
      <c r="BB284" t="inlineStr">
        <is>
          <t>☆</t>
        </is>
      </c>
      <c r="BC284" t="inlineStr">
        <is>
          <t>☆</t>
        </is>
      </c>
      <c r="BD284" t="inlineStr">
        <is>
          <t>☆</t>
        </is>
      </c>
      <c r="BE284" t="inlineStr">
        <is>
          <t>☆</t>
        </is>
      </c>
      <c r="BF284" t="inlineStr">
        <is>
          <t>☆</t>
        </is>
      </c>
      <c r="BG284" t="inlineStr">
        <is>
          <t>☆</t>
        </is>
      </c>
      <c r="BH284" t="inlineStr">
        <is>
          <t>☆</t>
        </is>
      </c>
      <c r="BI284" t="inlineStr">
        <is>
          <t>☆</t>
        </is>
      </c>
      <c r="BJ284" t="inlineStr">
        <is>
          <t>☆</t>
        </is>
      </c>
      <c r="BK284" t="inlineStr">
        <is>
          <t>☆</t>
        </is>
      </c>
      <c r="BL284" t="inlineStr">
        <is>
          <t>☆</t>
        </is>
      </c>
      <c r="BM284" t="inlineStr">
        <is>
          <t>☆</t>
        </is>
      </c>
      <c r="BN284" t="inlineStr">
        <is>
          <t>☆</t>
        </is>
      </c>
      <c r="BO284" t="inlineStr">
        <is>
          <t>☆</t>
        </is>
      </c>
      <c r="BP284" t="inlineStr">
        <is>
          <t>☆</t>
        </is>
      </c>
      <c r="BQ284" t="inlineStr">
        <is>
          <t>☆</t>
        </is>
      </c>
      <c r="BR284"/>
      <c r="BS284" t="inlineStr">
        <is>
          <t>#VALUE!</t>
        </is>
      </c>
    </row>
    <row r="285" ht="25.5" customHeight="1">
      <c r="A285" t="inlineStr">
        <is>
          <t>FR</t>
        </is>
      </c>
      <c r="B285" t="inlineStr">
        <is>
          <t>R0001EU</t>
        </is>
      </c>
      <c r="C285" t="inlineStr">
        <is>
          <t>R0006EU</t>
        </is>
      </c>
      <c r="D285" t="inlineStr">
        <is>
          <t>GS-PS1(MAX)(coupon-0%)</t>
        </is>
      </c>
      <c r="E285">
        <v>31</v>
      </c>
      <c r="F285">
        <v>44.99</v>
      </c>
      <c r="G285"/>
      <c r="H285"/>
      <c r="I285"/>
      <c r="J285"/>
      <c r="K285"/>
      <c r="L285"/>
      <c r="M285"/>
      <c r="N285"/>
      <c r="O285"/>
      <c r="P285">
        <v>30</v>
      </c>
      <c r="Q285">
        <v>8</v>
      </c>
      <c r="R285"/>
      <c r="S285"/>
      <c r="T285"/>
      <c r="U285">
        <v>0.01</v>
      </c>
      <c r="V285"/>
      <c r="W285"/>
      <c r="X285">
        <v>0.188</v>
      </c>
      <c r="Y285">
        <v>5</v>
      </c>
      <c r="Z285">
        <v>0</v>
      </c>
      <c r="AA285"/>
      <c r="AB285"/>
      <c r="AC285">
        <v>90</v>
      </c>
      <c r="AD285"/>
      <c r="AE285"/>
      <c r="AF285"/>
      <c r="AG285"/>
      <c r="AH285">
        <v>8</v>
      </c>
      <c r="AI285"/>
      <c r="AJ285"/>
      <c r="AK285"/>
      <c r="AL285"/>
      <c r="AM285"/>
      <c r="AN285"/>
      <c r="AO285"/>
      <c r="AP285"/>
      <c r="AQ285"/>
      <c r="AR285"/>
      <c r="AS285"/>
      <c r="AT285" t="inlineStr">
        <is>
          <t>☆</t>
        </is>
      </c>
      <c r="AU285" t="inlineStr">
        <is>
          <t>☆</t>
        </is>
      </c>
      <c r="AV285" t="inlineStr">
        <is>
          <t>☆</t>
        </is>
      </c>
      <c r="AW285" t="inlineStr">
        <is>
          <t>☆</t>
        </is>
      </c>
      <c r="AX285" t="inlineStr">
        <is>
          <t>☆</t>
        </is>
      </c>
      <c r="AY285" t="inlineStr">
        <is>
          <t>☆</t>
        </is>
      </c>
      <c r="AZ285" t="inlineStr">
        <is>
          <t>☆</t>
        </is>
      </c>
      <c r="BA285" t="inlineStr">
        <is>
          <t>☆</t>
        </is>
      </c>
      <c r="BB285" t="inlineStr">
        <is>
          <t>☆</t>
        </is>
      </c>
      <c r="BC285" t="inlineStr">
        <is>
          <t>☆</t>
        </is>
      </c>
      <c r="BD285" t="inlineStr">
        <is>
          <t>☆</t>
        </is>
      </c>
      <c r="BE285" t="inlineStr">
        <is>
          <t>☆</t>
        </is>
      </c>
      <c r="BF285" t="inlineStr">
        <is>
          <t>☆</t>
        </is>
      </c>
      <c r="BG285" t="inlineStr">
        <is>
          <t>☆</t>
        </is>
      </c>
      <c r="BH285" t="inlineStr">
        <is>
          <t>☆</t>
        </is>
      </c>
      <c r="BI285" t="inlineStr">
        <is>
          <t>☆</t>
        </is>
      </c>
      <c r="BJ285" t="inlineStr">
        <is>
          <t>☆</t>
        </is>
      </c>
      <c r="BK285" t="inlineStr">
        <is>
          <t>☆</t>
        </is>
      </c>
      <c r="BL285" t="inlineStr">
        <is>
          <t>☆</t>
        </is>
      </c>
      <c r="BM285" t="inlineStr">
        <is>
          <t>☆</t>
        </is>
      </c>
      <c r="BN285" t="inlineStr">
        <is>
          <t>☆</t>
        </is>
      </c>
      <c r="BO285" t="inlineStr">
        <is>
          <t>☆</t>
        </is>
      </c>
      <c r="BP285" t="inlineStr">
        <is>
          <t>☆</t>
        </is>
      </c>
      <c r="BQ285" t="inlineStr">
        <is>
          <t>☆</t>
        </is>
      </c>
      <c r="BR285"/>
      <c r="BS285" t="inlineStr">
        <is>
          <t>#VALUE!</t>
        </is>
      </c>
    </row>
    <row r="286" ht="25.5" customHeight="1">
      <c r="A286" t="inlineStr">
        <is>
          <t>FR</t>
        </is>
      </c>
      <c r="B286" t="inlineStr">
        <is>
          <t>R0001EU</t>
        </is>
      </c>
      <c r="C286" t="inlineStr">
        <is>
          <t>R0006EU</t>
        </is>
      </c>
      <c r="D286" t="inlineStr">
        <is>
          <t>GS-PS1(MAX)(coupon-10%)</t>
        </is>
      </c>
      <c r="E286">
        <v>31</v>
      </c>
      <c r="F286">
        <v>44.99</v>
      </c>
      <c r="G286"/>
      <c r="H286"/>
      <c r="I286"/>
      <c r="J286"/>
      <c r="K286"/>
      <c r="L286"/>
      <c r="M286"/>
      <c r="N286"/>
      <c r="O286"/>
      <c r="P286">
        <v>30</v>
      </c>
      <c r="Q286">
        <v>8</v>
      </c>
      <c r="R286"/>
      <c r="S286"/>
      <c r="T286"/>
      <c r="U286">
        <v>0.01</v>
      </c>
      <c r="V286"/>
      <c r="W286"/>
      <c r="X286">
        <v>0.188</v>
      </c>
      <c r="Y286">
        <v>5</v>
      </c>
      <c r="Z286"/>
      <c r="AA286"/>
      <c r="AB286"/>
      <c r="AC286">
        <v>90</v>
      </c>
      <c r="AD286"/>
      <c r="AE286"/>
      <c r="AF286"/>
      <c r="AG286"/>
      <c r="AH286">
        <v>8</v>
      </c>
      <c r="AI286"/>
      <c r="AJ286"/>
      <c r="AK286"/>
      <c r="AL286"/>
      <c r="AM286"/>
      <c r="AN286"/>
      <c r="AO286"/>
      <c r="AP286"/>
      <c r="AQ286"/>
      <c r="AR286"/>
      <c r="AS286"/>
      <c r="AT286" t="inlineStr">
        <is>
          <t>☆</t>
        </is>
      </c>
      <c r="AU286" t="inlineStr">
        <is>
          <t>☆</t>
        </is>
      </c>
      <c r="AV286" t="inlineStr">
        <is>
          <t>☆</t>
        </is>
      </c>
      <c r="AW286" t="inlineStr">
        <is>
          <t>☆</t>
        </is>
      </c>
      <c r="AX286" t="inlineStr">
        <is>
          <t>☆</t>
        </is>
      </c>
      <c r="AY286" t="inlineStr">
        <is>
          <t>☆</t>
        </is>
      </c>
      <c r="AZ286" t="inlineStr">
        <is>
          <t>☆</t>
        </is>
      </c>
      <c r="BA286" t="inlineStr">
        <is>
          <t>☆</t>
        </is>
      </c>
      <c r="BB286" t="inlineStr">
        <is>
          <t>☆</t>
        </is>
      </c>
      <c r="BC286" t="inlineStr">
        <is>
          <t>☆</t>
        </is>
      </c>
      <c r="BD286" t="inlineStr">
        <is>
          <t>☆</t>
        </is>
      </c>
      <c r="BE286" t="inlineStr">
        <is>
          <t>☆</t>
        </is>
      </c>
      <c r="BF286" t="inlineStr">
        <is>
          <t>☆</t>
        </is>
      </c>
      <c r="BG286" t="inlineStr">
        <is>
          <t>☆</t>
        </is>
      </c>
      <c r="BH286" t="inlineStr">
        <is>
          <t>☆</t>
        </is>
      </c>
      <c r="BI286" t="inlineStr">
        <is>
          <t>☆</t>
        </is>
      </c>
      <c r="BJ286" t="inlineStr">
        <is>
          <t>☆</t>
        </is>
      </c>
      <c r="BK286" t="inlineStr">
        <is>
          <t>☆</t>
        </is>
      </c>
      <c r="BL286" t="inlineStr">
        <is>
          <t>☆</t>
        </is>
      </c>
      <c r="BM286" t="inlineStr">
        <is>
          <t>☆</t>
        </is>
      </c>
      <c r="BN286" t="inlineStr">
        <is>
          <t>☆</t>
        </is>
      </c>
      <c r="BO286" t="inlineStr">
        <is>
          <t>☆</t>
        </is>
      </c>
      <c r="BP286" t="inlineStr">
        <is>
          <t>☆</t>
        </is>
      </c>
      <c r="BQ286" t="inlineStr">
        <is>
          <t>☆</t>
        </is>
      </c>
      <c r="BR286"/>
      <c r="BS286" t="inlineStr">
        <is>
          <t>#VALUE!</t>
        </is>
      </c>
    </row>
    <row r="287" ht="25.5" customHeight="1">
      <c r="A287" t="inlineStr">
        <is>
          <t>FR</t>
        </is>
      </c>
      <c r="B287" t="inlineStr">
        <is>
          <t>R0001EU</t>
        </is>
      </c>
      <c r="C287" t="inlineStr">
        <is>
          <t>R0006EU</t>
        </is>
      </c>
      <c r="D287" t="inlineStr">
        <is>
          <t>GS-PS1(MAX)(coupon-15%)</t>
        </is>
      </c>
      <c r="E287">
        <v>31</v>
      </c>
      <c r="F287">
        <v>44.99</v>
      </c>
      <c r="G287"/>
      <c r="H287"/>
      <c r="I287"/>
      <c r="J287"/>
      <c r="K287"/>
      <c r="L287"/>
      <c r="M287"/>
      <c r="N287"/>
      <c r="O287"/>
      <c r="P287">
        <v>30</v>
      </c>
      <c r="Q287">
        <v>8</v>
      </c>
      <c r="R287"/>
      <c r="S287"/>
      <c r="T287"/>
      <c r="U287">
        <v>0.01</v>
      </c>
      <c r="V287"/>
      <c r="W287"/>
      <c r="X287">
        <v>0.188</v>
      </c>
      <c r="Y287">
        <v>5</v>
      </c>
      <c r="Z287"/>
      <c r="AA287"/>
      <c r="AB287"/>
      <c r="AC287">
        <v>90</v>
      </c>
      <c r="AD287"/>
      <c r="AE287"/>
      <c r="AF287"/>
      <c r="AG287"/>
      <c r="AH287">
        <v>8</v>
      </c>
      <c r="AI287"/>
      <c r="AJ287"/>
      <c r="AK287"/>
      <c r="AL287"/>
      <c r="AM287"/>
      <c r="AN287"/>
      <c r="AO287"/>
      <c r="AP287"/>
      <c r="AQ287"/>
      <c r="AR287"/>
      <c r="AS287"/>
      <c r="AT287" t="inlineStr">
        <is>
          <t>☆</t>
        </is>
      </c>
      <c r="AU287" t="inlineStr">
        <is>
          <t>☆</t>
        </is>
      </c>
      <c r="AV287" t="inlineStr">
        <is>
          <t>☆</t>
        </is>
      </c>
      <c r="AW287" t="inlineStr">
        <is>
          <t>☆</t>
        </is>
      </c>
      <c r="AX287" t="inlineStr">
        <is>
          <t>☆</t>
        </is>
      </c>
      <c r="AY287" t="inlineStr">
        <is>
          <t>☆</t>
        </is>
      </c>
      <c r="AZ287" t="inlineStr">
        <is>
          <t>☆</t>
        </is>
      </c>
      <c r="BA287" t="inlineStr">
        <is>
          <t>☆</t>
        </is>
      </c>
      <c r="BB287" t="inlineStr">
        <is>
          <t>☆</t>
        </is>
      </c>
      <c r="BC287" t="inlineStr">
        <is>
          <t>☆</t>
        </is>
      </c>
      <c r="BD287" t="inlineStr">
        <is>
          <t>☆</t>
        </is>
      </c>
      <c r="BE287" t="inlineStr">
        <is>
          <t>☆</t>
        </is>
      </c>
      <c r="BF287" t="inlineStr">
        <is>
          <t>☆</t>
        </is>
      </c>
      <c r="BG287" t="inlineStr">
        <is>
          <t>☆</t>
        </is>
      </c>
      <c r="BH287" t="inlineStr">
        <is>
          <t>☆</t>
        </is>
      </c>
      <c r="BI287" t="inlineStr">
        <is>
          <t>☆</t>
        </is>
      </c>
      <c r="BJ287" t="inlineStr">
        <is>
          <t>☆</t>
        </is>
      </c>
      <c r="BK287" t="inlineStr">
        <is>
          <t>☆</t>
        </is>
      </c>
      <c r="BL287" t="inlineStr">
        <is>
          <t>☆</t>
        </is>
      </c>
      <c r="BM287" t="inlineStr">
        <is>
          <t>☆</t>
        </is>
      </c>
      <c r="BN287" t="inlineStr">
        <is>
          <t>☆</t>
        </is>
      </c>
      <c r="BO287" t="inlineStr">
        <is>
          <t>☆</t>
        </is>
      </c>
      <c r="BP287" t="inlineStr">
        <is>
          <t>☆</t>
        </is>
      </c>
      <c r="BQ287" t="inlineStr">
        <is>
          <t>☆</t>
        </is>
      </c>
      <c r="BR287"/>
      <c r="BS287" t="inlineStr">
        <is>
          <t>#VALUE!</t>
        </is>
      </c>
    </row>
    <row r="288" ht="25.5" customHeight="1">
      <c r="A288" t="inlineStr">
        <is>
          <t>IT</t>
        </is>
      </c>
      <c r="B288" t="inlineStr">
        <is>
          <t>R0001EU</t>
        </is>
      </c>
      <c r="C288" t="inlineStr">
        <is>
          <t>R0006EU</t>
        </is>
      </c>
      <c r="D288" t="inlineStr">
        <is>
          <t>GS-PS1(MAX)(coupon-0%)</t>
        </is>
      </c>
      <c r="E288">
        <v>31</v>
      </c>
      <c r="F288">
        <v>44.99</v>
      </c>
      <c r="G288"/>
      <c r="H288"/>
      <c r="I288"/>
      <c r="J288"/>
      <c r="K288"/>
      <c r="L288"/>
      <c r="M288"/>
      <c r="N288"/>
      <c r="O288"/>
      <c r="P288">
        <v>30</v>
      </c>
      <c r="Q288">
        <v>8</v>
      </c>
      <c r="R288"/>
      <c r="S288"/>
      <c r="T288"/>
      <c r="U288">
        <v>0.01</v>
      </c>
      <c r="V288"/>
      <c r="W288"/>
      <c r="X288">
        <v>0.188</v>
      </c>
      <c r="Y288">
        <v>5</v>
      </c>
      <c r="Z288">
        <v>0</v>
      </c>
      <c r="AA288"/>
      <c r="AB288"/>
      <c r="AC288">
        <v>90</v>
      </c>
      <c r="AD288"/>
      <c r="AE288"/>
      <c r="AF288"/>
      <c r="AG288"/>
      <c r="AH288">
        <v>8</v>
      </c>
      <c r="AI288"/>
      <c r="AJ288"/>
      <c r="AK288"/>
      <c r="AL288"/>
      <c r="AM288"/>
      <c r="AN288"/>
      <c r="AO288"/>
      <c r="AP288"/>
      <c r="AQ288"/>
      <c r="AR288"/>
      <c r="AS288"/>
      <c r="AT288" t="inlineStr">
        <is>
          <t>☆</t>
        </is>
      </c>
      <c r="AU288" t="inlineStr">
        <is>
          <t>☆</t>
        </is>
      </c>
      <c r="AV288" t="inlineStr">
        <is>
          <t>☆</t>
        </is>
      </c>
      <c r="AW288" t="inlineStr">
        <is>
          <t>☆</t>
        </is>
      </c>
      <c r="AX288" t="inlineStr">
        <is>
          <t>☆</t>
        </is>
      </c>
      <c r="AY288" t="inlineStr">
        <is>
          <t>☆</t>
        </is>
      </c>
      <c r="AZ288" t="inlineStr">
        <is>
          <t>☆</t>
        </is>
      </c>
      <c r="BA288" t="inlineStr">
        <is>
          <t>☆</t>
        </is>
      </c>
      <c r="BB288" t="inlineStr">
        <is>
          <t>☆</t>
        </is>
      </c>
      <c r="BC288" t="inlineStr">
        <is>
          <t>☆</t>
        </is>
      </c>
      <c r="BD288" t="inlineStr">
        <is>
          <t>☆</t>
        </is>
      </c>
      <c r="BE288" t="inlineStr">
        <is>
          <t>☆</t>
        </is>
      </c>
      <c r="BF288" t="inlineStr">
        <is>
          <t>☆</t>
        </is>
      </c>
      <c r="BG288" t="inlineStr">
        <is>
          <t>☆</t>
        </is>
      </c>
      <c r="BH288" t="inlineStr">
        <is>
          <t>☆</t>
        </is>
      </c>
      <c r="BI288" t="inlineStr">
        <is>
          <t>☆</t>
        </is>
      </c>
      <c r="BJ288" t="inlineStr">
        <is>
          <t>☆</t>
        </is>
      </c>
      <c r="BK288" t="inlineStr">
        <is>
          <t>☆</t>
        </is>
      </c>
      <c r="BL288" t="inlineStr">
        <is>
          <t>☆</t>
        </is>
      </c>
      <c r="BM288" t="inlineStr">
        <is>
          <t>☆</t>
        </is>
      </c>
      <c r="BN288" t="inlineStr">
        <is>
          <t>☆</t>
        </is>
      </c>
      <c r="BO288" t="inlineStr">
        <is>
          <t>☆</t>
        </is>
      </c>
      <c r="BP288" t="inlineStr">
        <is>
          <t>☆</t>
        </is>
      </c>
      <c r="BQ288" t="inlineStr">
        <is>
          <t>☆</t>
        </is>
      </c>
      <c r="BR288"/>
      <c r="BS288" t="inlineStr">
        <is>
          <t>#VALUE!</t>
        </is>
      </c>
    </row>
    <row r="289" ht="25.5" customHeight="1">
      <c r="A289" t="inlineStr">
        <is>
          <t>IT</t>
        </is>
      </c>
      <c r="B289" t="inlineStr">
        <is>
          <t>R0001EU</t>
        </is>
      </c>
      <c r="C289" t="inlineStr">
        <is>
          <t>R0006EU</t>
        </is>
      </c>
      <c r="D289" t="inlineStr">
        <is>
          <t>GS-PS1(MAX)(coupon-10%)</t>
        </is>
      </c>
      <c r="E289">
        <v>31</v>
      </c>
      <c r="F289">
        <v>44.99</v>
      </c>
      <c r="G289"/>
      <c r="H289"/>
      <c r="I289"/>
      <c r="J289"/>
      <c r="K289"/>
      <c r="L289"/>
      <c r="M289"/>
      <c r="N289"/>
      <c r="O289"/>
      <c r="P289">
        <v>30</v>
      </c>
      <c r="Q289">
        <v>8</v>
      </c>
      <c r="R289"/>
      <c r="S289"/>
      <c r="T289"/>
      <c r="U289">
        <v>0.01</v>
      </c>
      <c r="V289"/>
      <c r="W289"/>
      <c r="X289">
        <v>0.188</v>
      </c>
      <c r="Y289">
        <v>5</v>
      </c>
      <c r="Z289"/>
      <c r="AA289"/>
      <c r="AB289"/>
      <c r="AC289">
        <v>90</v>
      </c>
      <c r="AD289"/>
      <c r="AE289"/>
      <c r="AF289"/>
      <c r="AG289"/>
      <c r="AH289">
        <v>8</v>
      </c>
      <c r="AI289"/>
      <c r="AJ289"/>
      <c r="AK289"/>
      <c r="AL289"/>
      <c r="AM289"/>
      <c r="AN289"/>
      <c r="AO289"/>
      <c r="AP289"/>
      <c r="AQ289"/>
      <c r="AR289"/>
      <c r="AS289"/>
      <c r="AT289" t="inlineStr">
        <is>
          <t>☆</t>
        </is>
      </c>
      <c r="AU289" t="inlineStr">
        <is>
          <t>☆</t>
        </is>
      </c>
      <c r="AV289" t="inlineStr">
        <is>
          <t>☆</t>
        </is>
      </c>
      <c r="AW289" t="inlineStr">
        <is>
          <t>☆</t>
        </is>
      </c>
      <c r="AX289" t="inlineStr">
        <is>
          <t>☆</t>
        </is>
      </c>
      <c r="AY289" t="inlineStr">
        <is>
          <t>☆</t>
        </is>
      </c>
      <c r="AZ289" t="inlineStr">
        <is>
          <t>☆</t>
        </is>
      </c>
      <c r="BA289" t="inlineStr">
        <is>
          <t>☆</t>
        </is>
      </c>
      <c r="BB289" t="inlineStr">
        <is>
          <t>☆</t>
        </is>
      </c>
      <c r="BC289" t="inlineStr">
        <is>
          <t>☆</t>
        </is>
      </c>
      <c r="BD289" t="inlineStr">
        <is>
          <t>☆</t>
        </is>
      </c>
      <c r="BE289" t="inlineStr">
        <is>
          <t>☆</t>
        </is>
      </c>
      <c r="BF289" t="inlineStr">
        <is>
          <t>☆</t>
        </is>
      </c>
      <c r="BG289" t="inlineStr">
        <is>
          <t>☆</t>
        </is>
      </c>
      <c r="BH289" t="inlineStr">
        <is>
          <t>☆</t>
        </is>
      </c>
      <c r="BI289" t="inlineStr">
        <is>
          <t>☆</t>
        </is>
      </c>
      <c r="BJ289" t="inlineStr">
        <is>
          <t>☆</t>
        </is>
      </c>
      <c r="BK289" t="inlineStr">
        <is>
          <t>☆</t>
        </is>
      </c>
      <c r="BL289" t="inlineStr">
        <is>
          <t>☆</t>
        </is>
      </c>
      <c r="BM289" t="inlineStr">
        <is>
          <t>☆</t>
        </is>
      </c>
      <c r="BN289" t="inlineStr">
        <is>
          <t>☆</t>
        </is>
      </c>
      <c r="BO289" t="inlineStr">
        <is>
          <t>☆</t>
        </is>
      </c>
      <c r="BP289" t="inlineStr">
        <is>
          <t>☆</t>
        </is>
      </c>
      <c r="BQ289" t="inlineStr">
        <is>
          <t>☆</t>
        </is>
      </c>
      <c r="BR289"/>
      <c r="BS289" t="inlineStr">
        <is>
          <t>#VALUE!</t>
        </is>
      </c>
    </row>
    <row r="290" ht="25.5" customHeight="1">
      <c r="A290" t="inlineStr">
        <is>
          <t>IT</t>
        </is>
      </c>
      <c r="B290" t="inlineStr">
        <is>
          <t>R0001EU</t>
        </is>
      </c>
      <c r="C290" t="inlineStr">
        <is>
          <t>R0006EU</t>
        </is>
      </c>
      <c r="D290" t="inlineStr">
        <is>
          <t>GS-PS1(MAX)(coupon-15%)</t>
        </is>
      </c>
      <c r="E290">
        <v>31</v>
      </c>
      <c r="F290">
        <v>44.99</v>
      </c>
      <c r="G290"/>
      <c r="H290"/>
      <c r="I290"/>
      <c r="J290"/>
      <c r="K290"/>
      <c r="L290"/>
      <c r="M290"/>
      <c r="N290"/>
      <c r="O290"/>
      <c r="P290">
        <v>30</v>
      </c>
      <c r="Q290">
        <v>8</v>
      </c>
      <c r="R290"/>
      <c r="S290"/>
      <c r="T290"/>
      <c r="U290">
        <v>0.01</v>
      </c>
      <c r="V290"/>
      <c r="W290"/>
      <c r="X290">
        <v>0.188</v>
      </c>
      <c r="Y290">
        <v>5</v>
      </c>
      <c r="Z290"/>
      <c r="AA290"/>
      <c r="AB290"/>
      <c r="AC290">
        <v>90</v>
      </c>
      <c r="AD290"/>
      <c r="AE290"/>
      <c r="AF290"/>
      <c r="AG290"/>
      <c r="AH290">
        <v>8</v>
      </c>
      <c r="AI290"/>
      <c r="AJ290"/>
      <c r="AK290"/>
      <c r="AL290"/>
      <c r="AM290"/>
      <c r="AN290"/>
      <c r="AO290"/>
      <c r="AP290"/>
      <c r="AQ290"/>
      <c r="AR290"/>
      <c r="AS290"/>
      <c r="AT290" t="inlineStr">
        <is>
          <t>☆</t>
        </is>
      </c>
      <c r="AU290" t="inlineStr">
        <is>
          <t>☆</t>
        </is>
      </c>
      <c r="AV290" t="inlineStr">
        <is>
          <t>☆</t>
        </is>
      </c>
      <c r="AW290" t="inlineStr">
        <is>
          <t>☆</t>
        </is>
      </c>
      <c r="AX290" t="inlineStr">
        <is>
          <t>☆</t>
        </is>
      </c>
      <c r="AY290" t="inlineStr">
        <is>
          <t>☆</t>
        </is>
      </c>
      <c r="AZ290" t="inlineStr">
        <is>
          <t>☆</t>
        </is>
      </c>
      <c r="BA290" t="inlineStr">
        <is>
          <t>☆</t>
        </is>
      </c>
      <c r="BB290" t="inlineStr">
        <is>
          <t>☆</t>
        </is>
      </c>
      <c r="BC290" t="inlineStr">
        <is>
          <t>☆</t>
        </is>
      </c>
      <c r="BD290" t="inlineStr">
        <is>
          <t>☆</t>
        </is>
      </c>
      <c r="BE290" t="inlineStr">
        <is>
          <t>☆</t>
        </is>
      </c>
      <c r="BF290" t="inlineStr">
        <is>
          <t>☆</t>
        </is>
      </c>
      <c r="BG290" t="inlineStr">
        <is>
          <t>☆</t>
        </is>
      </c>
      <c r="BH290" t="inlineStr">
        <is>
          <t>☆</t>
        </is>
      </c>
      <c r="BI290" t="inlineStr">
        <is>
          <t>☆</t>
        </is>
      </c>
      <c r="BJ290" t="inlineStr">
        <is>
          <t>☆</t>
        </is>
      </c>
      <c r="BK290" t="inlineStr">
        <is>
          <t>☆</t>
        </is>
      </c>
      <c r="BL290" t="inlineStr">
        <is>
          <t>☆</t>
        </is>
      </c>
      <c r="BM290" t="inlineStr">
        <is>
          <t>☆</t>
        </is>
      </c>
      <c r="BN290" t="inlineStr">
        <is>
          <t>☆</t>
        </is>
      </c>
      <c r="BO290" t="inlineStr">
        <is>
          <t>☆</t>
        </is>
      </c>
      <c r="BP290" t="inlineStr">
        <is>
          <t>☆</t>
        </is>
      </c>
      <c r="BQ290" t="inlineStr">
        <is>
          <t>☆</t>
        </is>
      </c>
      <c r="BR290"/>
      <c r="BS290" t="inlineStr">
        <is>
          <t>#VALUE!</t>
        </is>
      </c>
    </row>
    <row r="291" ht="25.5" customHeight="1">
      <c r="A291" t="inlineStr">
        <is>
          <t>ES</t>
        </is>
      </c>
      <c r="B291" t="inlineStr">
        <is>
          <t>R0001EU</t>
        </is>
      </c>
      <c r="C291" t="inlineStr">
        <is>
          <t>R0006EU</t>
        </is>
      </c>
      <c r="D291" t="inlineStr">
        <is>
          <t>GS-PS1(MAX)(coupon-0%)</t>
        </is>
      </c>
      <c r="E291">
        <v>31</v>
      </c>
      <c r="F291">
        <v>44.99</v>
      </c>
      <c r="G291"/>
      <c r="H291"/>
      <c r="I291"/>
      <c r="J291"/>
      <c r="K291"/>
      <c r="L291"/>
      <c r="M291"/>
      <c r="N291"/>
      <c r="O291"/>
      <c r="P291">
        <v>30</v>
      </c>
      <c r="Q291">
        <v>8</v>
      </c>
      <c r="R291"/>
      <c r="S291"/>
      <c r="T291"/>
      <c r="U291">
        <v>0.01</v>
      </c>
      <c r="V291"/>
      <c r="W291"/>
      <c r="X291">
        <v>0.188</v>
      </c>
      <c r="Y291">
        <v>5</v>
      </c>
      <c r="Z291">
        <v>0</v>
      </c>
      <c r="AA291"/>
      <c r="AB291"/>
      <c r="AC291">
        <v>90</v>
      </c>
      <c r="AD291"/>
      <c r="AE291"/>
      <c r="AF291"/>
      <c r="AG291"/>
      <c r="AH291">
        <v>8</v>
      </c>
      <c r="AI291"/>
      <c r="AJ291"/>
      <c r="AK291"/>
      <c r="AL291"/>
      <c r="AM291"/>
      <c r="AN291"/>
      <c r="AO291"/>
      <c r="AP291"/>
      <c r="AQ291"/>
      <c r="AR291"/>
      <c r="AS291"/>
      <c r="AT291" t="inlineStr">
        <is>
          <t>☆</t>
        </is>
      </c>
      <c r="AU291" t="inlineStr">
        <is>
          <t>☆</t>
        </is>
      </c>
      <c r="AV291" t="inlineStr">
        <is>
          <t>☆</t>
        </is>
      </c>
      <c r="AW291" t="inlineStr">
        <is>
          <t>☆</t>
        </is>
      </c>
      <c r="AX291" t="inlineStr">
        <is>
          <t>☆</t>
        </is>
      </c>
      <c r="AY291" t="inlineStr">
        <is>
          <t>☆</t>
        </is>
      </c>
      <c r="AZ291" t="inlineStr">
        <is>
          <t>☆</t>
        </is>
      </c>
      <c r="BA291" t="inlineStr">
        <is>
          <t>☆</t>
        </is>
      </c>
      <c r="BB291" t="inlineStr">
        <is>
          <t>☆</t>
        </is>
      </c>
      <c r="BC291" t="inlineStr">
        <is>
          <t>☆</t>
        </is>
      </c>
      <c r="BD291" t="inlineStr">
        <is>
          <t>☆</t>
        </is>
      </c>
      <c r="BE291" t="inlineStr">
        <is>
          <t>☆</t>
        </is>
      </c>
      <c r="BF291" t="inlineStr">
        <is>
          <t>☆</t>
        </is>
      </c>
      <c r="BG291" t="inlineStr">
        <is>
          <t>☆</t>
        </is>
      </c>
      <c r="BH291" t="inlineStr">
        <is>
          <t>☆</t>
        </is>
      </c>
      <c r="BI291" t="inlineStr">
        <is>
          <t>☆</t>
        </is>
      </c>
      <c r="BJ291" t="inlineStr">
        <is>
          <t>☆</t>
        </is>
      </c>
      <c r="BK291" t="inlineStr">
        <is>
          <t>☆</t>
        </is>
      </c>
      <c r="BL291" t="inlineStr">
        <is>
          <t>☆</t>
        </is>
      </c>
      <c r="BM291" t="inlineStr">
        <is>
          <t>☆</t>
        </is>
      </c>
      <c r="BN291" t="inlineStr">
        <is>
          <t>☆</t>
        </is>
      </c>
      <c r="BO291" t="inlineStr">
        <is>
          <t>☆</t>
        </is>
      </c>
      <c r="BP291" t="inlineStr">
        <is>
          <t>☆</t>
        </is>
      </c>
      <c r="BQ291" t="inlineStr">
        <is>
          <t>☆</t>
        </is>
      </c>
      <c r="BR291"/>
      <c r="BS291" t="inlineStr">
        <is>
          <t>#VALUE!</t>
        </is>
      </c>
    </row>
    <row r="292" ht="25.5" customHeight="1">
      <c r="A292" t="inlineStr">
        <is>
          <t>ES</t>
        </is>
      </c>
      <c r="B292" t="inlineStr">
        <is>
          <t>R0001EU</t>
        </is>
      </c>
      <c r="C292" t="inlineStr">
        <is>
          <t>R0006EU</t>
        </is>
      </c>
      <c r="D292" t="inlineStr">
        <is>
          <t>GS-PS1(MAX)(coupon-10%)</t>
        </is>
      </c>
      <c r="E292">
        <v>31</v>
      </c>
      <c r="F292">
        <v>44.99</v>
      </c>
      <c r="G292"/>
      <c r="H292"/>
      <c r="I292"/>
      <c r="J292"/>
      <c r="K292"/>
      <c r="L292"/>
      <c r="M292"/>
      <c r="N292"/>
      <c r="O292"/>
      <c r="P292">
        <v>30</v>
      </c>
      <c r="Q292">
        <v>8</v>
      </c>
      <c r="R292"/>
      <c r="S292"/>
      <c r="T292"/>
      <c r="U292">
        <v>0.01</v>
      </c>
      <c r="V292"/>
      <c r="W292"/>
      <c r="X292">
        <v>0.188</v>
      </c>
      <c r="Y292">
        <v>5</v>
      </c>
      <c r="Z292"/>
      <c r="AA292"/>
      <c r="AB292"/>
      <c r="AC292">
        <v>90</v>
      </c>
      <c r="AD292"/>
      <c r="AE292"/>
      <c r="AF292"/>
      <c r="AG292"/>
      <c r="AH292">
        <v>8</v>
      </c>
      <c r="AI292"/>
      <c r="AJ292"/>
      <c r="AK292"/>
      <c r="AL292"/>
      <c r="AM292"/>
      <c r="AN292"/>
      <c r="AO292"/>
      <c r="AP292"/>
      <c r="AQ292"/>
      <c r="AR292"/>
      <c r="AS292"/>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c r="BS292" t="inlineStr">
        <is>
          <t>#VALUE!</t>
        </is>
      </c>
    </row>
    <row r="293" ht="25.5" customHeight="1">
      <c r="A293" t="inlineStr">
        <is>
          <t>ES</t>
        </is>
      </c>
      <c r="B293" t="inlineStr">
        <is>
          <t>R0001EU</t>
        </is>
      </c>
      <c r="C293" t="inlineStr">
        <is>
          <t>R0006EU</t>
        </is>
      </c>
      <c r="D293" t="inlineStr">
        <is>
          <t>GS-PS1(MAX)(coupon-15%)</t>
        </is>
      </c>
      <c r="E293">
        <v>31</v>
      </c>
      <c r="F293">
        <v>44.99</v>
      </c>
      <c r="G293"/>
      <c r="H293"/>
      <c r="I293"/>
      <c r="J293"/>
      <c r="K293"/>
      <c r="L293"/>
      <c r="M293"/>
      <c r="N293"/>
      <c r="O293"/>
      <c r="P293">
        <v>30</v>
      </c>
      <c r="Q293">
        <v>8</v>
      </c>
      <c r="R293"/>
      <c r="S293"/>
      <c r="T293"/>
      <c r="U293">
        <v>0.01</v>
      </c>
      <c r="V293"/>
      <c r="W293"/>
      <c r="X293">
        <v>0.188</v>
      </c>
      <c r="Y293">
        <v>5</v>
      </c>
      <c r="Z293"/>
      <c r="AA293"/>
      <c r="AB293"/>
      <c r="AC293">
        <v>90</v>
      </c>
      <c r="AD293"/>
      <c r="AE293"/>
      <c r="AF293"/>
      <c r="AG293"/>
      <c r="AH293">
        <v>8</v>
      </c>
      <c r="AI293"/>
      <c r="AJ293"/>
      <c r="AK293"/>
      <c r="AL293"/>
      <c r="AM293"/>
      <c r="AN293"/>
      <c r="AO293"/>
      <c r="AP293"/>
      <c r="AQ293"/>
      <c r="AR293"/>
      <c r="AS293"/>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c r="BS293" t="inlineStr">
        <is>
          <t>#VALUE!</t>
        </is>
      </c>
    </row>
    <row r="294" ht="25.5" customHeight="1">
      <c r="A294" t="inlineStr">
        <is>
          <t>NL</t>
        </is>
      </c>
      <c r="B294" t="inlineStr">
        <is>
          <t>R0001EU</t>
        </is>
      </c>
      <c r="C294" t="inlineStr">
        <is>
          <t>R0006EU</t>
        </is>
      </c>
      <c r="D294" t="inlineStr">
        <is>
          <t>GS-PS1(MAX)荷兰</t>
        </is>
      </c>
      <c r="E294">
        <v>31</v>
      </c>
      <c r="F294">
        <v>44.99</v>
      </c>
      <c r="G294"/>
      <c r="H294"/>
      <c r="I294"/>
      <c r="J294"/>
      <c r="K294"/>
      <c r="L294"/>
      <c r="M294"/>
      <c r="N294"/>
      <c r="O294"/>
      <c r="P294">
        <v>30</v>
      </c>
      <c r="Q294">
        <v>8</v>
      </c>
      <c r="R294"/>
      <c r="S294"/>
      <c r="T294"/>
      <c r="U294">
        <v>0.01</v>
      </c>
      <c r="V294"/>
      <c r="W294"/>
      <c r="X294">
        <v>0.188</v>
      </c>
      <c r="Y294">
        <v>5</v>
      </c>
      <c r="Z294"/>
      <c r="AA294"/>
      <c r="AB294"/>
      <c r="AC294">
        <v>90</v>
      </c>
      <c r="AD294"/>
      <c r="AE294"/>
      <c r="AF294"/>
      <c r="AG294"/>
      <c r="AH294">
        <v>8</v>
      </c>
      <c r="AI294"/>
      <c r="AJ294"/>
      <c r="AK294"/>
      <c r="AL294"/>
      <c r="AM294"/>
      <c r="AN294"/>
      <c r="AO294"/>
      <c r="AP294"/>
      <c r="AQ294"/>
      <c r="AR294"/>
      <c r="AS294"/>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c r="BS294" t="inlineStr">
        <is>
          <t>#VALUE!</t>
        </is>
      </c>
    </row>
    <row r="295" ht="25.5" customHeight="1">
      <c r="A295" t="inlineStr">
        <is>
          <t>PL</t>
        </is>
      </c>
      <c r="B295" t="inlineStr">
        <is>
          <t>R0001EU</t>
        </is>
      </c>
      <c r="C295" t="inlineStr">
        <is>
          <t>R0006EU</t>
        </is>
      </c>
      <c r="D295" t="inlineStr">
        <is>
          <t>GS-PS1(MAX)波兰</t>
        </is>
      </c>
      <c r="E295">
        <v>34.5</v>
      </c>
      <c r="F295">
        <v>49.99</v>
      </c>
      <c r="G295"/>
      <c r="H295"/>
      <c r="I295"/>
      <c r="J295"/>
      <c r="K295"/>
      <c r="L295"/>
      <c r="M295"/>
      <c r="N295"/>
      <c r="O295"/>
      <c r="P295">
        <v>30</v>
      </c>
      <c r="Q295">
        <v>8</v>
      </c>
      <c r="R295"/>
      <c r="S295"/>
      <c r="T295"/>
      <c r="U295">
        <v>0.01</v>
      </c>
      <c r="V295"/>
      <c r="W295"/>
      <c r="X295">
        <v>0.188</v>
      </c>
      <c r="Y295">
        <v>5</v>
      </c>
      <c r="Z295"/>
      <c r="AA295"/>
      <c r="AB295"/>
      <c r="AC295">
        <v>90</v>
      </c>
      <c r="AD295"/>
      <c r="AE295"/>
      <c r="AF295"/>
      <c r="AG295"/>
      <c r="AH295">
        <v>8</v>
      </c>
      <c r="AI295"/>
      <c r="AJ295"/>
      <c r="AK295"/>
      <c r="AL295"/>
      <c r="AM295"/>
      <c r="AN295"/>
      <c r="AO295"/>
      <c r="AP295"/>
      <c r="AQ295"/>
      <c r="AR295"/>
      <c r="AS295"/>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c r="BS295" t="inlineStr">
        <is>
          <t>#VALUE!</t>
        </is>
      </c>
    </row>
    <row r="296" ht="25.5" customHeight="1">
      <c r="A296" t="inlineStr">
        <is>
          <t>SE</t>
        </is>
      </c>
      <c r="B296" t="inlineStr">
        <is>
          <t>R0001EU</t>
        </is>
      </c>
      <c r="C296" t="inlineStr">
        <is>
          <t>R0006EU</t>
        </is>
      </c>
      <c r="D296" t="inlineStr">
        <is>
          <t>GS-PS1(MAX)瑞典</t>
        </is>
      </c>
      <c r="E296">
        <v>34.5</v>
      </c>
      <c r="F296">
        <v>49.99</v>
      </c>
      <c r="G296"/>
      <c r="H296"/>
      <c r="I296"/>
      <c r="J296"/>
      <c r="K296"/>
      <c r="L296"/>
      <c r="M296"/>
      <c r="N296"/>
      <c r="O296"/>
      <c r="P296">
        <v>30</v>
      </c>
      <c r="Q296">
        <v>8</v>
      </c>
      <c r="R296"/>
      <c r="S296"/>
      <c r="T296"/>
      <c r="U296">
        <v>0.01</v>
      </c>
      <c r="V296"/>
      <c r="W296"/>
      <c r="X296">
        <v>0.188</v>
      </c>
      <c r="Y296">
        <v>5</v>
      </c>
      <c r="Z296"/>
      <c r="AA296"/>
      <c r="AB296"/>
      <c r="AC296">
        <v>90</v>
      </c>
      <c r="AD296"/>
      <c r="AE296"/>
      <c r="AF296"/>
      <c r="AG296"/>
      <c r="AH296">
        <v>8</v>
      </c>
      <c r="AI296"/>
      <c r="AJ296"/>
      <c r="AK296"/>
      <c r="AL296"/>
      <c r="AM296"/>
      <c r="AN296"/>
      <c r="AO296"/>
      <c r="AP296"/>
      <c r="AQ296"/>
      <c r="AR296"/>
      <c r="AS296"/>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c r="BS296" t="inlineStr">
        <is>
          <t>#VALUE!</t>
        </is>
      </c>
    </row>
    <row r="297" ht="25.5" customHeight="1">
      <c r="A297" t="inlineStr">
        <is>
          <t>BE</t>
        </is>
      </c>
      <c r="B297" t="inlineStr">
        <is>
          <t>R0001EU</t>
        </is>
      </c>
      <c r="C297" t="inlineStr">
        <is>
          <t>R0006EU</t>
        </is>
      </c>
      <c r="D297" t="inlineStr">
        <is>
          <t>GS-PS1(MAX)比利时</t>
        </is>
      </c>
      <c r="E297">
        <v>31</v>
      </c>
      <c r="F297">
        <v>44.99</v>
      </c>
      <c r="G297"/>
      <c r="H297"/>
      <c r="I297"/>
      <c r="J297"/>
      <c r="K297"/>
      <c r="L297"/>
      <c r="M297"/>
      <c r="N297"/>
      <c r="O297"/>
      <c r="P297">
        <v>20</v>
      </c>
      <c r="Q297">
        <v>8</v>
      </c>
      <c r="R297"/>
      <c r="S297"/>
      <c r="T297"/>
      <c r="U297">
        <v>0.01</v>
      </c>
      <c r="V297"/>
      <c r="W297"/>
      <c r="X297">
        <v>0.188</v>
      </c>
      <c r="Y297">
        <v>5</v>
      </c>
      <c r="Z297"/>
      <c r="AA297"/>
      <c r="AB297"/>
      <c r="AC297">
        <v>90</v>
      </c>
      <c r="AD297"/>
      <c r="AE297"/>
      <c r="AF297"/>
      <c r="AG297"/>
      <c r="AH297">
        <v>8</v>
      </c>
      <c r="AI297"/>
      <c r="AJ297"/>
      <c r="AK297"/>
      <c r="AL297"/>
      <c r="AM297"/>
      <c r="AN297"/>
      <c r="AO297"/>
      <c r="AP297"/>
      <c r="AQ297"/>
      <c r="AR297"/>
      <c r="AS297"/>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c r="BS297" t="inlineStr">
        <is>
          <t>#VALUE!</t>
        </is>
      </c>
    </row>
    <row r="298" ht="25.5" customHeight="1">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row>
    <row r="299" ht="25.5" customHeight="1">
      <c r="A299" t="inlineStr">
        <is>
          <t>UK</t>
        </is>
      </c>
      <c r="B299" t="inlineStr">
        <is>
          <t>R0001EU</t>
        </is>
      </c>
      <c r="C299" t="inlineStr">
        <is>
          <t>R0009EU</t>
        </is>
      </c>
      <c r="D299" t="inlineStr">
        <is>
          <t>GS-CS04C(PRO)(coupon-0%）</t>
        </is>
      </c>
      <c r="E299">
        <v>20.6</v>
      </c>
      <c r="F299">
        <v>29.99</v>
      </c>
      <c r="G299"/>
      <c r="H299"/>
      <c r="I299"/>
      <c r="J299"/>
      <c r="K299"/>
      <c r="L299"/>
      <c r="M299"/>
      <c r="N299"/>
      <c r="O299"/>
      <c r="P299">
        <v>40</v>
      </c>
      <c r="Q299">
        <v>9</v>
      </c>
      <c r="R299"/>
      <c r="S299"/>
      <c r="T299"/>
      <c r="U299">
        <v>0.01</v>
      </c>
      <c r="V299"/>
      <c r="W299"/>
      <c r="X299">
        <v>0.178</v>
      </c>
      <c r="Y299">
        <v>4</v>
      </c>
      <c r="Z299">
        <v>0</v>
      </c>
      <c r="AA299"/>
      <c r="AB299"/>
      <c r="AC299">
        <v>70</v>
      </c>
      <c r="AD299"/>
      <c r="AE299"/>
      <c r="AF299"/>
      <c r="AG299"/>
      <c r="AH299">
        <v>7</v>
      </c>
      <c r="AI299"/>
      <c r="AJ299"/>
      <c r="AK299"/>
      <c r="AL299"/>
      <c r="AM299"/>
      <c r="AN299"/>
      <c r="AO299"/>
      <c r="AP299"/>
      <c r="AQ299"/>
      <c r="AR299"/>
      <c r="AS299"/>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c r="BS299" t="inlineStr">
        <is>
          <t>#VALUE!</t>
        </is>
      </c>
    </row>
    <row r="300" ht="25.5" customHeight="1">
      <c r="A300" t="inlineStr">
        <is>
          <t>UK</t>
        </is>
      </c>
      <c r="B300" t="inlineStr">
        <is>
          <t>R0001EU</t>
        </is>
      </c>
      <c r="C300" t="inlineStr">
        <is>
          <t>R0009EU</t>
        </is>
      </c>
      <c r="D300" t="inlineStr">
        <is>
          <t>GS-CS04C(PRO)(coupon-10%）</t>
        </is>
      </c>
      <c r="E300">
        <v>20.6</v>
      </c>
      <c r="F300">
        <v>29.99</v>
      </c>
      <c r="G300"/>
      <c r="H300"/>
      <c r="I300"/>
      <c r="J300"/>
      <c r="K300"/>
      <c r="L300"/>
      <c r="M300"/>
      <c r="N300"/>
      <c r="O300"/>
      <c r="P300">
        <v>40</v>
      </c>
      <c r="Q300">
        <v>9</v>
      </c>
      <c r="R300"/>
      <c r="S300"/>
      <c r="T300"/>
      <c r="U300">
        <v>0.01</v>
      </c>
      <c r="V300"/>
      <c r="W300"/>
      <c r="X300">
        <v>0.178</v>
      </c>
      <c r="Y300">
        <v>4</v>
      </c>
      <c r="Z300"/>
      <c r="AA300"/>
      <c r="AB300"/>
      <c r="AC300">
        <v>70</v>
      </c>
      <c r="AD300"/>
      <c r="AE300"/>
      <c r="AF300"/>
      <c r="AG300"/>
      <c r="AH300">
        <v>7</v>
      </c>
      <c r="AI300"/>
      <c r="AJ300"/>
      <c r="AK300"/>
      <c r="AL300"/>
      <c r="AM300"/>
      <c r="AN300"/>
      <c r="AO300"/>
      <c r="AP300"/>
      <c r="AQ300"/>
      <c r="AR300"/>
      <c r="AS300"/>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c r="BS300" t="inlineStr">
        <is>
          <t>#VALUE!</t>
        </is>
      </c>
    </row>
    <row r="301" ht="25.5" customHeight="1">
      <c r="A301" t="inlineStr">
        <is>
          <t>UK</t>
        </is>
      </c>
      <c r="B301" t="inlineStr">
        <is>
          <t>R0001EU</t>
        </is>
      </c>
      <c r="C301" t="inlineStr">
        <is>
          <t>R0009EU</t>
        </is>
      </c>
      <c r="D301" t="inlineStr">
        <is>
          <t>GS-CS04C(PRO)(coupon-15%）</t>
        </is>
      </c>
      <c r="E301">
        <v>20.6</v>
      </c>
      <c r="F301">
        <v>29.99</v>
      </c>
      <c r="G301"/>
      <c r="H301"/>
      <c r="I301"/>
      <c r="J301"/>
      <c r="K301"/>
      <c r="L301"/>
      <c r="M301"/>
      <c r="N301"/>
      <c r="O301"/>
      <c r="P301">
        <v>40</v>
      </c>
      <c r="Q301">
        <v>9</v>
      </c>
      <c r="R301"/>
      <c r="S301"/>
      <c r="T301"/>
      <c r="U301">
        <v>0.01</v>
      </c>
      <c r="V301"/>
      <c r="W301"/>
      <c r="X301">
        <v>0.178</v>
      </c>
      <c r="Y301">
        <v>4</v>
      </c>
      <c r="Z301"/>
      <c r="AA301"/>
      <c r="AB301"/>
      <c r="AC301">
        <v>70</v>
      </c>
      <c r="AD301"/>
      <c r="AE301"/>
      <c r="AF301"/>
      <c r="AG301"/>
      <c r="AH301">
        <v>7</v>
      </c>
      <c r="AI301"/>
      <c r="AJ301"/>
      <c r="AK301"/>
      <c r="AL301"/>
      <c r="AM301"/>
      <c r="AN301"/>
      <c r="AO301"/>
      <c r="AP301"/>
      <c r="AQ301"/>
      <c r="AR301"/>
      <c r="AS301"/>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c r="BS301" t="inlineStr">
        <is>
          <t>#VALUE!</t>
        </is>
      </c>
    </row>
    <row r="302" ht="25.5" customHeight="1">
      <c r="A302" t="inlineStr">
        <is>
          <t>DE</t>
        </is>
      </c>
      <c r="B302" t="inlineStr">
        <is>
          <t>R0001EU</t>
        </is>
      </c>
      <c r="C302" t="inlineStr">
        <is>
          <t>R0009EU</t>
        </is>
      </c>
      <c r="D302" t="inlineStr">
        <is>
          <t>GS-CS04C(PRO)(coupon-0%）</t>
        </is>
      </c>
      <c r="E302">
        <v>24</v>
      </c>
      <c r="F302">
        <v>34.99</v>
      </c>
      <c r="G302"/>
      <c r="H302"/>
      <c r="I302"/>
      <c r="J302"/>
      <c r="K302"/>
      <c r="L302"/>
      <c r="M302"/>
      <c r="N302"/>
      <c r="O302"/>
      <c r="P302">
        <v>40</v>
      </c>
      <c r="Q302">
        <v>8</v>
      </c>
      <c r="R302"/>
      <c r="S302"/>
      <c r="T302"/>
      <c r="U302">
        <v>0.01</v>
      </c>
      <c r="V302"/>
      <c r="W302"/>
      <c r="X302">
        <v>0.188</v>
      </c>
      <c r="Y302">
        <v>4</v>
      </c>
      <c r="Z302">
        <v>0</v>
      </c>
      <c r="AA302"/>
      <c r="AB302"/>
      <c r="AC302">
        <v>70</v>
      </c>
      <c r="AD302"/>
      <c r="AE302"/>
      <c r="AF302"/>
      <c r="AG302"/>
      <c r="AH302">
        <v>7</v>
      </c>
      <c r="AI302"/>
      <c r="AJ302"/>
      <c r="AK302"/>
      <c r="AL302"/>
      <c r="AM302"/>
      <c r="AN302"/>
      <c r="AO302"/>
      <c r="AP302"/>
      <c r="AQ302"/>
      <c r="AR302"/>
      <c r="AS302"/>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c r="BS302" t="inlineStr">
        <is>
          <t>#VALUE!</t>
        </is>
      </c>
    </row>
    <row r="303" ht="25.5" customHeight="1">
      <c r="A303" t="inlineStr">
        <is>
          <t>DE</t>
        </is>
      </c>
      <c r="B303" t="inlineStr">
        <is>
          <t>R0001EU</t>
        </is>
      </c>
      <c r="C303" t="inlineStr">
        <is>
          <t>R0009EU</t>
        </is>
      </c>
      <c r="D303" t="inlineStr">
        <is>
          <t>GS-CS04C(PRO)(coupon-10%）</t>
        </is>
      </c>
      <c r="E303">
        <v>24</v>
      </c>
      <c r="F303">
        <v>34.99</v>
      </c>
      <c r="G303"/>
      <c r="H303"/>
      <c r="I303"/>
      <c r="J303"/>
      <c r="K303"/>
      <c r="L303"/>
      <c r="M303"/>
      <c r="N303"/>
      <c r="O303"/>
      <c r="P303">
        <v>40</v>
      </c>
      <c r="Q303">
        <v>8</v>
      </c>
      <c r="R303"/>
      <c r="S303"/>
      <c r="T303"/>
      <c r="U303">
        <v>0.01</v>
      </c>
      <c r="V303"/>
      <c r="W303"/>
      <c r="X303">
        <v>0.188</v>
      </c>
      <c r="Y303">
        <v>4</v>
      </c>
      <c r="Z303"/>
      <c r="AA303"/>
      <c r="AB303"/>
      <c r="AC303">
        <v>70</v>
      </c>
      <c r="AD303"/>
      <c r="AE303"/>
      <c r="AF303"/>
      <c r="AG303"/>
      <c r="AH303">
        <v>7</v>
      </c>
      <c r="AI303"/>
      <c r="AJ303"/>
      <c r="AK303"/>
      <c r="AL303"/>
      <c r="AM303"/>
      <c r="AN303"/>
      <c r="AO303"/>
      <c r="AP303"/>
      <c r="AQ303"/>
      <c r="AR303"/>
      <c r="AS303"/>
      <c r="AT303" t="inlineStr">
        <is>
          <t>☆</t>
        </is>
      </c>
      <c r="AU303" t="inlineStr">
        <is>
          <t>☆</t>
        </is>
      </c>
      <c r="AV303" t="inlineStr">
        <is>
          <t>☆</t>
        </is>
      </c>
      <c r="AW303" t="inlineStr">
        <is>
          <t>☆</t>
        </is>
      </c>
      <c r="AX303" t="inlineStr">
        <is>
          <t>☆</t>
        </is>
      </c>
      <c r="AY303" t="inlineStr">
        <is>
          <t>☆</t>
        </is>
      </c>
      <c r="AZ303" t="inlineStr">
        <is>
          <t>☆</t>
        </is>
      </c>
      <c r="BA303" t="inlineStr">
        <is>
          <t>☆</t>
        </is>
      </c>
      <c r="BB303" t="inlineStr">
        <is>
          <t>☆</t>
        </is>
      </c>
      <c r="BC303" t="inlineStr">
        <is>
          <t>☆</t>
        </is>
      </c>
      <c r="BD303" t="inlineStr">
        <is>
          <t>☆</t>
        </is>
      </c>
      <c r="BE303" t="inlineStr">
        <is>
          <t>☆</t>
        </is>
      </c>
      <c r="BF303" t="inlineStr">
        <is>
          <t>☆</t>
        </is>
      </c>
      <c r="BG303" t="inlineStr">
        <is>
          <t>☆</t>
        </is>
      </c>
      <c r="BH303" t="inlineStr">
        <is>
          <t>☆</t>
        </is>
      </c>
      <c r="BI303" t="inlineStr">
        <is>
          <t>☆</t>
        </is>
      </c>
      <c r="BJ303" t="inlineStr">
        <is>
          <t>☆</t>
        </is>
      </c>
      <c r="BK303" t="inlineStr">
        <is>
          <t>☆</t>
        </is>
      </c>
      <c r="BL303" t="inlineStr">
        <is>
          <t>☆</t>
        </is>
      </c>
      <c r="BM303" t="inlineStr">
        <is>
          <t>☆</t>
        </is>
      </c>
      <c r="BN303" t="inlineStr">
        <is>
          <t>☆</t>
        </is>
      </c>
      <c r="BO303" t="inlineStr">
        <is>
          <t>☆</t>
        </is>
      </c>
      <c r="BP303" t="inlineStr">
        <is>
          <t>☆</t>
        </is>
      </c>
      <c r="BQ303" t="inlineStr">
        <is>
          <t>☆</t>
        </is>
      </c>
      <c r="BR303"/>
      <c r="BS303" t="inlineStr">
        <is>
          <t>#VALUE!</t>
        </is>
      </c>
    </row>
    <row r="304" ht="25.5" customHeight="1">
      <c r="A304" t="inlineStr">
        <is>
          <t>DE</t>
        </is>
      </c>
      <c r="B304" t="inlineStr">
        <is>
          <t>R0001EU</t>
        </is>
      </c>
      <c r="C304" t="inlineStr">
        <is>
          <t>R0009EU</t>
        </is>
      </c>
      <c r="D304" t="inlineStr">
        <is>
          <t>GS-CS04C(PRO)(coupon-15%）</t>
        </is>
      </c>
      <c r="E304">
        <v>24</v>
      </c>
      <c r="F304">
        <v>34.99</v>
      </c>
      <c r="G304"/>
      <c r="H304"/>
      <c r="I304"/>
      <c r="J304"/>
      <c r="K304"/>
      <c r="L304"/>
      <c r="M304"/>
      <c r="N304"/>
      <c r="O304"/>
      <c r="P304">
        <v>40</v>
      </c>
      <c r="Q304">
        <v>8</v>
      </c>
      <c r="R304"/>
      <c r="S304"/>
      <c r="T304"/>
      <c r="U304">
        <v>0.01</v>
      </c>
      <c r="V304"/>
      <c r="W304"/>
      <c r="X304">
        <v>0.188</v>
      </c>
      <c r="Y304">
        <v>4</v>
      </c>
      <c r="Z304"/>
      <c r="AA304"/>
      <c r="AB304"/>
      <c r="AC304">
        <v>70</v>
      </c>
      <c r="AD304"/>
      <c r="AE304"/>
      <c r="AF304"/>
      <c r="AG304"/>
      <c r="AH304">
        <v>7</v>
      </c>
      <c r="AI304"/>
      <c r="AJ304"/>
      <c r="AK304"/>
      <c r="AL304"/>
      <c r="AM304"/>
      <c r="AN304"/>
      <c r="AO304"/>
      <c r="AP304"/>
      <c r="AQ304"/>
      <c r="AR304"/>
      <c r="AS304"/>
      <c r="AT304" t="inlineStr">
        <is>
          <t>☆</t>
        </is>
      </c>
      <c r="AU304" t="inlineStr">
        <is>
          <t>☆</t>
        </is>
      </c>
      <c r="AV304" t="inlineStr">
        <is>
          <t>☆</t>
        </is>
      </c>
      <c r="AW304" t="inlineStr">
        <is>
          <t>☆</t>
        </is>
      </c>
      <c r="AX304" t="inlineStr">
        <is>
          <t>☆</t>
        </is>
      </c>
      <c r="AY304" t="inlineStr">
        <is>
          <t>☆</t>
        </is>
      </c>
      <c r="AZ304" t="inlineStr">
        <is>
          <t>☆</t>
        </is>
      </c>
      <c r="BA304" t="inlineStr">
        <is>
          <t>☆</t>
        </is>
      </c>
      <c r="BB304" t="inlineStr">
        <is>
          <t>☆</t>
        </is>
      </c>
      <c r="BC304" t="inlineStr">
        <is>
          <t>☆</t>
        </is>
      </c>
      <c r="BD304" t="inlineStr">
        <is>
          <t>☆</t>
        </is>
      </c>
      <c r="BE304" t="inlineStr">
        <is>
          <t>☆</t>
        </is>
      </c>
      <c r="BF304" t="inlineStr">
        <is>
          <t>☆</t>
        </is>
      </c>
      <c r="BG304" t="inlineStr">
        <is>
          <t>☆</t>
        </is>
      </c>
      <c r="BH304" t="inlineStr">
        <is>
          <t>☆</t>
        </is>
      </c>
      <c r="BI304" t="inlineStr">
        <is>
          <t>☆</t>
        </is>
      </c>
      <c r="BJ304" t="inlineStr">
        <is>
          <t>☆</t>
        </is>
      </c>
      <c r="BK304" t="inlineStr">
        <is>
          <t>☆</t>
        </is>
      </c>
      <c r="BL304" t="inlineStr">
        <is>
          <t>☆</t>
        </is>
      </c>
      <c r="BM304" t="inlineStr">
        <is>
          <t>☆</t>
        </is>
      </c>
      <c r="BN304" t="inlineStr">
        <is>
          <t>☆</t>
        </is>
      </c>
      <c r="BO304" t="inlineStr">
        <is>
          <t>☆</t>
        </is>
      </c>
      <c r="BP304" t="inlineStr">
        <is>
          <t>☆</t>
        </is>
      </c>
      <c r="BQ304" t="inlineStr">
        <is>
          <t>☆</t>
        </is>
      </c>
      <c r="BR304"/>
      <c r="BS304" t="inlineStr">
        <is>
          <t>#VALUE!</t>
        </is>
      </c>
    </row>
    <row r="305" ht="25.5" customHeight="1">
      <c r="A305" t="inlineStr">
        <is>
          <t>FR</t>
        </is>
      </c>
      <c r="B305" t="inlineStr">
        <is>
          <t>R0001EU</t>
        </is>
      </c>
      <c r="C305" t="inlineStr">
        <is>
          <t>R0009EU</t>
        </is>
      </c>
      <c r="D305" t="inlineStr">
        <is>
          <t>GS-CS04C(PRO)(coupon-0%）</t>
        </is>
      </c>
      <c r="E305">
        <v>24</v>
      </c>
      <c r="F305">
        <v>34.99</v>
      </c>
      <c r="G305"/>
      <c r="H305"/>
      <c r="I305"/>
      <c r="J305"/>
      <c r="K305"/>
      <c r="L305"/>
      <c r="M305"/>
      <c r="N305"/>
      <c r="O305"/>
      <c r="P305">
        <v>40</v>
      </c>
      <c r="Q305">
        <v>8</v>
      </c>
      <c r="R305"/>
      <c r="S305"/>
      <c r="T305"/>
      <c r="U305">
        <v>0.01</v>
      </c>
      <c r="V305"/>
      <c r="W305"/>
      <c r="X305">
        <v>0.188</v>
      </c>
      <c r="Y305">
        <v>4</v>
      </c>
      <c r="Z305">
        <v>0</v>
      </c>
      <c r="AA305"/>
      <c r="AB305"/>
      <c r="AC305">
        <v>70</v>
      </c>
      <c r="AD305"/>
      <c r="AE305"/>
      <c r="AF305"/>
      <c r="AG305"/>
      <c r="AH305">
        <v>7</v>
      </c>
      <c r="AI305"/>
      <c r="AJ305"/>
      <c r="AK305"/>
      <c r="AL305"/>
      <c r="AM305"/>
      <c r="AN305"/>
      <c r="AO305"/>
      <c r="AP305"/>
      <c r="AQ305"/>
      <c r="AR305"/>
      <c r="AS305"/>
      <c r="AT305" t="inlineStr">
        <is>
          <t>☆</t>
        </is>
      </c>
      <c r="AU305" t="inlineStr">
        <is>
          <t>☆</t>
        </is>
      </c>
      <c r="AV305" t="inlineStr">
        <is>
          <t>☆</t>
        </is>
      </c>
      <c r="AW305" t="inlineStr">
        <is>
          <t>☆</t>
        </is>
      </c>
      <c r="AX305" t="inlineStr">
        <is>
          <t>☆</t>
        </is>
      </c>
      <c r="AY305" t="inlineStr">
        <is>
          <t>☆</t>
        </is>
      </c>
      <c r="AZ305" t="inlineStr">
        <is>
          <t>☆</t>
        </is>
      </c>
      <c r="BA305" t="inlineStr">
        <is>
          <t>☆</t>
        </is>
      </c>
      <c r="BB305" t="inlineStr">
        <is>
          <t>☆</t>
        </is>
      </c>
      <c r="BC305" t="inlineStr">
        <is>
          <t>☆</t>
        </is>
      </c>
      <c r="BD305" t="inlineStr">
        <is>
          <t>☆</t>
        </is>
      </c>
      <c r="BE305" t="inlineStr">
        <is>
          <t>☆</t>
        </is>
      </c>
      <c r="BF305" t="inlineStr">
        <is>
          <t>☆</t>
        </is>
      </c>
      <c r="BG305" t="inlineStr">
        <is>
          <t>☆</t>
        </is>
      </c>
      <c r="BH305" t="inlineStr">
        <is>
          <t>☆</t>
        </is>
      </c>
      <c r="BI305" t="inlineStr">
        <is>
          <t>☆</t>
        </is>
      </c>
      <c r="BJ305" t="inlineStr">
        <is>
          <t>☆</t>
        </is>
      </c>
      <c r="BK305" t="inlineStr">
        <is>
          <t>☆</t>
        </is>
      </c>
      <c r="BL305" t="inlineStr">
        <is>
          <t>☆</t>
        </is>
      </c>
      <c r="BM305" t="inlineStr">
        <is>
          <t>☆</t>
        </is>
      </c>
      <c r="BN305" t="inlineStr">
        <is>
          <t>☆</t>
        </is>
      </c>
      <c r="BO305" t="inlineStr">
        <is>
          <t>☆</t>
        </is>
      </c>
      <c r="BP305" t="inlineStr">
        <is>
          <t>☆</t>
        </is>
      </c>
      <c r="BQ305" t="inlineStr">
        <is>
          <t>☆</t>
        </is>
      </c>
      <c r="BR305"/>
      <c r="BS305" t="inlineStr">
        <is>
          <t>#VALUE!</t>
        </is>
      </c>
    </row>
    <row r="306" ht="25.5" customHeight="1">
      <c r="A306" t="inlineStr">
        <is>
          <t>FR</t>
        </is>
      </c>
      <c r="B306" t="inlineStr">
        <is>
          <t>R0001EU</t>
        </is>
      </c>
      <c r="C306" t="inlineStr">
        <is>
          <t>R0009EU</t>
        </is>
      </c>
      <c r="D306" t="inlineStr">
        <is>
          <t>GS-CS04C(PRO)(coupon-10%）</t>
        </is>
      </c>
      <c r="E306">
        <v>24</v>
      </c>
      <c r="F306">
        <v>34.99</v>
      </c>
      <c r="G306"/>
      <c r="H306"/>
      <c r="I306"/>
      <c r="J306"/>
      <c r="K306"/>
      <c r="L306"/>
      <c r="M306"/>
      <c r="N306"/>
      <c r="O306"/>
      <c r="P306">
        <v>40</v>
      </c>
      <c r="Q306">
        <v>8</v>
      </c>
      <c r="R306"/>
      <c r="S306"/>
      <c r="T306"/>
      <c r="U306">
        <v>0.01</v>
      </c>
      <c r="V306"/>
      <c r="W306"/>
      <c r="X306">
        <v>0.188</v>
      </c>
      <c r="Y306">
        <v>4</v>
      </c>
      <c r="Z306"/>
      <c r="AA306"/>
      <c r="AB306"/>
      <c r="AC306">
        <v>70</v>
      </c>
      <c r="AD306"/>
      <c r="AE306"/>
      <c r="AF306"/>
      <c r="AG306"/>
      <c r="AH306">
        <v>7</v>
      </c>
      <c r="AI306"/>
      <c r="AJ306"/>
      <c r="AK306"/>
      <c r="AL306"/>
      <c r="AM306"/>
      <c r="AN306"/>
      <c r="AO306"/>
      <c r="AP306"/>
      <c r="AQ306"/>
      <c r="AR306"/>
      <c r="AS306"/>
      <c r="AT306" t="inlineStr">
        <is>
          <t>☆</t>
        </is>
      </c>
      <c r="AU306" t="inlineStr">
        <is>
          <t>☆</t>
        </is>
      </c>
      <c r="AV306" t="inlineStr">
        <is>
          <t>☆</t>
        </is>
      </c>
      <c r="AW306" t="inlineStr">
        <is>
          <t>☆</t>
        </is>
      </c>
      <c r="AX306" t="inlineStr">
        <is>
          <t>☆</t>
        </is>
      </c>
      <c r="AY306" t="inlineStr">
        <is>
          <t>☆</t>
        </is>
      </c>
      <c r="AZ306" t="inlineStr">
        <is>
          <t>☆</t>
        </is>
      </c>
      <c r="BA306" t="inlineStr">
        <is>
          <t>☆</t>
        </is>
      </c>
      <c r="BB306" t="inlineStr">
        <is>
          <t>☆</t>
        </is>
      </c>
      <c r="BC306" t="inlineStr">
        <is>
          <t>☆</t>
        </is>
      </c>
      <c r="BD306" t="inlineStr">
        <is>
          <t>☆</t>
        </is>
      </c>
      <c r="BE306" t="inlineStr">
        <is>
          <t>☆</t>
        </is>
      </c>
      <c r="BF306" t="inlineStr">
        <is>
          <t>☆</t>
        </is>
      </c>
      <c r="BG306" t="inlineStr">
        <is>
          <t>☆</t>
        </is>
      </c>
      <c r="BH306" t="inlineStr">
        <is>
          <t>☆</t>
        </is>
      </c>
      <c r="BI306" t="inlineStr">
        <is>
          <t>☆</t>
        </is>
      </c>
      <c r="BJ306" t="inlineStr">
        <is>
          <t>☆</t>
        </is>
      </c>
      <c r="BK306" t="inlineStr">
        <is>
          <t>☆</t>
        </is>
      </c>
      <c r="BL306" t="inlineStr">
        <is>
          <t>☆</t>
        </is>
      </c>
      <c r="BM306" t="inlineStr">
        <is>
          <t>☆</t>
        </is>
      </c>
      <c r="BN306" t="inlineStr">
        <is>
          <t>☆</t>
        </is>
      </c>
      <c r="BO306" t="inlineStr">
        <is>
          <t>☆</t>
        </is>
      </c>
      <c r="BP306" t="inlineStr">
        <is>
          <t>☆</t>
        </is>
      </c>
      <c r="BQ306" t="inlineStr">
        <is>
          <t>☆</t>
        </is>
      </c>
      <c r="BR306"/>
      <c r="BS306" t="inlineStr">
        <is>
          <t>#VALUE!</t>
        </is>
      </c>
    </row>
    <row r="307" ht="25.5" customHeight="1">
      <c r="A307" t="inlineStr">
        <is>
          <t>FR</t>
        </is>
      </c>
      <c r="B307" t="inlineStr">
        <is>
          <t>R0001EU</t>
        </is>
      </c>
      <c r="C307" t="inlineStr">
        <is>
          <t>R0009EU</t>
        </is>
      </c>
      <c r="D307" t="inlineStr">
        <is>
          <t>GS-CS04C(PRO)(coupon-15%）</t>
        </is>
      </c>
      <c r="E307">
        <v>24</v>
      </c>
      <c r="F307">
        <v>34.99</v>
      </c>
      <c r="G307"/>
      <c r="H307"/>
      <c r="I307"/>
      <c r="J307"/>
      <c r="K307"/>
      <c r="L307"/>
      <c r="M307"/>
      <c r="N307"/>
      <c r="O307"/>
      <c r="P307">
        <v>40</v>
      </c>
      <c r="Q307">
        <v>8</v>
      </c>
      <c r="R307"/>
      <c r="S307"/>
      <c r="T307"/>
      <c r="U307">
        <v>0.01</v>
      </c>
      <c r="V307"/>
      <c r="W307"/>
      <c r="X307">
        <v>0.188</v>
      </c>
      <c r="Y307">
        <v>4</v>
      </c>
      <c r="Z307"/>
      <c r="AA307"/>
      <c r="AB307"/>
      <c r="AC307">
        <v>70</v>
      </c>
      <c r="AD307"/>
      <c r="AE307"/>
      <c r="AF307"/>
      <c r="AG307"/>
      <c r="AH307">
        <v>7</v>
      </c>
      <c r="AI307"/>
      <c r="AJ307"/>
      <c r="AK307"/>
      <c r="AL307"/>
      <c r="AM307"/>
      <c r="AN307"/>
      <c r="AO307"/>
      <c r="AP307"/>
      <c r="AQ307"/>
      <c r="AR307"/>
      <c r="AS307"/>
      <c r="AT307" t="inlineStr">
        <is>
          <t>☆</t>
        </is>
      </c>
      <c r="AU307" t="inlineStr">
        <is>
          <t>☆</t>
        </is>
      </c>
      <c r="AV307" t="inlineStr">
        <is>
          <t>☆</t>
        </is>
      </c>
      <c r="AW307" t="inlineStr">
        <is>
          <t>☆</t>
        </is>
      </c>
      <c r="AX307" t="inlineStr">
        <is>
          <t>☆</t>
        </is>
      </c>
      <c r="AY307" t="inlineStr">
        <is>
          <t>☆</t>
        </is>
      </c>
      <c r="AZ307" t="inlineStr">
        <is>
          <t>☆</t>
        </is>
      </c>
      <c r="BA307" t="inlineStr">
        <is>
          <t>☆</t>
        </is>
      </c>
      <c r="BB307" t="inlineStr">
        <is>
          <t>☆</t>
        </is>
      </c>
      <c r="BC307" t="inlineStr">
        <is>
          <t>☆</t>
        </is>
      </c>
      <c r="BD307" t="inlineStr">
        <is>
          <t>☆</t>
        </is>
      </c>
      <c r="BE307" t="inlineStr">
        <is>
          <t>☆</t>
        </is>
      </c>
      <c r="BF307" t="inlineStr">
        <is>
          <t>☆</t>
        </is>
      </c>
      <c r="BG307" t="inlineStr">
        <is>
          <t>☆</t>
        </is>
      </c>
      <c r="BH307" t="inlineStr">
        <is>
          <t>☆</t>
        </is>
      </c>
      <c r="BI307" t="inlineStr">
        <is>
          <t>☆</t>
        </is>
      </c>
      <c r="BJ307" t="inlineStr">
        <is>
          <t>☆</t>
        </is>
      </c>
      <c r="BK307" t="inlineStr">
        <is>
          <t>☆</t>
        </is>
      </c>
      <c r="BL307" t="inlineStr">
        <is>
          <t>☆</t>
        </is>
      </c>
      <c r="BM307" t="inlineStr">
        <is>
          <t>☆</t>
        </is>
      </c>
      <c r="BN307" t="inlineStr">
        <is>
          <t>☆</t>
        </is>
      </c>
      <c r="BO307" t="inlineStr">
        <is>
          <t>☆</t>
        </is>
      </c>
      <c r="BP307" t="inlineStr">
        <is>
          <t>☆</t>
        </is>
      </c>
      <c r="BQ307" t="inlineStr">
        <is>
          <t>☆</t>
        </is>
      </c>
      <c r="BR307"/>
      <c r="BS307" t="inlineStr">
        <is>
          <t>#VALUE!</t>
        </is>
      </c>
    </row>
    <row r="308" ht="25.5" customHeight="1">
      <c r="A308" t="inlineStr">
        <is>
          <t>IT</t>
        </is>
      </c>
      <c r="B308" t="inlineStr">
        <is>
          <t>R0001EU</t>
        </is>
      </c>
      <c r="C308" t="inlineStr">
        <is>
          <t>R0009EU</t>
        </is>
      </c>
      <c r="D308" t="inlineStr">
        <is>
          <t>GS-CS04C(PRO)(coupon-0%）</t>
        </is>
      </c>
      <c r="E308">
        <v>24</v>
      </c>
      <c r="F308">
        <v>34.99</v>
      </c>
      <c r="G308"/>
      <c r="H308"/>
      <c r="I308"/>
      <c r="J308"/>
      <c r="K308"/>
      <c r="L308"/>
      <c r="M308"/>
      <c r="N308"/>
      <c r="O308"/>
      <c r="P308">
        <v>40</v>
      </c>
      <c r="Q308">
        <v>8</v>
      </c>
      <c r="R308"/>
      <c r="S308"/>
      <c r="T308"/>
      <c r="U308">
        <v>0.01</v>
      </c>
      <c r="V308"/>
      <c r="W308"/>
      <c r="X308">
        <v>0.188</v>
      </c>
      <c r="Y308">
        <v>4</v>
      </c>
      <c r="Z308">
        <v>0</v>
      </c>
      <c r="AA308"/>
      <c r="AB308"/>
      <c r="AC308">
        <v>70</v>
      </c>
      <c r="AD308"/>
      <c r="AE308"/>
      <c r="AF308"/>
      <c r="AG308"/>
      <c r="AH308">
        <v>7</v>
      </c>
      <c r="AI308"/>
      <c r="AJ308"/>
      <c r="AK308"/>
      <c r="AL308"/>
      <c r="AM308"/>
      <c r="AN308"/>
      <c r="AO308"/>
      <c r="AP308"/>
      <c r="AQ308"/>
      <c r="AR308"/>
      <c r="AS308"/>
      <c r="AT308" t="inlineStr">
        <is>
          <t>☆</t>
        </is>
      </c>
      <c r="AU308" t="inlineStr">
        <is>
          <t>☆</t>
        </is>
      </c>
      <c r="AV308" t="inlineStr">
        <is>
          <t>☆</t>
        </is>
      </c>
      <c r="AW308" t="inlineStr">
        <is>
          <t>☆</t>
        </is>
      </c>
      <c r="AX308" t="inlineStr">
        <is>
          <t>☆</t>
        </is>
      </c>
      <c r="AY308" t="inlineStr">
        <is>
          <t>☆</t>
        </is>
      </c>
      <c r="AZ308" t="inlineStr">
        <is>
          <t>☆</t>
        </is>
      </c>
      <c r="BA308" t="inlineStr">
        <is>
          <t>☆</t>
        </is>
      </c>
      <c r="BB308" t="inlineStr">
        <is>
          <t>☆</t>
        </is>
      </c>
      <c r="BC308" t="inlineStr">
        <is>
          <t>☆</t>
        </is>
      </c>
      <c r="BD308" t="inlineStr">
        <is>
          <t>☆</t>
        </is>
      </c>
      <c r="BE308" t="inlineStr">
        <is>
          <t>☆</t>
        </is>
      </c>
      <c r="BF308" t="inlineStr">
        <is>
          <t>☆</t>
        </is>
      </c>
      <c r="BG308" t="inlineStr">
        <is>
          <t>☆</t>
        </is>
      </c>
      <c r="BH308" t="inlineStr">
        <is>
          <t>☆</t>
        </is>
      </c>
      <c r="BI308" t="inlineStr">
        <is>
          <t>☆</t>
        </is>
      </c>
      <c r="BJ308" t="inlineStr">
        <is>
          <t>☆</t>
        </is>
      </c>
      <c r="BK308" t="inlineStr">
        <is>
          <t>☆</t>
        </is>
      </c>
      <c r="BL308" t="inlineStr">
        <is>
          <t>☆</t>
        </is>
      </c>
      <c r="BM308" t="inlineStr">
        <is>
          <t>☆</t>
        </is>
      </c>
      <c r="BN308" t="inlineStr">
        <is>
          <t>☆</t>
        </is>
      </c>
      <c r="BO308" t="inlineStr">
        <is>
          <t>☆</t>
        </is>
      </c>
      <c r="BP308" t="inlineStr">
        <is>
          <t>☆</t>
        </is>
      </c>
      <c r="BQ308" t="inlineStr">
        <is>
          <t>☆</t>
        </is>
      </c>
      <c r="BR308"/>
      <c r="BS308" t="inlineStr">
        <is>
          <t>#VALUE!</t>
        </is>
      </c>
    </row>
    <row r="309" ht="25.5" customHeight="1">
      <c r="A309" t="inlineStr">
        <is>
          <t>IT</t>
        </is>
      </c>
      <c r="B309" t="inlineStr">
        <is>
          <t>R0001EU</t>
        </is>
      </c>
      <c r="C309" t="inlineStr">
        <is>
          <t>R0009EU</t>
        </is>
      </c>
      <c r="D309" t="inlineStr">
        <is>
          <t>GS-CS04C(PRO)(coupon-10%）</t>
        </is>
      </c>
      <c r="E309">
        <v>24</v>
      </c>
      <c r="F309">
        <v>34.99</v>
      </c>
      <c r="G309"/>
      <c r="H309"/>
      <c r="I309"/>
      <c r="J309"/>
      <c r="K309"/>
      <c r="L309"/>
      <c r="M309"/>
      <c r="N309"/>
      <c r="O309"/>
      <c r="P309">
        <v>40</v>
      </c>
      <c r="Q309">
        <v>8</v>
      </c>
      <c r="R309"/>
      <c r="S309"/>
      <c r="T309"/>
      <c r="U309">
        <v>0.01</v>
      </c>
      <c r="V309"/>
      <c r="W309"/>
      <c r="X309">
        <v>0.188</v>
      </c>
      <c r="Y309">
        <v>4</v>
      </c>
      <c r="Z309"/>
      <c r="AA309"/>
      <c r="AB309"/>
      <c r="AC309">
        <v>70</v>
      </c>
      <c r="AD309"/>
      <c r="AE309"/>
      <c r="AF309"/>
      <c r="AG309"/>
      <c r="AH309">
        <v>7</v>
      </c>
      <c r="AI309"/>
      <c r="AJ309"/>
      <c r="AK309"/>
      <c r="AL309"/>
      <c r="AM309"/>
      <c r="AN309"/>
      <c r="AO309"/>
      <c r="AP309"/>
      <c r="AQ309"/>
      <c r="AR309"/>
      <c r="AS309"/>
      <c r="AT309" t="inlineStr">
        <is>
          <t>☆</t>
        </is>
      </c>
      <c r="AU309" t="inlineStr">
        <is>
          <t>☆</t>
        </is>
      </c>
      <c r="AV309" t="inlineStr">
        <is>
          <t>☆</t>
        </is>
      </c>
      <c r="AW309" t="inlineStr">
        <is>
          <t>☆</t>
        </is>
      </c>
      <c r="AX309" t="inlineStr">
        <is>
          <t>☆</t>
        </is>
      </c>
      <c r="AY309" t="inlineStr">
        <is>
          <t>☆</t>
        </is>
      </c>
      <c r="AZ309" t="inlineStr">
        <is>
          <t>☆</t>
        </is>
      </c>
      <c r="BA309" t="inlineStr">
        <is>
          <t>☆</t>
        </is>
      </c>
      <c r="BB309" t="inlineStr">
        <is>
          <t>☆</t>
        </is>
      </c>
      <c r="BC309" t="inlineStr">
        <is>
          <t>☆</t>
        </is>
      </c>
      <c r="BD309" t="inlineStr">
        <is>
          <t>☆</t>
        </is>
      </c>
      <c r="BE309" t="inlineStr">
        <is>
          <t>☆</t>
        </is>
      </c>
      <c r="BF309" t="inlineStr">
        <is>
          <t>☆</t>
        </is>
      </c>
      <c r="BG309" t="inlineStr">
        <is>
          <t>☆</t>
        </is>
      </c>
      <c r="BH309" t="inlineStr">
        <is>
          <t>☆</t>
        </is>
      </c>
      <c r="BI309" t="inlineStr">
        <is>
          <t>☆</t>
        </is>
      </c>
      <c r="BJ309" t="inlineStr">
        <is>
          <t>☆</t>
        </is>
      </c>
      <c r="BK309" t="inlineStr">
        <is>
          <t>☆</t>
        </is>
      </c>
      <c r="BL309" t="inlineStr">
        <is>
          <t>☆</t>
        </is>
      </c>
      <c r="BM309" t="inlineStr">
        <is>
          <t>☆</t>
        </is>
      </c>
      <c r="BN309" t="inlineStr">
        <is>
          <t>☆</t>
        </is>
      </c>
      <c r="BO309" t="inlineStr">
        <is>
          <t>☆</t>
        </is>
      </c>
      <c r="BP309" t="inlineStr">
        <is>
          <t>☆</t>
        </is>
      </c>
      <c r="BQ309" t="inlineStr">
        <is>
          <t>☆</t>
        </is>
      </c>
      <c r="BR309"/>
      <c r="BS309" t="inlineStr">
        <is>
          <t>#VALUE!</t>
        </is>
      </c>
    </row>
    <row r="310" ht="25.5" customHeight="1">
      <c r="A310" t="inlineStr">
        <is>
          <t>IT</t>
        </is>
      </c>
      <c r="B310" t="inlineStr">
        <is>
          <t>R0001EU</t>
        </is>
      </c>
      <c r="C310" t="inlineStr">
        <is>
          <t>R0009EU</t>
        </is>
      </c>
      <c r="D310" t="inlineStr">
        <is>
          <t>GS-CS04C(PRO)(coupon-15%）</t>
        </is>
      </c>
      <c r="E310">
        <v>24</v>
      </c>
      <c r="F310">
        <v>34.99</v>
      </c>
      <c r="G310"/>
      <c r="H310"/>
      <c r="I310"/>
      <c r="J310"/>
      <c r="K310"/>
      <c r="L310"/>
      <c r="M310"/>
      <c r="N310"/>
      <c r="O310"/>
      <c r="P310">
        <v>40</v>
      </c>
      <c r="Q310">
        <v>8</v>
      </c>
      <c r="R310"/>
      <c r="S310"/>
      <c r="T310"/>
      <c r="U310">
        <v>0.01</v>
      </c>
      <c r="V310"/>
      <c r="W310"/>
      <c r="X310">
        <v>0.188</v>
      </c>
      <c r="Y310">
        <v>4</v>
      </c>
      <c r="Z310"/>
      <c r="AA310"/>
      <c r="AB310"/>
      <c r="AC310">
        <v>70</v>
      </c>
      <c r="AD310"/>
      <c r="AE310"/>
      <c r="AF310"/>
      <c r="AG310"/>
      <c r="AH310">
        <v>7</v>
      </c>
      <c r="AI310"/>
      <c r="AJ310"/>
      <c r="AK310"/>
      <c r="AL310"/>
      <c r="AM310"/>
      <c r="AN310"/>
      <c r="AO310"/>
      <c r="AP310"/>
      <c r="AQ310"/>
      <c r="AR310"/>
      <c r="AS310"/>
      <c r="AT310" t="inlineStr">
        <is>
          <t>☆</t>
        </is>
      </c>
      <c r="AU310" t="inlineStr">
        <is>
          <t>☆</t>
        </is>
      </c>
      <c r="AV310" t="inlineStr">
        <is>
          <t>☆</t>
        </is>
      </c>
      <c r="AW310" t="inlineStr">
        <is>
          <t>☆</t>
        </is>
      </c>
      <c r="AX310" t="inlineStr">
        <is>
          <t>☆</t>
        </is>
      </c>
      <c r="AY310" t="inlineStr">
        <is>
          <t>☆</t>
        </is>
      </c>
      <c r="AZ310" t="inlineStr">
        <is>
          <t>☆</t>
        </is>
      </c>
      <c r="BA310" t="inlineStr">
        <is>
          <t>☆</t>
        </is>
      </c>
      <c r="BB310" t="inlineStr">
        <is>
          <t>☆</t>
        </is>
      </c>
      <c r="BC310" t="inlineStr">
        <is>
          <t>☆</t>
        </is>
      </c>
      <c r="BD310" t="inlineStr">
        <is>
          <t>☆</t>
        </is>
      </c>
      <c r="BE310" t="inlineStr">
        <is>
          <t>☆</t>
        </is>
      </c>
      <c r="BF310" t="inlineStr">
        <is>
          <t>☆</t>
        </is>
      </c>
      <c r="BG310" t="inlineStr">
        <is>
          <t>☆</t>
        </is>
      </c>
      <c r="BH310" t="inlineStr">
        <is>
          <t>☆</t>
        </is>
      </c>
      <c r="BI310" t="inlineStr">
        <is>
          <t>☆</t>
        </is>
      </c>
      <c r="BJ310" t="inlineStr">
        <is>
          <t>☆</t>
        </is>
      </c>
      <c r="BK310" t="inlineStr">
        <is>
          <t>☆</t>
        </is>
      </c>
      <c r="BL310" t="inlineStr">
        <is>
          <t>☆</t>
        </is>
      </c>
      <c r="BM310" t="inlineStr">
        <is>
          <t>☆</t>
        </is>
      </c>
      <c r="BN310" t="inlineStr">
        <is>
          <t>☆</t>
        </is>
      </c>
      <c r="BO310" t="inlineStr">
        <is>
          <t>☆</t>
        </is>
      </c>
      <c r="BP310" t="inlineStr">
        <is>
          <t>☆</t>
        </is>
      </c>
      <c r="BQ310" t="inlineStr">
        <is>
          <t>☆</t>
        </is>
      </c>
      <c r="BR310"/>
      <c r="BS310" t="inlineStr">
        <is>
          <t>#VALUE!</t>
        </is>
      </c>
    </row>
    <row r="311" ht="25.5" customHeight="1">
      <c r="A311" t="inlineStr">
        <is>
          <t>ES</t>
        </is>
      </c>
      <c r="B311" t="inlineStr">
        <is>
          <t>R0001EU</t>
        </is>
      </c>
      <c r="C311" t="inlineStr">
        <is>
          <t>R0009EU</t>
        </is>
      </c>
      <c r="D311" t="inlineStr">
        <is>
          <t>GS-CS04C(PRO)(coupon-0%）</t>
        </is>
      </c>
      <c r="E311">
        <v>24</v>
      </c>
      <c r="F311">
        <v>34.99</v>
      </c>
      <c r="G311"/>
      <c r="H311"/>
      <c r="I311"/>
      <c r="J311"/>
      <c r="K311"/>
      <c r="L311"/>
      <c r="M311"/>
      <c r="N311"/>
      <c r="O311"/>
      <c r="P311">
        <v>40</v>
      </c>
      <c r="Q311">
        <v>8</v>
      </c>
      <c r="R311"/>
      <c r="S311"/>
      <c r="T311"/>
      <c r="U311">
        <v>0.01</v>
      </c>
      <c r="V311"/>
      <c r="W311"/>
      <c r="X311">
        <v>0.188</v>
      </c>
      <c r="Y311">
        <v>4</v>
      </c>
      <c r="Z311">
        <v>0</v>
      </c>
      <c r="AA311"/>
      <c r="AB311"/>
      <c r="AC311">
        <v>70</v>
      </c>
      <c r="AD311"/>
      <c r="AE311"/>
      <c r="AF311"/>
      <c r="AG311"/>
      <c r="AH311">
        <v>7</v>
      </c>
      <c r="AI311"/>
      <c r="AJ311"/>
      <c r="AK311"/>
      <c r="AL311"/>
      <c r="AM311"/>
      <c r="AN311"/>
      <c r="AO311"/>
      <c r="AP311"/>
      <c r="AQ311"/>
      <c r="AR311"/>
      <c r="AS311"/>
      <c r="AT311" t="inlineStr">
        <is>
          <t>☆</t>
        </is>
      </c>
      <c r="AU311" t="inlineStr">
        <is>
          <t>☆</t>
        </is>
      </c>
      <c r="AV311" t="inlineStr">
        <is>
          <t>☆</t>
        </is>
      </c>
      <c r="AW311" t="inlineStr">
        <is>
          <t>☆</t>
        </is>
      </c>
      <c r="AX311" t="inlineStr">
        <is>
          <t>☆</t>
        </is>
      </c>
      <c r="AY311" t="inlineStr">
        <is>
          <t>☆</t>
        </is>
      </c>
      <c r="AZ311" t="inlineStr">
        <is>
          <t>☆</t>
        </is>
      </c>
      <c r="BA311" t="inlineStr">
        <is>
          <t>☆</t>
        </is>
      </c>
      <c r="BB311" t="inlineStr">
        <is>
          <t>☆</t>
        </is>
      </c>
      <c r="BC311" t="inlineStr">
        <is>
          <t>☆</t>
        </is>
      </c>
      <c r="BD311" t="inlineStr">
        <is>
          <t>☆</t>
        </is>
      </c>
      <c r="BE311" t="inlineStr">
        <is>
          <t>☆</t>
        </is>
      </c>
      <c r="BF311" t="inlineStr">
        <is>
          <t>☆</t>
        </is>
      </c>
      <c r="BG311" t="inlineStr">
        <is>
          <t>☆</t>
        </is>
      </c>
      <c r="BH311" t="inlineStr">
        <is>
          <t>☆</t>
        </is>
      </c>
      <c r="BI311" t="inlineStr">
        <is>
          <t>☆</t>
        </is>
      </c>
      <c r="BJ311" t="inlineStr">
        <is>
          <t>☆</t>
        </is>
      </c>
      <c r="BK311" t="inlineStr">
        <is>
          <t>☆</t>
        </is>
      </c>
      <c r="BL311" t="inlineStr">
        <is>
          <t>☆</t>
        </is>
      </c>
      <c r="BM311" t="inlineStr">
        <is>
          <t>☆</t>
        </is>
      </c>
      <c r="BN311" t="inlineStr">
        <is>
          <t>☆</t>
        </is>
      </c>
      <c r="BO311" t="inlineStr">
        <is>
          <t>☆</t>
        </is>
      </c>
      <c r="BP311" t="inlineStr">
        <is>
          <t>☆</t>
        </is>
      </c>
      <c r="BQ311" t="inlineStr">
        <is>
          <t>☆</t>
        </is>
      </c>
      <c r="BR311"/>
      <c r="BS311" t="inlineStr">
        <is>
          <t>#VALUE!</t>
        </is>
      </c>
    </row>
    <row r="312" ht="25.5" customHeight="1">
      <c r="A312" t="inlineStr">
        <is>
          <t>ES</t>
        </is>
      </c>
      <c r="B312" t="inlineStr">
        <is>
          <t>R0001EU</t>
        </is>
      </c>
      <c r="C312" t="inlineStr">
        <is>
          <t>R0009EU</t>
        </is>
      </c>
      <c r="D312" t="inlineStr">
        <is>
          <t>GS-CS04C(PRO)(coupon-10%）</t>
        </is>
      </c>
      <c r="E312">
        <v>24</v>
      </c>
      <c r="F312">
        <v>34.99</v>
      </c>
      <c r="G312"/>
      <c r="H312"/>
      <c r="I312"/>
      <c r="J312"/>
      <c r="K312"/>
      <c r="L312"/>
      <c r="M312"/>
      <c r="N312"/>
      <c r="O312"/>
      <c r="P312">
        <v>40</v>
      </c>
      <c r="Q312">
        <v>8</v>
      </c>
      <c r="R312"/>
      <c r="S312"/>
      <c r="T312"/>
      <c r="U312">
        <v>0.01</v>
      </c>
      <c r="V312"/>
      <c r="W312"/>
      <c r="X312">
        <v>0.188</v>
      </c>
      <c r="Y312">
        <v>4</v>
      </c>
      <c r="Z312"/>
      <c r="AA312"/>
      <c r="AB312"/>
      <c r="AC312">
        <v>70</v>
      </c>
      <c r="AD312"/>
      <c r="AE312"/>
      <c r="AF312"/>
      <c r="AG312"/>
      <c r="AH312">
        <v>7</v>
      </c>
      <c r="AI312"/>
      <c r="AJ312"/>
      <c r="AK312"/>
      <c r="AL312"/>
      <c r="AM312"/>
      <c r="AN312"/>
      <c r="AO312"/>
      <c r="AP312"/>
      <c r="AQ312"/>
      <c r="AR312"/>
      <c r="AS312"/>
      <c r="AT312" t="inlineStr">
        <is>
          <t>☆</t>
        </is>
      </c>
      <c r="AU312" t="inlineStr">
        <is>
          <t>☆</t>
        </is>
      </c>
      <c r="AV312" t="inlineStr">
        <is>
          <t>☆</t>
        </is>
      </c>
      <c r="AW312" t="inlineStr">
        <is>
          <t>☆</t>
        </is>
      </c>
      <c r="AX312" t="inlineStr">
        <is>
          <t>☆</t>
        </is>
      </c>
      <c r="AY312" t="inlineStr">
        <is>
          <t>☆</t>
        </is>
      </c>
      <c r="AZ312" t="inlineStr">
        <is>
          <t>☆</t>
        </is>
      </c>
      <c r="BA312" t="inlineStr">
        <is>
          <t>☆</t>
        </is>
      </c>
      <c r="BB312" t="inlineStr">
        <is>
          <t>☆</t>
        </is>
      </c>
      <c r="BC312" t="inlineStr">
        <is>
          <t>☆</t>
        </is>
      </c>
      <c r="BD312" t="inlineStr">
        <is>
          <t>☆</t>
        </is>
      </c>
      <c r="BE312" t="inlineStr">
        <is>
          <t>☆</t>
        </is>
      </c>
      <c r="BF312" t="inlineStr">
        <is>
          <t>☆</t>
        </is>
      </c>
      <c r="BG312" t="inlineStr">
        <is>
          <t>☆</t>
        </is>
      </c>
      <c r="BH312" t="inlineStr">
        <is>
          <t>☆</t>
        </is>
      </c>
      <c r="BI312" t="inlineStr">
        <is>
          <t>☆</t>
        </is>
      </c>
      <c r="BJ312" t="inlineStr">
        <is>
          <t>☆</t>
        </is>
      </c>
      <c r="BK312" t="inlineStr">
        <is>
          <t>☆</t>
        </is>
      </c>
      <c r="BL312" t="inlineStr">
        <is>
          <t>☆</t>
        </is>
      </c>
      <c r="BM312" t="inlineStr">
        <is>
          <t>☆</t>
        </is>
      </c>
      <c r="BN312" t="inlineStr">
        <is>
          <t>☆</t>
        </is>
      </c>
      <c r="BO312" t="inlineStr">
        <is>
          <t>☆</t>
        </is>
      </c>
      <c r="BP312" t="inlineStr">
        <is>
          <t>☆</t>
        </is>
      </c>
      <c r="BQ312" t="inlineStr">
        <is>
          <t>☆</t>
        </is>
      </c>
      <c r="BR312"/>
      <c r="BS312" t="inlineStr">
        <is>
          <t>#VALUE!</t>
        </is>
      </c>
    </row>
    <row r="313" ht="25.5" customHeight="1">
      <c r="A313" t="inlineStr">
        <is>
          <t>ES</t>
        </is>
      </c>
      <c r="B313" t="inlineStr">
        <is>
          <t>R0001EU</t>
        </is>
      </c>
      <c r="C313" t="inlineStr">
        <is>
          <t>R0009EU</t>
        </is>
      </c>
      <c r="D313" t="inlineStr">
        <is>
          <t>GS-CS04C(PRO)(coupon-15%）</t>
        </is>
      </c>
      <c r="E313">
        <v>24</v>
      </c>
      <c r="F313">
        <v>34.99</v>
      </c>
      <c r="G313"/>
      <c r="H313"/>
      <c r="I313"/>
      <c r="J313"/>
      <c r="K313"/>
      <c r="L313"/>
      <c r="M313"/>
      <c r="N313"/>
      <c r="O313"/>
      <c r="P313">
        <v>40</v>
      </c>
      <c r="Q313">
        <v>8</v>
      </c>
      <c r="R313"/>
      <c r="S313"/>
      <c r="T313"/>
      <c r="U313">
        <v>0.01</v>
      </c>
      <c r="V313"/>
      <c r="W313"/>
      <c r="X313">
        <v>0.188</v>
      </c>
      <c r="Y313">
        <v>4</v>
      </c>
      <c r="Z313"/>
      <c r="AA313"/>
      <c r="AB313"/>
      <c r="AC313">
        <v>70</v>
      </c>
      <c r="AD313"/>
      <c r="AE313"/>
      <c r="AF313"/>
      <c r="AG313"/>
      <c r="AH313">
        <v>7</v>
      </c>
      <c r="AI313"/>
      <c r="AJ313"/>
      <c r="AK313"/>
      <c r="AL313"/>
      <c r="AM313"/>
      <c r="AN313"/>
      <c r="AO313"/>
      <c r="AP313"/>
      <c r="AQ313"/>
      <c r="AR313"/>
      <c r="AS313"/>
      <c r="AT313" t="inlineStr">
        <is>
          <t>☆</t>
        </is>
      </c>
      <c r="AU313" t="inlineStr">
        <is>
          <t>☆</t>
        </is>
      </c>
      <c r="AV313" t="inlineStr">
        <is>
          <t>☆</t>
        </is>
      </c>
      <c r="AW313" t="inlineStr">
        <is>
          <t>☆</t>
        </is>
      </c>
      <c r="AX313" t="inlineStr">
        <is>
          <t>☆</t>
        </is>
      </c>
      <c r="AY313" t="inlineStr">
        <is>
          <t>☆</t>
        </is>
      </c>
      <c r="AZ313" t="inlineStr">
        <is>
          <t>☆</t>
        </is>
      </c>
      <c r="BA313" t="inlineStr">
        <is>
          <t>☆</t>
        </is>
      </c>
      <c r="BB313" t="inlineStr">
        <is>
          <t>☆</t>
        </is>
      </c>
      <c r="BC313" t="inlineStr">
        <is>
          <t>☆</t>
        </is>
      </c>
      <c r="BD313" t="inlineStr">
        <is>
          <t>☆</t>
        </is>
      </c>
      <c r="BE313" t="inlineStr">
        <is>
          <t>☆</t>
        </is>
      </c>
      <c r="BF313" t="inlineStr">
        <is>
          <t>☆</t>
        </is>
      </c>
      <c r="BG313" t="inlineStr">
        <is>
          <t>☆</t>
        </is>
      </c>
      <c r="BH313" t="inlineStr">
        <is>
          <t>☆</t>
        </is>
      </c>
      <c r="BI313" t="inlineStr">
        <is>
          <t>☆</t>
        </is>
      </c>
      <c r="BJ313" t="inlineStr">
        <is>
          <t>☆</t>
        </is>
      </c>
      <c r="BK313" t="inlineStr">
        <is>
          <t>☆</t>
        </is>
      </c>
      <c r="BL313" t="inlineStr">
        <is>
          <t>☆</t>
        </is>
      </c>
      <c r="BM313" t="inlineStr">
        <is>
          <t>☆</t>
        </is>
      </c>
      <c r="BN313" t="inlineStr">
        <is>
          <t>☆</t>
        </is>
      </c>
      <c r="BO313" t="inlineStr">
        <is>
          <t>☆</t>
        </is>
      </c>
      <c r="BP313" t="inlineStr">
        <is>
          <t>☆</t>
        </is>
      </c>
      <c r="BQ313" t="inlineStr">
        <is>
          <t>☆</t>
        </is>
      </c>
      <c r="BR313"/>
      <c r="BS313" t="inlineStr">
        <is>
          <t>#VALUE!</t>
        </is>
      </c>
    </row>
    <row r="314" ht="25.5" customHeight="1">
      <c r="A314" t="inlineStr">
        <is>
          <t>NL</t>
        </is>
      </c>
      <c r="B314" t="inlineStr">
        <is>
          <t>R0001EU</t>
        </is>
      </c>
      <c r="C314" t="inlineStr">
        <is>
          <t>R0009EU</t>
        </is>
      </c>
      <c r="D314" t="inlineStr">
        <is>
          <t>GS-CS04C(PRO)荷兰</t>
        </is>
      </c>
      <c r="E314">
        <v>24</v>
      </c>
      <c r="F314">
        <v>34.99</v>
      </c>
      <c r="G314"/>
      <c r="H314"/>
      <c r="I314"/>
      <c r="J314"/>
      <c r="K314"/>
      <c r="L314"/>
      <c r="M314"/>
      <c r="N314"/>
      <c r="O314"/>
      <c r="P314">
        <v>40</v>
      </c>
      <c r="Q314">
        <v>8</v>
      </c>
      <c r="R314"/>
      <c r="S314"/>
      <c r="T314"/>
      <c r="U314">
        <v>0.01</v>
      </c>
      <c r="V314"/>
      <c r="W314"/>
      <c r="X314">
        <v>0.188</v>
      </c>
      <c r="Y314">
        <v>4</v>
      </c>
      <c r="Z314"/>
      <c r="AA314"/>
      <c r="AB314"/>
      <c r="AC314">
        <v>70</v>
      </c>
      <c r="AD314"/>
      <c r="AE314"/>
      <c r="AF314"/>
      <c r="AG314"/>
      <c r="AH314">
        <v>7</v>
      </c>
      <c r="AI314"/>
      <c r="AJ314"/>
      <c r="AK314"/>
      <c r="AL314"/>
      <c r="AM314"/>
      <c r="AN314"/>
      <c r="AO314"/>
      <c r="AP314"/>
      <c r="AQ314"/>
      <c r="AR314"/>
      <c r="AS314"/>
      <c r="AT314" t="inlineStr">
        <is>
          <t>☆</t>
        </is>
      </c>
      <c r="AU314" t="inlineStr">
        <is>
          <t>☆</t>
        </is>
      </c>
      <c r="AV314" t="inlineStr">
        <is>
          <t>☆</t>
        </is>
      </c>
      <c r="AW314" t="inlineStr">
        <is>
          <t>☆</t>
        </is>
      </c>
      <c r="AX314" t="inlineStr">
        <is>
          <t>☆</t>
        </is>
      </c>
      <c r="AY314" t="inlineStr">
        <is>
          <t>☆</t>
        </is>
      </c>
      <c r="AZ314" t="inlineStr">
        <is>
          <t>☆</t>
        </is>
      </c>
      <c r="BA314" t="inlineStr">
        <is>
          <t>☆</t>
        </is>
      </c>
      <c r="BB314" t="inlineStr">
        <is>
          <t>☆</t>
        </is>
      </c>
      <c r="BC314" t="inlineStr">
        <is>
          <t>☆</t>
        </is>
      </c>
      <c r="BD314" t="inlineStr">
        <is>
          <t>☆</t>
        </is>
      </c>
      <c r="BE314" t="inlineStr">
        <is>
          <t>☆</t>
        </is>
      </c>
      <c r="BF314" t="inlineStr">
        <is>
          <t>☆</t>
        </is>
      </c>
      <c r="BG314" t="inlineStr">
        <is>
          <t>☆</t>
        </is>
      </c>
      <c r="BH314" t="inlineStr">
        <is>
          <t>☆</t>
        </is>
      </c>
      <c r="BI314" t="inlineStr">
        <is>
          <t>☆</t>
        </is>
      </c>
      <c r="BJ314" t="inlineStr">
        <is>
          <t>☆</t>
        </is>
      </c>
      <c r="BK314" t="inlineStr">
        <is>
          <t>☆</t>
        </is>
      </c>
      <c r="BL314" t="inlineStr">
        <is>
          <t>☆</t>
        </is>
      </c>
      <c r="BM314" t="inlineStr">
        <is>
          <t>☆</t>
        </is>
      </c>
      <c r="BN314" t="inlineStr">
        <is>
          <t>☆</t>
        </is>
      </c>
      <c r="BO314" t="inlineStr">
        <is>
          <t>☆</t>
        </is>
      </c>
      <c r="BP314" t="inlineStr">
        <is>
          <t>☆</t>
        </is>
      </c>
      <c r="BQ314" t="inlineStr">
        <is>
          <t>☆</t>
        </is>
      </c>
      <c r="BR314"/>
      <c r="BS314" t="inlineStr">
        <is>
          <t>#VALUE!</t>
        </is>
      </c>
    </row>
    <row r="315" ht="25.5" customHeight="1">
      <c r="A315" t="inlineStr">
        <is>
          <t>PL</t>
        </is>
      </c>
      <c r="B315" t="inlineStr">
        <is>
          <t>R0001EU</t>
        </is>
      </c>
      <c r="C315" t="inlineStr">
        <is>
          <t>R0009EU</t>
        </is>
      </c>
      <c r="D315" t="inlineStr">
        <is>
          <t>GS-CS04C(PRO)波兰</t>
        </is>
      </c>
      <c r="E315">
        <v>27.5</v>
      </c>
      <c r="F315">
        <v>39.99</v>
      </c>
      <c r="G315"/>
      <c r="H315"/>
      <c r="I315"/>
      <c r="J315"/>
      <c r="K315"/>
      <c r="L315"/>
      <c r="M315"/>
      <c r="N315"/>
      <c r="O315"/>
      <c r="P315">
        <v>40</v>
      </c>
      <c r="Q315">
        <v>8</v>
      </c>
      <c r="R315"/>
      <c r="S315"/>
      <c r="T315"/>
      <c r="U315">
        <v>0.01</v>
      </c>
      <c r="V315"/>
      <c r="W315"/>
      <c r="X315">
        <v>0.188</v>
      </c>
      <c r="Y315">
        <v>4</v>
      </c>
      <c r="Z315"/>
      <c r="AA315"/>
      <c r="AB315"/>
      <c r="AC315">
        <v>70</v>
      </c>
      <c r="AD315"/>
      <c r="AE315"/>
      <c r="AF315"/>
      <c r="AG315"/>
      <c r="AH315">
        <v>7</v>
      </c>
      <c r="AI315"/>
      <c r="AJ315"/>
      <c r="AK315"/>
      <c r="AL315"/>
      <c r="AM315"/>
      <c r="AN315"/>
      <c r="AO315"/>
      <c r="AP315"/>
      <c r="AQ315"/>
      <c r="AR315"/>
      <c r="AS315"/>
      <c r="AT315" t="inlineStr">
        <is>
          <t>☆</t>
        </is>
      </c>
      <c r="AU315" t="inlineStr">
        <is>
          <t>☆</t>
        </is>
      </c>
      <c r="AV315" t="inlineStr">
        <is>
          <t>☆</t>
        </is>
      </c>
      <c r="AW315" t="inlineStr">
        <is>
          <t>☆</t>
        </is>
      </c>
      <c r="AX315" t="inlineStr">
        <is>
          <t>☆</t>
        </is>
      </c>
      <c r="AY315" t="inlineStr">
        <is>
          <t>☆</t>
        </is>
      </c>
      <c r="AZ315" t="inlineStr">
        <is>
          <t>☆</t>
        </is>
      </c>
      <c r="BA315" t="inlineStr">
        <is>
          <t>☆</t>
        </is>
      </c>
      <c r="BB315" t="inlineStr">
        <is>
          <t>☆</t>
        </is>
      </c>
      <c r="BC315" t="inlineStr">
        <is>
          <t>☆</t>
        </is>
      </c>
      <c r="BD315" t="inlineStr">
        <is>
          <t>☆</t>
        </is>
      </c>
      <c r="BE315" t="inlineStr">
        <is>
          <t>☆</t>
        </is>
      </c>
      <c r="BF315" t="inlineStr">
        <is>
          <t>☆</t>
        </is>
      </c>
      <c r="BG315" t="inlineStr">
        <is>
          <t>☆</t>
        </is>
      </c>
      <c r="BH315" t="inlineStr">
        <is>
          <t>☆</t>
        </is>
      </c>
      <c r="BI315" t="inlineStr">
        <is>
          <t>☆</t>
        </is>
      </c>
      <c r="BJ315" t="inlineStr">
        <is>
          <t>☆</t>
        </is>
      </c>
      <c r="BK315" t="inlineStr">
        <is>
          <t>☆</t>
        </is>
      </c>
      <c r="BL315" t="inlineStr">
        <is>
          <t>☆</t>
        </is>
      </c>
      <c r="BM315" t="inlineStr">
        <is>
          <t>☆</t>
        </is>
      </c>
      <c r="BN315" t="inlineStr">
        <is>
          <t>☆</t>
        </is>
      </c>
      <c r="BO315" t="inlineStr">
        <is>
          <t>☆</t>
        </is>
      </c>
      <c r="BP315" t="inlineStr">
        <is>
          <t>☆</t>
        </is>
      </c>
      <c r="BQ315" t="inlineStr">
        <is>
          <t>☆</t>
        </is>
      </c>
      <c r="BR315"/>
      <c r="BS315" t="inlineStr">
        <is>
          <t>#VALUE!</t>
        </is>
      </c>
    </row>
    <row r="316" ht="25.5" customHeight="1">
      <c r="A316" t="inlineStr">
        <is>
          <t>SE</t>
        </is>
      </c>
      <c r="B316" t="inlineStr">
        <is>
          <t>R0001EU</t>
        </is>
      </c>
      <c r="C316" t="inlineStr">
        <is>
          <t>R0009EU</t>
        </is>
      </c>
      <c r="D316" t="inlineStr">
        <is>
          <t>GGS-CS04C(PRO)瑞典</t>
        </is>
      </c>
      <c r="E316">
        <v>27.5</v>
      </c>
      <c r="F316">
        <v>39.99</v>
      </c>
      <c r="G316"/>
      <c r="H316"/>
      <c r="I316"/>
      <c r="J316"/>
      <c r="K316"/>
      <c r="L316"/>
      <c r="M316"/>
      <c r="N316"/>
      <c r="O316"/>
      <c r="P316">
        <v>40</v>
      </c>
      <c r="Q316">
        <v>8</v>
      </c>
      <c r="R316"/>
      <c r="S316"/>
      <c r="T316"/>
      <c r="U316">
        <v>0.01</v>
      </c>
      <c r="V316"/>
      <c r="W316"/>
      <c r="X316">
        <v>0.188</v>
      </c>
      <c r="Y316">
        <v>4</v>
      </c>
      <c r="Z316"/>
      <c r="AA316"/>
      <c r="AB316"/>
      <c r="AC316">
        <v>70</v>
      </c>
      <c r="AD316"/>
      <c r="AE316"/>
      <c r="AF316"/>
      <c r="AG316"/>
      <c r="AH316">
        <v>7</v>
      </c>
      <c r="AI316"/>
      <c r="AJ316"/>
      <c r="AK316"/>
      <c r="AL316"/>
      <c r="AM316"/>
      <c r="AN316"/>
      <c r="AO316"/>
      <c r="AP316"/>
      <c r="AQ316"/>
      <c r="AR316"/>
      <c r="AS316"/>
      <c r="AT316" t="inlineStr">
        <is>
          <t>☆</t>
        </is>
      </c>
      <c r="AU316" t="inlineStr">
        <is>
          <t>☆</t>
        </is>
      </c>
      <c r="AV316" t="inlineStr">
        <is>
          <t>☆</t>
        </is>
      </c>
      <c r="AW316" t="inlineStr">
        <is>
          <t>☆</t>
        </is>
      </c>
      <c r="AX316" t="inlineStr">
        <is>
          <t>☆</t>
        </is>
      </c>
      <c r="AY316" t="inlineStr">
        <is>
          <t>☆</t>
        </is>
      </c>
      <c r="AZ316" t="inlineStr">
        <is>
          <t>☆</t>
        </is>
      </c>
      <c r="BA316" t="inlineStr">
        <is>
          <t>☆</t>
        </is>
      </c>
      <c r="BB316" t="inlineStr">
        <is>
          <t>☆</t>
        </is>
      </c>
      <c r="BC316" t="inlineStr">
        <is>
          <t>☆</t>
        </is>
      </c>
      <c r="BD316" t="inlineStr">
        <is>
          <t>☆</t>
        </is>
      </c>
      <c r="BE316" t="inlineStr">
        <is>
          <t>☆</t>
        </is>
      </c>
      <c r="BF316" t="inlineStr">
        <is>
          <t>☆</t>
        </is>
      </c>
      <c r="BG316" t="inlineStr">
        <is>
          <t>☆</t>
        </is>
      </c>
      <c r="BH316" t="inlineStr">
        <is>
          <t>☆</t>
        </is>
      </c>
      <c r="BI316" t="inlineStr">
        <is>
          <t>☆</t>
        </is>
      </c>
      <c r="BJ316" t="inlineStr">
        <is>
          <t>☆</t>
        </is>
      </c>
      <c r="BK316" t="inlineStr">
        <is>
          <t>☆</t>
        </is>
      </c>
      <c r="BL316" t="inlineStr">
        <is>
          <t>☆</t>
        </is>
      </c>
      <c r="BM316" t="inlineStr">
        <is>
          <t>☆</t>
        </is>
      </c>
      <c r="BN316" t="inlineStr">
        <is>
          <t>☆</t>
        </is>
      </c>
      <c r="BO316" t="inlineStr">
        <is>
          <t>☆</t>
        </is>
      </c>
      <c r="BP316" t="inlineStr">
        <is>
          <t>☆</t>
        </is>
      </c>
      <c r="BQ316" t="inlineStr">
        <is>
          <t>☆</t>
        </is>
      </c>
      <c r="BR316"/>
      <c r="BS316" t="inlineStr">
        <is>
          <t>#VALUE!</t>
        </is>
      </c>
    </row>
    <row r="317" ht="25.5" customHeight="1">
      <c r="A317" t="inlineStr">
        <is>
          <t>BE</t>
        </is>
      </c>
      <c r="B317" t="inlineStr">
        <is>
          <t>R0001EU</t>
        </is>
      </c>
      <c r="C317" t="inlineStr">
        <is>
          <t>R0009EU</t>
        </is>
      </c>
      <c r="D317" t="inlineStr">
        <is>
          <t>GS-CS04C(PRO)比利时</t>
        </is>
      </c>
      <c r="E317">
        <v>24</v>
      </c>
      <c r="F317">
        <v>34.99</v>
      </c>
      <c r="G317"/>
      <c r="H317"/>
      <c r="I317"/>
      <c r="J317"/>
      <c r="K317"/>
      <c r="L317"/>
      <c r="M317"/>
      <c r="N317"/>
      <c r="O317"/>
      <c r="P317">
        <v>40</v>
      </c>
      <c r="Q317">
        <v>8</v>
      </c>
      <c r="R317"/>
      <c r="S317"/>
      <c r="T317"/>
      <c r="U317">
        <v>0.01</v>
      </c>
      <c r="V317"/>
      <c r="W317"/>
      <c r="X317">
        <v>0.188</v>
      </c>
      <c r="Y317">
        <v>4</v>
      </c>
      <c r="Z317"/>
      <c r="AA317"/>
      <c r="AB317"/>
      <c r="AC317">
        <v>70</v>
      </c>
      <c r="AD317"/>
      <c r="AE317"/>
      <c r="AF317"/>
      <c r="AG317"/>
      <c r="AH317">
        <v>7</v>
      </c>
      <c r="AI317"/>
      <c r="AJ317"/>
      <c r="AK317"/>
      <c r="AL317"/>
      <c r="AM317"/>
      <c r="AN317"/>
      <c r="AO317"/>
      <c r="AP317"/>
      <c r="AQ317"/>
      <c r="AR317"/>
      <c r="AS317"/>
      <c r="AT317" t="inlineStr">
        <is>
          <t>☆</t>
        </is>
      </c>
      <c r="AU317" t="inlineStr">
        <is>
          <t>☆</t>
        </is>
      </c>
      <c r="AV317" t="inlineStr">
        <is>
          <t>☆</t>
        </is>
      </c>
      <c r="AW317" t="inlineStr">
        <is>
          <t>☆</t>
        </is>
      </c>
      <c r="AX317" t="inlineStr">
        <is>
          <t>☆</t>
        </is>
      </c>
      <c r="AY317" t="inlineStr">
        <is>
          <t>☆</t>
        </is>
      </c>
      <c r="AZ317" t="inlineStr">
        <is>
          <t>☆</t>
        </is>
      </c>
      <c r="BA317" t="inlineStr">
        <is>
          <t>☆</t>
        </is>
      </c>
      <c r="BB317" t="inlineStr">
        <is>
          <t>☆</t>
        </is>
      </c>
      <c r="BC317" t="inlineStr">
        <is>
          <t>☆</t>
        </is>
      </c>
      <c r="BD317" t="inlineStr">
        <is>
          <t>☆</t>
        </is>
      </c>
      <c r="BE317" t="inlineStr">
        <is>
          <t>☆</t>
        </is>
      </c>
      <c r="BF317" t="inlineStr">
        <is>
          <t>☆</t>
        </is>
      </c>
      <c r="BG317" t="inlineStr">
        <is>
          <t>☆</t>
        </is>
      </c>
      <c r="BH317" t="inlineStr">
        <is>
          <t>☆</t>
        </is>
      </c>
      <c r="BI317" t="inlineStr">
        <is>
          <t>☆</t>
        </is>
      </c>
      <c r="BJ317" t="inlineStr">
        <is>
          <t>☆</t>
        </is>
      </c>
      <c r="BK317" t="inlineStr">
        <is>
          <t>☆</t>
        </is>
      </c>
      <c r="BL317" t="inlineStr">
        <is>
          <t>☆</t>
        </is>
      </c>
      <c r="BM317" t="inlineStr">
        <is>
          <t>☆</t>
        </is>
      </c>
      <c r="BN317" t="inlineStr">
        <is>
          <t>☆</t>
        </is>
      </c>
      <c r="BO317" t="inlineStr">
        <is>
          <t>☆</t>
        </is>
      </c>
      <c r="BP317" t="inlineStr">
        <is>
          <t>☆</t>
        </is>
      </c>
      <c r="BQ317" t="inlineStr">
        <is>
          <t>☆</t>
        </is>
      </c>
      <c r="BR317"/>
      <c r="BS317" t="inlineStr">
        <is>
          <t>#VALUE!</t>
        </is>
      </c>
    </row>
    <row r="318" ht="25.5" customHeight="1">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row>
    <row r="319" ht="25.5" customHeight="1">
      <c r="A319" t="inlineStr">
        <is>
          <t>UK</t>
        </is>
      </c>
      <c r="B319" t="inlineStr">
        <is>
          <t>R0001EU</t>
        </is>
      </c>
      <c r="C319" t="inlineStr">
        <is>
          <t>R0010EU</t>
        </is>
      </c>
      <c r="D319" t="inlineStr">
        <is>
          <t>GS-S1(PRO)(coupon-0%）</t>
        </is>
      </c>
      <c r="E319">
        <v>25.5</v>
      </c>
      <c r="F319">
        <v>36.99</v>
      </c>
      <c r="G319"/>
      <c r="H319"/>
      <c r="I319"/>
      <c r="J319"/>
      <c r="K319"/>
      <c r="L319"/>
      <c r="M319"/>
      <c r="N319"/>
      <c r="O319"/>
      <c r="P319">
        <v>24</v>
      </c>
      <c r="Q319">
        <v>9</v>
      </c>
      <c r="R319"/>
      <c r="S319"/>
      <c r="T319"/>
      <c r="U319">
        <v>0.01</v>
      </c>
      <c r="V319"/>
      <c r="W319"/>
      <c r="X319">
        <v>0.178</v>
      </c>
      <c r="Y319">
        <v>5</v>
      </c>
      <c r="Z319">
        <v>0</v>
      </c>
      <c r="AA319"/>
      <c r="AB319"/>
      <c r="AC319">
        <v>75</v>
      </c>
      <c r="AD319"/>
      <c r="AE319"/>
      <c r="AF319"/>
      <c r="AG319"/>
      <c r="AH319">
        <v>12</v>
      </c>
      <c r="AI319"/>
      <c r="AJ319"/>
      <c r="AK319"/>
      <c r="AL319"/>
      <c r="AM319"/>
      <c r="AN319"/>
      <c r="AO319"/>
      <c r="AP319"/>
      <c r="AQ319"/>
      <c r="AR319"/>
      <c r="AS319"/>
      <c r="AT319" t="inlineStr">
        <is>
          <t>☆</t>
        </is>
      </c>
      <c r="AU319" t="inlineStr">
        <is>
          <t>☆</t>
        </is>
      </c>
      <c r="AV319" t="inlineStr">
        <is>
          <t>☆</t>
        </is>
      </c>
      <c r="AW319" t="inlineStr">
        <is>
          <t>☆</t>
        </is>
      </c>
      <c r="AX319" t="inlineStr">
        <is>
          <t>☆</t>
        </is>
      </c>
      <c r="AY319" t="inlineStr">
        <is>
          <t>☆</t>
        </is>
      </c>
      <c r="AZ319" t="inlineStr">
        <is>
          <t>☆</t>
        </is>
      </c>
      <c r="BA319" t="inlineStr">
        <is>
          <t>☆</t>
        </is>
      </c>
      <c r="BB319" t="inlineStr">
        <is>
          <t>☆</t>
        </is>
      </c>
      <c r="BC319" t="inlineStr">
        <is>
          <t>☆</t>
        </is>
      </c>
      <c r="BD319" t="inlineStr">
        <is>
          <t>☆</t>
        </is>
      </c>
      <c r="BE319" t="inlineStr">
        <is>
          <t>☆</t>
        </is>
      </c>
      <c r="BF319" t="inlineStr">
        <is>
          <t>☆</t>
        </is>
      </c>
      <c r="BG319" t="inlineStr">
        <is>
          <t>☆</t>
        </is>
      </c>
      <c r="BH319" t="inlineStr">
        <is>
          <t>☆</t>
        </is>
      </c>
      <c r="BI319" t="inlineStr">
        <is>
          <t>☆</t>
        </is>
      </c>
      <c r="BJ319" t="inlineStr">
        <is>
          <t>☆</t>
        </is>
      </c>
      <c r="BK319" t="inlineStr">
        <is>
          <t>☆</t>
        </is>
      </c>
      <c r="BL319" t="inlineStr">
        <is>
          <t>☆</t>
        </is>
      </c>
      <c r="BM319" t="inlineStr">
        <is>
          <t>☆</t>
        </is>
      </c>
      <c r="BN319" t="inlineStr">
        <is>
          <t>☆</t>
        </is>
      </c>
      <c r="BO319" t="inlineStr">
        <is>
          <t>☆</t>
        </is>
      </c>
      <c r="BP319" t="inlineStr">
        <is>
          <t>☆</t>
        </is>
      </c>
      <c r="BQ319" t="inlineStr">
        <is>
          <t>☆</t>
        </is>
      </c>
      <c r="BR319"/>
      <c r="BS319" t="inlineStr">
        <is>
          <t>#VALUE!</t>
        </is>
      </c>
    </row>
    <row r="320" ht="25.5" customHeight="1">
      <c r="A320" t="inlineStr">
        <is>
          <t>UK</t>
        </is>
      </c>
      <c r="B320" t="inlineStr">
        <is>
          <t>R0001EU</t>
        </is>
      </c>
      <c r="C320" t="inlineStr">
        <is>
          <t>R0010EU</t>
        </is>
      </c>
      <c r="D320" t="inlineStr">
        <is>
          <t>GS-S1(PRO)(coupon-10%）</t>
        </is>
      </c>
      <c r="E320">
        <v>25.5</v>
      </c>
      <c r="F320">
        <v>36.99</v>
      </c>
      <c r="G320"/>
      <c r="H320"/>
      <c r="I320"/>
      <c r="J320"/>
      <c r="K320"/>
      <c r="L320"/>
      <c r="M320"/>
      <c r="N320"/>
      <c r="O320"/>
      <c r="P320">
        <v>24</v>
      </c>
      <c r="Q320">
        <v>9</v>
      </c>
      <c r="R320"/>
      <c r="S320"/>
      <c r="T320"/>
      <c r="U320">
        <v>0.01</v>
      </c>
      <c r="V320"/>
      <c r="W320"/>
      <c r="X320">
        <v>0.178</v>
      </c>
      <c r="Y320">
        <v>5</v>
      </c>
      <c r="Z320"/>
      <c r="AA320"/>
      <c r="AB320"/>
      <c r="AC320">
        <v>75</v>
      </c>
      <c r="AD320"/>
      <c r="AE320"/>
      <c r="AF320"/>
      <c r="AG320"/>
      <c r="AH320">
        <v>12</v>
      </c>
      <c r="AI320"/>
      <c r="AJ320"/>
      <c r="AK320"/>
      <c r="AL320"/>
      <c r="AM320"/>
      <c r="AN320"/>
      <c r="AO320"/>
      <c r="AP320"/>
      <c r="AQ320"/>
      <c r="AR320"/>
      <c r="AS320"/>
      <c r="AT320" t="inlineStr">
        <is>
          <t>☆</t>
        </is>
      </c>
      <c r="AU320" t="inlineStr">
        <is>
          <t>☆</t>
        </is>
      </c>
      <c r="AV320" t="inlineStr">
        <is>
          <t>☆</t>
        </is>
      </c>
      <c r="AW320" t="inlineStr">
        <is>
          <t>☆</t>
        </is>
      </c>
      <c r="AX320" t="inlineStr">
        <is>
          <t>☆</t>
        </is>
      </c>
      <c r="AY320" t="inlineStr">
        <is>
          <t>☆</t>
        </is>
      </c>
      <c r="AZ320" t="inlineStr">
        <is>
          <t>☆</t>
        </is>
      </c>
      <c r="BA320" t="inlineStr">
        <is>
          <t>☆</t>
        </is>
      </c>
      <c r="BB320" t="inlineStr">
        <is>
          <t>☆</t>
        </is>
      </c>
      <c r="BC320" t="inlineStr">
        <is>
          <t>☆</t>
        </is>
      </c>
      <c r="BD320" t="inlineStr">
        <is>
          <t>☆</t>
        </is>
      </c>
      <c r="BE320" t="inlineStr">
        <is>
          <t>☆</t>
        </is>
      </c>
      <c r="BF320" t="inlineStr">
        <is>
          <t>☆</t>
        </is>
      </c>
      <c r="BG320" t="inlineStr">
        <is>
          <t>☆</t>
        </is>
      </c>
      <c r="BH320" t="inlineStr">
        <is>
          <t>☆</t>
        </is>
      </c>
      <c r="BI320" t="inlineStr">
        <is>
          <t>☆</t>
        </is>
      </c>
      <c r="BJ320" t="inlineStr">
        <is>
          <t>☆</t>
        </is>
      </c>
      <c r="BK320" t="inlineStr">
        <is>
          <t>☆</t>
        </is>
      </c>
      <c r="BL320" t="inlineStr">
        <is>
          <t>☆</t>
        </is>
      </c>
      <c r="BM320" t="inlineStr">
        <is>
          <t>☆</t>
        </is>
      </c>
      <c r="BN320" t="inlineStr">
        <is>
          <t>☆</t>
        </is>
      </c>
      <c r="BO320" t="inlineStr">
        <is>
          <t>☆</t>
        </is>
      </c>
      <c r="BP320" t="inlineStr">
        <is>
          <t>☆</t>
        </is>
      </c>
      <c r="BQ320" t="inlineStr">
        <is>
          <t>☆</t>
        </is>
      </c>
      <c r="BR320"/>
      <c r="BS320" t="inlineStr">
        <is>
          <t>#VALUE!</t>
        </is>
      </c>
    </row>
    <row r="321" ht="25.5" customHeight="1">
      <c r="A321" t="inlineStr">
        <is>
          <t>UK</t>
        </is>
      </c>
      <c r="B321" t="inlineStr">
        <is>
          <t>R0001EU</t>
        </is>
      </c>
      <c r="C321" t="inlineStr">
        <is>
          <t>R0010EU</t>
        </is>
      </c>
      <c r="D321" t="inlineStr">
        <is>
          <t>GS-S1(PRO)(coupon-15%）</t>
        </is>
      </c>
      <c r="E321">
        <v>25.5</v>
      </c>
      <c r="F321">
        <v>36.99</v>
      </c>
      <c r="G321"/>
      <c r="H321"/>
      <c r="I321"/>
      <c r="J321"/>
      <c r="K321"/>
      <c r="L321"/>
      <c r="M321"/>
      <c r="N321"/>
      <c r="O321"/>
      <c r="P321">
        <v>24</v>
      </c>
      <c r="Q321">
        <v>9</v>
      </c>
      <c r="R321"/>
      <c r="S321"/>
      <c r="T321"/>
      <c r="U321">
        <v>0.01</v>
      </c>
      <c r="V321"/>
      <c r="W321"/>
      <c r="X321">
        <v>0.178</v>
      </c>
      <c r="Y321">
        <v>5</v>
      </c>
      <c r="Z321"/>
      <c r="AA321"/>
      <c r="AB321"/>
      <c r="AC321">
        <v>75</v>
      </c>
      <c r="AD321"/>
      <c r="AE321"/>
      <c r="AF321"/>
      <c r="AG321"/>
      <c r="AH321">
        <v>12</v>
      </c>
      <c r="AI321"/>
      <c r="AJ321"/>
      <c r="AK321"/>
      <c r="AL321"/>
      <c r="AM321"/>
      <c r="AN321"/>
      <c r="AO321"/>
      <c r="AP321"/>
      <c r="AQ321"/>
      <c r="AR321"/>
      <c r="AS321"/>
      <c r="AT321" t="inlineStr">
        <is>
          <t>☆</t>
        </is>
      </c>
      <c r="AU321" t="inlineStr">
        <is>
          <t>☆</t>
        </is>
      </c>
      <c r="AV321" t="inlineStr">
        <is>
          <t>☆</t>
        </is>
      </c>
      <c r="AW321" t="inlineStr">
        <is>
          <t>☆</t>
        </is>
      </c>
      <c r="AX321" t="inlineStr">
        <is>
          <t>☆</t>
        </is>
      </c>
      <c r="AY321" t="inlineStr">
        <is>
          <t>☆</t>
        </is>
      </c>
      <c r="AZ321" t="inlineStr">
        <is>
          <t>☆</t>
        </is>
      </c>
      <c r="BA321" t="inlineStr">
        <is>
          <t>☆</t>
        </is>
      </c>
      <c r="BB321" t="inlineStr">
        <is>
          <t>☆</t>
        </is>
      </c>
      <c r="BC321" t="inlineStr">
        <is>
          <t>☆</t>
        </is>
      </c>
      <c r="BD321" t="inlineStr">
        <is>
          <t>☆</t>
        </is>
      </c>
      <c r="BE321" t="inlineStr">
        <is>
          <t>☆</t>
        </is>
      </c>
      <c r="BF321" t="inlineStr">
        <is>
          <t>☆</t>
        </is>
      </c>
      <c r="BG321" t="inlineStr">
        <is>
          <t>☆</t>
        </is>
      </c>
      <c r="BH321" t="inlineStr">
        <is>
          <t>☆</t>
        </is>
      </c>
      <c r="BI321" t="inlineStr">
        <is>
          <t>☆</t>
        </is>
      </c>
      <c r="BJ321" t="inlineStr">
        <is>
          <t>☆</t>
        </is>
      </c>
      <c r="BK321" t="inlineStr">
        <is>
          <t>☆</t>
        </is>
      </c>
      <c r="BL321" t="inlineStr">
        <is>
          <t>☆</t>
        </is>
      </c>
      <c r="BM321" t="inlineStr">
        <is>
          <t>☆</t>
        </is>
      </c>
      <c r="BN321" t="inlineStr">
        <is>
          <t>☆</t>
        </is>
      </c>
      <c r="BO321" t="inlineStr">
        <is>
          <t>☆</t>
        </is>
      </c>
      <c r="BP321" t="inlineStr">
        <is>
          <t>☆</t>
        </is>
      </c>
      <c r="BQ321" t="inlineStr">
        <is>
          <t>☆</t>
        </is>
      </c>
      <c r="BR321"/>
      <c r="BS321" t="inlineStr">
        <is>
          <t>#VALUE!</t>
        </is>
      </c>
    </row>
    <row r="322" ht="25.5" customHeight="1">
      <c r="A322" t="inlineStr">
        <is>
          <t>DE</t>
        </is>
      </c>
      <c r="B322" t="inlineStr">
        <is>
          <t>R0001EU</t>
        </is>
      </c>
      <c r="C322" t="inlineStr">
        <is>
          <t>R0010EU</t>
        </is>
      </c>
      <c r="D322" t="inlineStr">
        <is>
          <t>GS-S1(PRO)(coupon-0%）</t>
        </is>
      </c>
      <c r="E322">
        <v>27.5</v>
      </c>
      <c r="F322">
        <v>39.99</v>
      </c>
      <c r="G322"/>
      <c r="H322"/>
      <c r="I322"/>
      <c r="J322"/>
      <c r="K322"/>
      <c r="L322"/>
      <c r="M322"/>
      <c r="N322"/>
      <c r="O322"/>
      <c r="P322">
        <v>24</v>
      </c>
      <c r="Q322">
        <v>8</v>
      </c>
      <c r="R322"/>
      <c r="S322"/>
      <c r="T322"/>
      <c r="U322">
        <v>0.01</v>
      </c>
      <c r="V322"/>
      <c r="W322"/>
      <c r="X322">
        <v>0.188</v>
      </c>
      <c r="Y322">
        <v>5</v>
      </c>
      <c r="Z322">
        <v>0</v>
      </c>
      <c r="AA322"/>
      <c r="AB322"/>
      <c r="AC322">
        <v>75</v>
      </c>
      <c r="AD322"/>
      <c r="AE322"/>
      <c r="AF322"/>
      <c r="AG322"/>
      <c r="AH322">
        <v>12</v>
      </c>
      <c r="AI322"/>
      <c r="AJ322"/>
      <c r="AK322"/>
      <c r="AL322"/>
      <c r="AM322"/>
      <c r="AN322"/>
      <c r="AO322"/>
      <c r="AP322"/>
      <c r="AQ322"/>
      <c r="AR322"/>
      <c r="AS322"/>
      <c r="AT322" t="inlineStr">
        <is>
          <t>☆</t>
        </is>
      </c>
      <c r="AU322" t="inlineStr">
        <is>
          <t>☆</t>
        </is>
      </c>
      <c r="AV322" t="inlineStr">
        <is>
          <t>☆</t>
        </is>
      </c>
      <c r="AW322" t="inlineStr">
        <is>
          <t>☆</t>
        </is>
      </c>
      <c r="AX322" t="inlineStr">
        <is>
          <t>☆</t>
        </is>
      </c>
      <c r="AY322" t="inlineStr">
        <is>
          <t>☆</t>
        </is>
      </c>
      <c r="AZ322" t="inlineStr">
        <is>
          <t>☆</t>
        </is>
      </c>
      <c r="BA322" t="inlineStr">
        <is>
          <t>☆</t>
        </is>
      </c>
      <c r="BB322" t="inlineStr">
        <is>
          <t>☆</t>
        </is>
      </c>
      <c r="BC322" t="inlineStr">
        <is>
          <t>☆</t>
        </is>
      </c>
      <c r="BD322" t="inlineStr">
        <is>
          <t>☆</t>
        </is>
      </c>
      <c r="BE322" t="inlineStr">
        <is>
          <t>☆</t>
        </is>
      </c>
      <c r="BF322" t="inlineStr">
        <is>
          <t>☆</t>
        </is>
      </c>
      <c r="BG322" t="inlineStr">
        <is>
          <t>☆</t>
        </is>
      </c>
      <c r="BH322" t="inlineStr">
        <is>
          <t>☆</t>
        </is>
      </c>
      <c r="BI322" t="inlineStr">
        <is>
          <t>☆</t>
        </is>
      </c>
      <c r="BJ322" t="inlineStr">
        <is>
          <t>☆</t>
        </is>
      </c>
      <c r="BK322" t="inlineStr">
        <is>
          <t>☆</t>
        </is>
      </c>
      <c r="BL322" t="inlineStr">
        <is>
          <t>☆</t>
        </is>
      </c>
      <c r="BM322" t="inlineStr">
        <is>
          <t>☆</t>
        </is>
      </c>
      <c r="BN322" t="inlineStr">
        <is>
          <t>☆</t>
        </is>
      </c>
      <c r="BO322" t="inlineStr">
        <is>
          <t>☆</t>
        </is>
      </c>
      <c r="BP322" t="inlineStr">
        <is>
          <t>☆</t>
        </is>
      </c>
      <c r="BQ322" t="inlineStr">
        <is>
          <t>☆</t>
        </is>
      </c>
      <c r="BR322"/>
      <c r="BS322" t="inlineStr">
        <is>
          <t>#VALUE!</t>
        </is>
      </c>
    </row>
    <row r="323" ht="25.5" customHeight="1">
      <c r="A323" t="inlineStr">
        <is>
          <t>DE</t>
        </is>
      </c>
      <c r="B323" t="inlineStr">
        <is>
          <t>R0001EU</t>
        </is>
      </c>
      <c r="C323" t="inlineStr">
        <is>
          <t>R0010EU</t>
        </is>
      </c>
      <c r="D323" t="inlineStr">
        <is>
          <t>GS-S1(PRO)(coupon-10%）</t>
        </is>
      </c>
      <c r="E323">
        <v>27.5</v>
      </c>
      <c r="F323">
        <v>39.99</v>
      </c>
      <c r="G323"/>
      <c r="H323"/>
      <c r="I323"/>
      <c r="J323"/>
      <c r="K323"/>
      <c r="L323"/>
      <c r="M323"/>
      <c r="N323"/>
      <c r="O323"/>
      <c r="P323">
        <v>24</v>
      </c>
      <c r="Q323">
        <v>8</v>
      </c>
      <c r="R323"/>
      <c r="S323"/>
      <c r="T323"/>
      <c r="U323">
        <v>0.01</v>
      </c>
      <c r="V323"/>
      <c r="W323"/>
      <c r="X323">
        <v>0.188</v>
      </c>
      <c r="Y323">
        <v>5</v>
      </c>
      <c r="Z323"/>
      <c r="AA323"/>
      <c r="AB323"/>
      <c r="AC323">
        <v>75</v>
      </c>
      <c r="AD323"/>
      <c r="AE323"/>
      <c r="AF323"/>
      <c r="AG323"/>
      <c r="AH323">
        <v>12</v>
      </c>
      <c r="AI323"/>
      <c r="AJ323"/>
      <c r="AK323"/>
      <c r="AL323"/>
      <c r="AM323"/>
      <c r="AN323"/>
      <c r="AO323"/>
      <c r="AP323"/>
      <c r="AQ323"/>
      <c r="AR323"/>
      <c r="AS323"/>
      <c r="AT323" t="inlineStr">
        <is>
          <t>☆</t>
        </is>
      </c>
      <c r="AU323" t="inlineStr">
        <is>
          <t>☆</t>
        </is>
      </c>
      <c r="AV323" t="inlineStr">
        <is>
          <t>☆</t>
        </is>
      </c>
      <c r="AW323" t="inlineStr">
        <is>
          <t>☆</t>
        </is>
      </c>
      <c r="AX323" t="inlineStr">
        <is>
          <t>☆</t>
        </is>
      </c>
      <c r="AY323" t="inlineStr">
        <is>
          <t>☆</t>
        </is>
      </c>
      <c r="AZ323" t="inlineStr">
        <is>
          <t>☆</t>
        </is>
      </c>
      <c r="BA323" t="inlineStr">
        <is>
          <t>☆</t>
        </is>
      </c>
      <c r="BB323" t="inlineStr">
        <is>
          <t>☆</t>
        </is>
      </c>
      <c r="BC323" t="inlineStr">
        <is>
          <t>☆</t>
        </is>
      </c>
      <c r="BD323" t="inlineStr">
        <is>
          <t>☆</t>
        </is>
      </c>
      <c r="BE323" t="inlineStr">
        <is>
          <t>☆</t>
        </is>
      </c>
      <c r="BF323" t="inlineStr">
        <is>
          <t>☆</t>
        </is>
      </c>
      <c r="BG323" t="inlineStr">
        <is>
          <t>☆</t>
        </is>
      </c>
      <c r="BH323" t="inlineStr">
        <is>
          <t>☆</t>
        </is>
      </c>
      <c r="BI323" t="inlineStr">
        <is>
          <t>☆</t>
        </is>
      </c>
      <c r="BJ323" t="inlineStr">
        <is>
          <t>☆</t>
        </is>
      </c>
      <c r="BK323" t="inlineStr">
        <is>
          <t>☆</t>
        </is>
      </c>
      <c r="BL323" t="inlineStr">
        <is>
          <t>☆</t>
        </is>
      </c>
      <c r="BM323" t="inlineStr">
        <is>
          <t>☆</t>
        </is>
      </c>
      <c r="BN323" t="inlineStr">
        <is>
          <t>☆</t>
        </is>
      </c>
      <c r="BO323" t="inlineStr">
        <is>
          <t>☆</t>
        </is>
      </c>
      <c r="BP323" t="inlineStr">
        <is>
          <t>☆</t>
        </is>
      </c>
      <c r="BQ323" t="inlineStr">
        <is>
          <t>☆</t>
        </is>
      </c>
      <c r="BR323"/>
      <c r="BS323" t="inlineStr">
        <is>
          <t>#VALUE!</t>
        </is>
      </c>
    </row>
    <row r="324" ht="25.5" customHeight="1">
      <c r="A324" t="inlineStr">
        <is>
          <t>DE</t>
        </is>
      </c>
      <c r="B324" t="inlineStr">
        <is>
          <t>R0001EU</t>
        </is>
      </c>
      <c r="C324" t="inlineStr">
        <is>
          <t>R0010EU</t>
        </is>
      </c>
      <c r="D324" t="inlineStr">
        <is>
          <t>GS-S1(PRO)(coupon-15%）</t>
        </is>
      </c>
      <c r="E324">
        <v>27.5</v>
      </c>
      <c r="F324">
        <v>39.99</v>
      </c>
      <c r="G324"/>
      <c r="H324"/>
      <c r="I324"/>
      <c r="J324"/>
      <c r="K324"/>
      <c r="L324"/>
      <c r="M324"/>
      <c r="N324"/>
      <c r="O324"/>
      <c r="P324">
        <v>24</v>
      </c>
      <c r="Q324">
        <v>8</v>
      </c>
      <c r="R324"/>
      <c r="S324"/>
      <c r="T324"/>
      <c r="U324">
        <v>0.01</v>
      </c>
      <c r="V324"/>
      <c r="W324"/>
      <c r="X324">
        <v>0.188</v>
      </c>
      <c r="Y324">
        <v>5</v>
      </c>
      <c r="Z324"/>
      <c r="AA324"/>
      <c r="AB324"/>
      <c r="AC324">
        <v>75</v>
      </c>
      <c r="AD324"/>
      <c r="AE324"/>
      <c r="AF324"/>
      <c r="AG324"/>
      <c r="AH324">
        <v>12</v>
      </c>
      <c r="AI324"/>
      <c r="AJ324"/>
      <c r="AK324"/>
      <c r="AL324"/>
      <c r="AM324"/>
      <c r="AN324"/>
      <c r="AO324"/>
      <c r="AP324"/>
      <c r="AQ324"/>
      <c r="AR324"/>
      <c r="AS324"/>
      <c r="AT324" t="inlineStr">
        <is>
          <t>☆</t>
        </is>
      </c>
      <c r="AU324" t="inlineStr">
        <is>
          <t>☆</t>
        </is>
      </c>
      <c r="AV324" t="inlineStr">
        <is>
          <t>☆</t>
        </is>
      </c>
      <c r="AW324" t="inlineStr">
        <is>
          <t>☆</t>
        </is>
      </c>
      <c r="AX324" t="inlineStr">
        <is>
          <t>☆</t>
        </is>
      </c>
      <c r="AY324" t="inlineStr">
        <is>
          <t>☆</t>
        </is>
      </c>
      <c r="AZ324" t="inlineStr">
        <is>
          <t>☆</t>
        </is>
      </c>
      <c r="BA324" t="inlineStr">
        <is>
          <t>☆</t>
        </is>
      </c>
      <c r="BB324" t="inlineStr">
        <is>
          <t>☆</t>
        </is>
      </c>
      <c r="BC324" t="inlineStr">
        <is>
          <t>☆</t>
        </is>
      </c>
      <c r="BD324" t="inlineStr">
        <is>
          <t>☆</t>
        </is>
      </c>
      <c r="BE324" t="inlineStr">
        <is>
          <t>☆</t>
        </is>
      </c>
      <c r="BF324" t="inlineStr">
        <is>
          <t>☆</t>
        </is>
      </c>
      <c r="BG324" t="inlineStr">
        <is>
          <t>☆</t>
        </is>
      </c>
      <c r="BH324" t="inlineStr">
        <is>
          <t>☆</t>
        </is>
      </c>
      <c r="BI324" t="inlineStr">
        <is>
          <t>☆</t>
        </is>
      </c>
      <c r="BJ324" t="inlineStr">
        <is>
          <t>☆</t>
        </is>
      </c>
      <c r="BK324" t="inlineStr">
        <is>
          <t>☆</t>
        </is>
      </c>
      <c r="BL324" t="inlineStr">
        <is>
          <t>☆</t>
        </is>
      </c>
      <c r="BM324" t="inlineStr">
        <is>
          <t>☆</t>
        </is>
      </c>
      <c r="BN324" t="inlineStr">
        <is>
          <t>☆</t>
        </is>
      </c>
      <c r="BO324" t="inlineStr">
        <is>
          <t>☆</t>
        </is>
      </c>
      <c r="BP324" t="inlineStr">
        <is>
          <t>☆</t>
        </is>
      </c>
      <c r="BQ324" t="inlineStr">
        <is>
          <t>☆</t>
        </is>
      </c>
      <c r="BR324"/>
      <c r="BS324" t="inlineStr">
        <is>
          <t>#VALUE!</t>
        </is>
      </c>
    </row>
    <row r="325" ht="25.5" customHeight="1">
      <c r="A325" t="inlineStr">
        <is>
          <t>FR</t>
        </is>
      </c>
      <c r="B325" t="inlineStr">
        <is>
          <t>R0001EU</t>
        </is>
      </c>
      <c r="C325" t="inlineStr">
        <is>
          <t>R0010EU</t>
        </is>
      </c>
      <c r="D325" t="inlineStr">
        <is>
          <t>GS-S1(PRO)(coupon-0%）</t>
        </is>
      </c>
      <c r="E325">
        <v>27.5</v>
      </c>
      <c r="F325">
        <v>39.99</v>
      </c>
      <c r="G325"/>
      <c r="H325"/>
      <c r="I325"/>
      <c r="J325"/>
      <c r="K325"/>
      <c r="L325"/>
      <c r="M325"/>
      <c r="N325"/>
      <c r="O325"/>
      <c r="P325">
        <v>24</v>
      </c>
      <c r="Q325">
        <v>8</v>
      </c>
      <c r="R325"/>
      <c r="S325"/>
      <c r="T325"/>
      <c r="U325">
        <v>0.01</v>
      </c>
      <c r="V325"/>
      <c r="W325"/>
      <c r="X325">
        <v>0.188</v>
      </c>
      <c r="Y325">
        <v>5</v>
      </c>
      <c r="Z325">
        <v>0</v>
      </c>
      <c r="AA325"/>
      <c r="AB325"/>
      <c r="AC325">
        <v>75</v>
      </c>
      <c r="AD325"/>
      <c r="AE325"/>
      <c r="AF325"/>
      <c r="AG325"/>
      <c r="AH325">
        <v>12</v>
      </c>
      <c r="AI325"/>
      <c r="AJ325"/>
      <c r="AK325"/>
      <c r="AL325"/>
      <c r="AM325"/>
      <c r="AN325"/>
      <c r="AO325"/>
      <c r="AP325"/>
      <c r="AQ325"/>
      <c r="AR325"/>
      <c r="AS325"/>
      <c r="AT325" t="inlineStr">
        <is>
          <t>☆</t>
        </is>
      </c>
      <c r="AU325" t="inlineStr">
        <is>
          <t>☆</t>
        </is>
      </c>
      <c r="AV325" t="inlineStr">
        <is>
          <t>☆</t>
        </is>
      </c>
      <c r="AW325" t="inlineStr">
        <is>
          <t>☆</t>
        </is>
      </c>
      <c r="AX325" t="inlineStr">
        <is>
          <t>☆</t>
        </is>
      </c>
      <c r="AY325" t="inlineStr">
        <is>
          <t>☆</t>
        </is>
      </c>
      <c r="AZ325" t="inlineStr">
        <is>
          <t>☆</t>
        </is>
      </c>
      <c r="BA325" t="inlineStr">
        <is>
          <t>☆</t>
        </is>
      </c>
      <c r="BB325" t="inlineStr">
        <is>
          <t>☆</t>
        </is>
      </c>
      <c r="BC325" t="inlineStr">
        <is>
          <t>☆</t>
        </is>
      </c>
      <c r="BD325" t="inlineStr">
        <is>
          <t>☆</t>
        </is>
      </c>
      <c r="BE325" t="inlineStr">
        <is>
          <t>☆</t>
        </is>
      </c>
      <c r="BF325" t="inlineStr">
        <is>
          <t>☆</t>
        </is>
      </c>
      <c r="BG325" t="inlineStr">
        <is>
          <t>☆</t>
        </is>
      </c>
      <c r="BH325" t="inlineStr">
        <is>
          <t>☆</t>
        </is>
      </c>
      <c r="BI325" t="inlineStr">
        <is>
          <t>☆</t>
        </is>
      </c>
      <c r="BJ325" t="inlineStr">
        <is>
          <t>☆</t>
        </is>
      </c>
      <c r="BK325" t="inlineStr">
        <is>
          <t>☆</t>
        </is>
      </c>
      <c r="BL325" t="inlineStr">
        <is>
          <t>☆</t>
        </is>
      </c>
      <c r="BM325" t="inlineStr">
        <is>
          <t>☆</t>
        </is>
      </c>
      <c r="BN325" t="inlineStr">
        <is>
          <t>☆</t>
        </is>
      </c>
      <c r="BO325" t="inlineStr">
        <is>
          <t>☆</t>
        </is>
      </c>
      <c r="BP325" t="inlineStr">
        <is>
          <t>☆</t>
        </is>
      </c>
      <c r="BQ325" t="inlineStr">
        <is>
          <t>☆</t>
        </is>
      </c>
      <c r="BR325"/>
      <c r="BS325" t="inlineStr">
        <is>
          <t>#VALUE!</t>
        </is>
      </c>
    </row>
    <row r="326" ht="25.5" customHeight="1">
      <c r="A326" t="inlineStr">
        <is>
          <t>FR</t>
        </is>
      </c>
      <c r="B326" t="inlineStr">
        <is>
          <t>R0001EU</t>
        </is>
      </c>
      <c r="C326" t="inlineStr">
        <is>
          <t>R0010EU</t>
        </is>
      </c>
      <c r="D326" t="inlineStr">
        <is>
          <t>GS-S1(PRO)(coupon-10%）</t>
        </is>
      </c>
      <c r="E326">
        <v>27.5</v>
      </c>
      <c r="F326">
        <v>39.99</v>
      </c>
      <c r="G326"/>
      <c r="H326"/>
      <c r="I326"/>
      <c r="J326"/>
      <c r="K326"/>
      <c r="L326"/>
      <c r="M326"/>
      <c r="N326"/>
      <c r="O326"/>
      <c r="P326">
        <v>24</v>
      </c>
      <c r="Q326">
        <v>8</v>
      </c>
      <c r="R326"/>
      <c r="S326"/>
      <c r="T326"/>
      <c r="U326">
        <v>0.01</v>
      </c>
      <c r="V326"/>
      <c r="W326"/>
      <c r="X326">
        <v>0.188</v>
      </c>
      <c r="Y326">
        <v>5</v>
      </c>
      <c r="Z326"/>
      <c r="AA326"/>
      <c r="AB326"/>
      <c r="AC326">
        <v>75</v>
      </c>
      <c r="AD326"/>
      <c r="AE326"/>
      <c r="AF326"/>
      <c r="AG326"/>
      <c r="AH326">
        <v>12</v>
      </c>
      <c r="AI326"/>
      <c r="AJ326"/>
      <c r="AK326"/>
      <c r="AL326"/>
      <c r="AM326"/>
      <c r="AN326"/>
      <c r="AO326"/>
      <c r="AP326"/>
      <c r="AQ326"/>
      <c r="AR326"/>
      <c r="AS326"/>
      <c r="AT326" t="inlineStr">
        <is>
          <t>☆</t>
        </is>
      </c>
      <c r="AU326" t="inlineStr">
        <is>
          <t>☆</t>
        </is>
      </c>
      <c r="AV326" t="inlineStr">
        <is>
          <t>☆</t>
        </is>
      </c>
      <c r="AW326" t="inlineStr">
        <is>
          <t>☆</t>
        </is>
      </c>
      <c r="AX326" t="inlineStr">
        <is>
          <t>☆</t>
        </is>
      </c>
      <c r="AY326" t="inlineStr">
        <is>
          <t>☆</t>
        </is>
      </c>
      <c r="AZ326" t="inlineStr">
        <is>
          <t>☆</t>
        </is>
      </c>
      <c r="BA326" t="inlineStr">
        <is>
          <t>☆</t>
        </is>
      </c>
      <c r="BB326" t="inlineStr">
        <is>
          <t>☆</t>
        </is>
      </c>
      <c r="BC326" t="inlineStr">
        <is>
          <t>☆</t>
        </is>
      </c>
      <c r="BD326" t="inlineStr">
        <is>
          <t>☆</t>
        </is>
      </c>
      <c r="BE326" t="inlineStr">
        <is>
          <t>☆</t>
        </is>
      </c>
      <c r="BF326" t="inlineStr">
        <is>
          <t>☆</t>
        </is>
      </c>
      <c r="BG326" t="inlineStr">
        <is>
          <t>☆</t>
        </is>
      </c>
      <c r="BH326" t="inlineStr">
        <is>
          <t>☆</t>
        </is>
      </c>
      <c r="BI326" t="inlineStr">
        <is>
          <t>☆</t>
        </is>
      </c>
      <c r="BJ326" t="inlineStr">
        <is>
          <t>☆</t>
        </is>
      </c>
      <c r="BK326" t="inlineStr">
        <is>
          <t>☆</t>
        </is>
      </c>
      <c r="BL326" t="inlineStr">
        <is>
          <t>☆</t>
        </is>
      </c>
      <c r="BM326" t="inlineStr">
        <is>
          <t>☆</t>
        </is>
      </c>
      <c r="BN326" t="inlineStr">
        <is>
          <t>☆</t>
        </is>
      </c>
      <c r="BO326" t="inlineStr">
        <is>
          <t>☆</t>
        </is>
      </c>
      <c r="BP326" t="inlineStr">
        <is>
          <t>☆</t>
        </is>
      </c>
      <c r="BQ326" t="inlineStr">
        <is>
          <t>☆</t>
        </is>
      </c>
      <c r="BR326"/>
      <c r="BS326" t="inlineStr">
        <is>
          <t>#VALUE!</t>
        </is>
      </c>
    </row>
    <row r="327" ht="25.5" customHeight="1">
      <c r="A327" t="inlineStr">
        <is>
          <t>FR</t>
        </is>
      </c>
      <c r="B327" t="inlineStr">
        <is>
          <t>R0001EU</t>
        </is>
      </c>
      <c r="C327" t="inlineStr">
        <is>
          <t>R0010EU</t>
        </is>
      </c>
      <c r="D327" t="inlineStr">
        <is>
          <t>GS-S1(PRO)(coupon-15%）</t>
        </is>
      </c>
      <c r="E327">
        <v>27.5</v>
      </c>
      <c r="F327">
        <v>39.99</v>
      </c>
      <c r="G327"/>
      <c r="H327"/>
      <c r="I327"/>
      <c r="J327"/>
      <c r="K327"/>
      <c r="L327"/>
      <c r="M327"/>
      <c r="N327"/>
      <c r="O327"/>
      <c r="P327">
        <v>24</v>
      </c>
      <c r="Q327">
        <v>8</v>
      </c>
      <c r="R327"/>
      <c r="S327"/>
      <c r="T327"/>
      <c r="U327">
        <v>0.01</v>
      </c>
      <c r="V327"/>
      <c r="W327"/>
      <c r="X327">
        <v>0.188</v>
      </c>
      <c r="Y327">
        <v>5</v>
      </c>
      <c r="Z327"/>
      <c r="AA327"/>
      <c r="AB327"/>
      <c r="AC327">
        <v>75</v>
      </c>
      <c r="AD327"/>
      <c r="AE327"/>
      <c r="AF327"/>
      <c r="AG327"/>
      <c r="AH327">
        <v>12</v>
      </c>
      <c r="AI327"/>
      <c r="AJ327"/>
      <c r="AK327"/>
      <c r="AL327"/>
      <c r="AM327"/>
      <c r="AN327"/>
      <c r="AO327"/>
      <c r="AP327"/>
      <c r="AQ327"/>
      <c r="AR327"/>
      <c r="AS327"/>
      <c r="AT327" t="inlineStr">
        <is>
          <t>☆</t>
        </is>
      </c>
      <c r="AU327" t="inlineStr">
        <is>
          <t>☆</t>
        </is>
      </c>
      <c r="AV327" t="inlineStr">
        <is>
          <t>☆</t>
        </is>
      </c>
      <c r="AW327" t="inlineStr">
        <is>
          <t>☆</t>
        </is>
      </c>
      <c r="AX327" t="inlineStr">
        <is>
          <t>☆</t>
        </is>
      </c>
      <c r="AY327" t="inlineStr">
        <is>
          <t>☆</t>
        </is>
      </c>
      <c r="AZ327" t="inlineStr">
        <is>
          <t>☆</t>
        </is>
      </c>
      <c r="BA327" t="inlineStr">
        <is>
          <t>☆</t>
        </is>
      </c>
      <c r="BB327" t="inlineStr">
        <is>
          <t>☆</t>
        </is>
      </c>
      <c r="BC327" t="inlineStr">
        <is>
          <t>☆</t>
        </is>
      </c>
      <c r="BD327" t="inlineStr">
        <is>
          <t>☆</t>
        </is>
      </c>
      <c r="BE327" t="inlineStr">
        <is>
          <t>☆</t>
        </is>
      </c>
      <c r="BF327" t="inlineStr">
        <is>
          <t>☆</t>
        </is>
      </c>
      <c r="BG327" t="inlineStr">
        <is>
          <t>☆</t>
        </is>
      </c>
      <c r="BH327" t="inlineStr">
        <is>
          <t>☆</t>
        </is>
      </c>
      <c r="BI327" t="inlineStr">
        <is>
          <t>☆</t>
        </is>
      </c>
      <c r="BJ327" t="inlineStr">
        <is>
          <t>☆</t>
        </is>
      </c>
      <c r="BK327" t="inlineStr">
        <is>
          <t>☆</t>
        </is>
      </c>
      <c r="BL327" t="inlineStr">
        <is>
          <t>☆</t>
        </is>
      </c>
      <c r="BM327" t="inlineStr">
        <is>
          <t>☆</t>
        </is>
      </c>
      <c r="BN327" t="inlineStr">
        <is>
          <t>☆</t>
        </is>
      </c>
      <c r="BO327" t="inlineStr">
        <is>
          <t>☆</t>
        </is>
      </c>
      <c r="BP327" t="inlineStr">
        <is>
          <t>☆</t>
        </is>
      </c>
      <c r="BQ327" t="inlineStr">
        <is>
          <t>☆</t>
        </is>
      </c>
      <c r="BR327"/>
      <c r="BS327" t="inlineStr">
        <is>
          <t>#VALUE!</t>
        </is>
      </c>
    </row>
    <row r="328" ht="25.5" customHeight="1">
      <c r="A328" t="inlineStr">
        <is>
          <t>IT</t>
        </is>
      </c>
      <c r="B328" t="inlineStr">
        <is>
          <t>R0001EU</t>
        </is>
      </c>
      <c r="C328" t="inlineStr">
        <is>
          <t>R0010EU</t>
        </is>
      </c>
      <c r="D328" t="inlineStr">
        <is>
          <t>GS-S1(PRO)(coupon-0%）</t>
        </is>
      </c>
      <c r="E328">
        <v>27.5</v>
      </c>
      <c r="F328">
        <v>39.99</v>
      </c>
      <c r="G328"/>
      <c r="H328"/>
      <c r="I328"/>
      <c r="J328"/>
      <c r="K328"/>
      <c r="L328"/>
      <c r="M328"/>
      <c r="N328"/>
      <c r="O328"/>
      <c r="P328">
        <v>24</v>
      </c>
      <c r="Q328">
        <v>8</v>
      </c>
      <c r="R328"/>
      <c r="S328"/>
      <c r="T328"/>
      <c r="U328">
        <v>0.01</v>
      </c>
      <c r="V328"/>
      <c r="W328"/>
      <c r="X328">
        <v>0.188</v>
      </c>
      <c r="Y328">
        <v>5</v>
      </c>
      <c r="Z328">
        <v>0</v>
      </c>
      <c r="AA328"/>
      <c r="AB328"/>
      <c r="AC328">
        <v>75</v>
      </c>
      <c r="AD328"/>
      <c r="AE328"/>
      <c r="AF328"/>
      <c r="AG328"/>
      <c r="AH328">
        <v>12</v>
      </c>
      <c r="AI328"/>
      <c r="AJ328"/>
      <c r="AK328"/>
      <c r="AL328"/>
      <c r="AM328"/>
      <c r="AN328"/>
      <c r="AO328"/>
      <c r="AP328"/>
      <c r="AQ328"/>
      <c r="AR328"/>
      <c r="AS328"/>
      <c r="AT328" t="inlineStr">
        <is>
          <t>☆</t>
        </is>
      </c>
      <c r="AU328" t="inlineStr">
        <is>
          <t>☆</t>
        </is>
      </c>
      <c r="AV328" t="inlineStr">
        <is>
          <t>☆</t>
        </is>
      </c>
      <c r="AW328" t="inlineStr">
        <is>
          <t>☆</t>
        </is>
      </c>
      <c r="AX328" t="inlineStr">
        <is>
          <t>☆</t>
        </is>
      </c>
      <c r="AY328" t="inlineStr">
        <is>
          <t>☆</t>
        </is>
      </c>
      <c r="AZ328" t="inlineStr">
        <is>
          <t>☆</t>
        </is>
      </c>
      <c r="BA328" t="inlineStr">
        <is>
          <t>☆</t>
        </is>
      </c>
      <c r="BB328" t="inlineStr">
        <is>
          <t>☆</t>
        </is>
      </c>
      <c r="BC328" t="inlineStr">
        <is>
          <t>☆</t>
        </is>
      </c>
      <c r="BD328" t="inlineStr">
        <is>
          <t>☆</t>
        </is>
      </c>
      <c r="BE328" t="inlineStr">
        <is>
          <t>☆</t>
        </is>
      </c>
      <c r="BF328" t="inlineStr">
        <is>
          <t>☆</t>
        </is>
      </c>
      <c r="BG328" t="inlineStr">
        <is>
          <t>☆</t>
        </is>
      </c>
      <c r="BH328" t="inlineStr">
        <is>
          <t>☆</t>
        </is>
      </c>
      <c r="BI328" t="inlineStr">
        <is>
          <t>☆</t>
        </is>
      </c>
      <c r="BJ328" t="inlineStr">
        <is>
          <t>☆</t>
        </is>
      </c>
      <c r="BK328" t="inlineStr">
        <is>
          <t>☆</t>
        </is>
      </c>
      <c r="BL328" t="inlineStr">
        <is>
          <t>☆</t>
        </is>
      </c>
      <c r="BM328" t="inlineStr">
        <is>
          <t>☆</t>
        </is>
      </c>
      <c r="BN328" t="inlineStr">
        <is>
          <t>☆</t>
        </is>
      </c>
      <c r="BO328" t="inlineStr">
        <is>
          <t>☆</t>
        </is>
      </c>
      <c r="BP328" t="inlineStr">
        <is>
          <t>☆</t>
        </is>
      </c>
      <c r="BQ328" t="inlineStr">
        <is>
          <t>☆</t>
        </is>
      </c>
      <c r="BR328"/>
      <c r="BS328" t="inlineStr">
        <is>
          <t>#VALUE!</t>
        </is>
      </c>
    </row>
    <row r="329" ht="25.5" customHeight="1">
      <c r="A329" t="inlineStr">
        <is>
          <t>IT</t>
        </is>
      </c>
      <c r="B329" t="inlineStr">
        <is>
          <t>R0001EU</t>
        </is>
      </c>
      <c r="C329" t="inlineStr">
        <is>
          <t>R0010EU</t>
        </is>
      </c>
      <c r="D329" t="inlineStr">
        <is>
          <t>GS-S1(PRO)(coupon-10%）</t>
        </is>
      </c>
      <c r="E329">
        <v>27.5</v>
      </c>
      <c r="F329">
        <v>39.99</v>
      </c>
      <c r="G329"/>
      <c r="H329"/>
      <c r="I329"/>
      <c r="J329"/>
      <c r="K329"/>
      <c r="L329"/>
      <c r="M329"/>
      <c r="N329"/>
      <c r="O329"/>
      <c r="P329">
        <v>24</v>
      </c>
      <c r="Q329">
        <v>8</v>
      </c>
      <c r="R329"/>
      <c r="S329"/>
      <c r="T329"/>
      <c r="U329">
        <v>0.01</v>
      </c>
      <c r="V329"/>
      <c r="W329"/>
      <c r="X329">
        <v>0.188</v>
      </c>
      <c r="Y329">
        <v>5</v>
      </c>
      <c r="Z329"/>
      <c r="AA329"/>
      <c r="AB329"/>
      <c r="AC329">
        <v>75</v>
      </c>
      <c r="AD329"/>
      <c r="AE329"/>
      <c r="AF329"/>
      <c r="AG329"/>
      <c r="AH329">
        <v>12</v>
      </c>
      <c r="AI329"/>
      <c r="AJ329"/>
      <c r="AK329"/>
      <c r="AL329"/>
      <c r="AM329"/>
      <c r="AN329"/>
      <c r="AO329"/>
      <c r="AP329"/>
      <c r="AQ329"/>
      <c r="AR329"/>
      <c r="AS329"/>
      <c r="AT329" t="inlineStr">
        <is>
          <t>☆</t>
        </is>
      </c>
      <c r="AU329" t="inlineStr">
        <is>
          <t>☆</t>
        </is>
      </c>
      <c r="AV329" t="inlineStr">
        <is>
          <t>☆</t>
        </is>
      </c>
      <c r="AW329" t="inlineStr">
        <is>
          <t>☆</t>
        </is>
      </c>
      <c r="AX329" t="inlineStr">
        <is>
          <t>☆</t>
        </is>
      </c>
      <c r="AY329" t="inlineStr">
        <is>
          <t>☆</t>
        </is>
      </c>
      <c r="AZ329" t="inlineStr">
        <is>
          <t>☆</t>
        </is>
      </c>
      <c r="BA329" t="inlineStr">
        <is>
          <t>☆</t>
        </is>
      </c>
      <c r="BB329" t="inlineStr">
        <is>
          <t>☆</t>
        </is>
      </c>
      <c r="BC329" t="inlineStr">
        <is>
          <t>☆</t>
        </is>
      </c>
      <c r="BD329" t="inlineStr">
        <is>
          <t>☆</t>
        </is>
      </c>
      <c r="BE329" t="inlineStr">
        <is>
          <t>☆</t>
        </is>
      </c>
      <c r="BF329" t="inlineStr">
        <is>
          <t>☆</t>
        </is>
      </c>
      <c r="BG329" t="inlineStr">
        <is>
          <t>☆</t>
        </is>
      </c>
      <c r="BH329" t="inlineStr">
        <is>
          <t>☆</t>
        </is>
      </c>
      <c r="BI329" t="inlineStr">
        <is>
          <t>☆</t>
        </is>
      </c>
      <c r="BJ329" t="inlineStr">
        <is>
          <t>☆</t>
        </is>
      </c>
      <c r="BK329" t="inlineStr">
        <is>
          <t>☆</t>
        </is>
      </c>
      <c r="BL329" t="inlineStr">
        <is>
          <t>☆</t>
        </is>
      </c>
      <c r="BM329" t="inlineStr">
        <is>
          <t>☆</t>
        </is>
      </c>
      <c r="BN329" t="inlineStr">
        <is>
          <t>☆</t>
        </is>
      </c>
      <c r="BO329" t="inlineStr">
        <is>
          <t>☆</t>
        </is>
      </c>
      <c r="BP329" t="inlineStr">
        <is>
          <t>☆</t>
        </is>
      </c>
      <c r="BQ329" t="inlineStr">
        <is>
          <t>☆</t>
        </is>
      </c>
      <c r="BR329"/>
      <c r="BS329" t="inlineStr">
        <is>
          <t>#VALUE!</t>
        </is>
      </c>
    </row>
    <row r="330" ht="25.5" customHeight="1">
      <c r="A330" t="inlineStr">
        <is>
          <t>IT</t>
        </is>
      </c>
      <c r="B330" t="inlineStr">
        <is>
          <t>R0001EU</t>
        </is>
      </c>
      <c r="C330" t="inlineStr">
        <is>
          <t>R0010EU</t>
        </is>
      </c>
      <c r="D330" t="inlineStr">
        <is>
          <t>GS-S1(PRO)(coupon-15%）</t>
        </is>
      </c>
      <c r="E330">
        <v>27.5</v>
      </c>
      <c r="F330">
        <v>39.99</v>
      </c>
      <c r="G330"/>
      <c r="H330"/>
      <c r="I330"/>
      <c r="J330"/>
      <c r="K330"/>
      <c r="L330"/>
      <c r="M330"/>
      <c r="N330"/>
      <c r="O330"/>
      <c r="P330">
        <v>24</v>
      </c>
      <c r="Q330">
        <v>8</v>
      </c>
      <c r="R330"/>
      <c r="S330"/>
      <c r="T330"/>
      <c r="U330">
        <v>0.01</v>
      </c>
      <c r="V330"/>
      <c r="W330"/>
      <c r="X330">
        <v>0.188</v>
      </c>
      <c r="Y330">
        <v>5</v>
      </c>
      <c r="Z330"/>
      <c r="AA330"/>
      <c r="AB330"/>
      <c r="AC330">
        <v>75</v>
      </c>
      <c r="AD330"/>
      <c r="AE330"/>
      <c r="AF330"/>
      <c r="AG330"/>
      <c r="AH330">
        <v>12</v>
      </c>
      <c r="AI330"/>
      <c r="AJ330"/>
      <c r="AK330"/>
      <c r="AL330"/>
      <c r="AM330"/>
      <c r="AN330"/>
      <c r="AO330"/>
      <c r="AP330"/>
      <c r="AQ330"/>
      <c r="AR330"/>
      <c r="AS330"/>
      <c r="AT330" t="inlineStr">
        <is>
          <t>☆</t>
        </is>
      </c>
      <c r="AU330" t="inlineStr">
        <is>
          <t>☆</t>
        </is>
      </c>
      <c r="AV330" t="inlineStr">
        <is>
          <t>☆</t>
        </is>
      </c>
      <c r="AW330" t="inlineStr">
        <is>
          <t>☆</t>
        </is>
      </c>
      <c r="AX330" t="inlineStr">
        <is>
          <t>☆</t>
        </is>
      </c>
      <c r="AY330" t="inlineStr">
        <is>
          <t>☆</t>
        </is>
      </c>
      <c r="AZ330" t="inlineStr">
        <is>
          <t>☆</t>
        </is>
      </c>
      <c r="BA330" t="inlineStr">
        <is>
          <t>☆</t>
        </is>
      </c>
      <c r="BB330" t="inlineStr">
        <is>
          <t>☆</t>
        </is>
      </c>
      <c r="BC330" t="inlineStr">
        <is>
          <t>☆</t>
        </is>
      </c>
      <c r="BD330" t="inlineStr">
        <is>
          <t>☆</t>
        </is>
      </c>
      <c r="BE330" t="inlineStr">
        <is>
          <t>☆</t>
        </is>
      </c>
      <c r="BF330" t="inlineStr">
        <is>
          <t>☆</t>
        </is>
      </c>
      <c r="BG330" t="inlineStr">
        <is>
          <t>☆</t>
        </is>
      </c>
      <c r="BH330" t="inlineStr">
        <is>
          <t>☆</t>
        </is>
      </c>
      <c r="BI330" t="inlineStr">
        <is>
          <t>☆</t>
        </is>
      </c>
      <c r="BJ330" t="inlineStr">
        <is>
          <t>☆</t>
        </is>
      </c>
      <c r="BK330" t="inlineStr">
        <is>
          <t>☆</t>
        </is>
      </c>
      <c r="BL330" t="inlineStr">
        <is>
          <t>☆</t>
        </is>
      </c>
      <c r="BM330" t="inlineStr">
        <is>
          <t>☆</t>
        </is>
      </c>
      <c r="BN330" t="inlineStr">
        <is>
          <t>☆</t>
        </is>
      </c>
      <c r="BO330" t="inlineStr">
        <is>
          <t>☆</t>
        </is>
      </c>
      <c r="BP330" t="inlineStr">
        <is>
          <t>☆</t>
        </is>
      </c>
      <c r="BQ330" t="inlineStr">
        <is>
          <t>☆</t>
        </is>
      </c>
      <c r="BR330"/>
      <c r="BS330" t="inlineStr">
        <is>
          <t>#VALUE!</t>
        </is>
      </c>
    </row>
    <row r="331" ht="25.5" customHeight="1">
      <c r="A331" t="inlineStr">
        <is>
          <t>ES</t>
        </is>
      </c>
      <c r="B331" t="inlineStr">
        <is>
          <t>R0001EU</t>
        </is>
      </c>
      <c r="C331" t="inlineStr">
        <is>
          <t>R0010EU</t>
        </is>
      </c>
      <c r="D331" t="inlineStr">
        <is>
          <t>GS-S1(PRO)(coupon-0%）</t>
        </is>
      </c>
      <c r="E331">
        <v>27.5</v>
      </c>
      <c r="F331">
        <v>39.99</v>
      </c>
      <c r="G331"/>
      <c r="H331"/>
      <c r="I331"/>
      <c r="J331"/>
      <c r="K331"/>
      <c r="L331"/>
      <c r="M331"/>
      <c r="N331"/>
      <c r="O331"/>
      <c r="P331">
        <v>24</v>
      </c>
      <c r="Q331">
        <v>8</v>
      </c>
      <c r="R331"/>
      <c r="S331"/>
      <c r="T331"/>
      <c r="U331">
        <v>0.01</v>
      </c>
      <c r="V331"/>
      <c r="W331"/>
      <c r="X331">
        <v>0.188</v>
      </c>
      <c r="Y331">
        <v>5</v>
      </c>
      <c r="Z331">
        <v>0</v>
      </c>
      <c r="AA331"/>
      <c r="AB331"/>
      <c r="AC331">
        <v>75</v>
      </c>
      <c r="AD331"/>
      <c r="AE331"/>
      <c r="AF331"/>
      <c r="AG331"/>
      <c r="AH331">
        <v>12</v>
      </c>
      <c r="AI331"/>
      <c r="AJ331"/>
      <c r="AK331"/>
      <c r="AL331"/>
      <c r="AM331"/>
      <c r="AN331"/>
      <c r="AO331"/>
      <c r="AP331"/>
      <c r="AQ331"/>
      <c r="AR331"/>
      <c r="AS331"/>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c r="BS331" t="inlineStr">
        <is>
          <t>#VALUE!</t>
        </is>
      </c>
    </row>
    <row r="332" ht="25.5" customHeight="1">
      <c r="A332" t="inlineStr">
        <is>
          <t>ES</t>
        </is>
      </c>
      <c r="B332" t="inlineStr">
        <is>
          <t>R0001EU</t>
        </is>
      </c>
      <c r="C332" t="inlineStr">
        <is>
          <t>R0010EU</t>
        </is>
      </c>
      <c r="D332" t="inlineStr">
        <is>
          <t>GS-S1(PRO)(coupon-10%）</t>
        </is>
      </c>
      <c r="E332">
        <v>27.5</v>
      </c>
      <c r="F332">
        <v>39.99</v>
      </c>
      <c r="G332"/>
      <c r="H332"/>
      <c r="I332"/>
      <c r="J332"/>
      <c r="K332"/>
      <c r="L332"/>
      <c r="M332"/>
      <c r="N332"/>
      <c r="O332"/>
      <c r="P332">
        <v>24</v>
      </c>
      <c r="Q332">
        <v>8</v>
      </c>
      <c r="R332"/>
      <c r="S332"/>
      <c r="T332"/>
      <c r="U332">
        <v>0.01</v>
      </c>
      <c r="V332"/>
      <c r="W332"/>
      <c r="X332">
        <v>0.188</v>
      </c>
      <c r="Y332">
        <v>5</v>
      </c>
      <c r="Z332"/>
      <c r="AA332"/>
      <c r="AB332"/>
      <c r="AC332">
        <v>75</v>
      </c>
      <c r="AD332"/>
      <c r="AE332"/>
      <c r="AF332"/>
      <c r="AG332"/>
      <c r="AH332">
        <v>12</v>
      </c>
      <c r="AI332"/>
      <c r="AJ332"/>
      <c r="AK332"/>
      <c r="AL332"/>
      <c r="AM332"/>
      <c r="AN332"/>
      <c r="AO332"/>
      <c r="AP332"/>
      <c r="AQ332"/>
      <c r="AR332"/>
      <c r="AS332"/>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c r="BS332" t="inlineStr">
        <is>
          <t>#VALUE!</t>
        </is>
      </c>
    </row>
    <row r="333" ht="25.5" customHeight="1">
      <c r="A333" t="inlineStr">
        <is>
          <t>ES</t>
        </is>
      </c>
      <c r="B333" t="inlineStr">
        <is>
          <t>R0001EU</t>
        </is>
      </c>
      <c r="C333" t="inlineStr">
        <is>
          <t>R0010EU</t>
        </is>
      </c>
      <c r="D333" t="inlineStr">
        <is>
          <t>GS-S1(PRO)(coupon-15%）</t>
        </is>
      </c>
      <c r="E333">
        <v>27.5</v>
      </c>
      <c r="F333">
        <v>39.99</v>
      </c>
      <c r="G333"/>
      <c r="H333"/>
      <c r="I333"/>
      <c r="J333"/>
      <c r="K333"/>
      <c r="L333"/>
      <c r="M333"/>
      <c r="N333"/>
      <c r="O333"/>
      <c r="P333">
        <v>24</v>
      </c>
      <c r="Q333">
        <v>8</v>
      </c>
      <c r="R333"/>
      <c r="S333"/>
      <c r="T333"/>
      <c r="U333">
        <v>0.01</v>
      </c>
      <c r="V333"/>
      <c r="W333"/>
      <c r="X333">
        <v>0.188</v>
      </c>
      <c r="Y333">
        <v>5</v>
      </c>
      <c r="Z333"/>
      <c r="AA333"/>
      <c r="AB333"/>
      <c r="AC333">
        <v>75</v>
      </c>
      <c r="AD333"/>
      <c r="AE333"/>
      <c r="AF333"/>
      <c r="AG333"/>
      <c r="AH333">
        <v>12</v>
      </c>
      <c r="AI333"/>
      <c r="AJ333"/>
      <c r="AK333"/>
      <c r="AL333"/>
      <c r="AM333"/>
      <c r="AN333"/>
      <c r="AO333"/>
      <c r="AP333"/>
      <c r="AQ333"/>
      <c r="AR333"/>
      <c r="AS333"/>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c r="BS333" t="inlineStr">
        <is>
          <t>#VALUE!</t>
        </is>
      </c>
    </row>
    <row r="334" ht="25.5" customHeight="1">
      <c r="A334" t="inlineStr">
        <is>
          <t>NL</t>
        </is>
      </c>
      <c r="B334" t="inlineStr">
        <is>
          <t>R0001EU</t>
        </is>
      </c>
      <c r="C334" t="inlineStr">
        <is>
          <t>R0010EU</t>
        </is>
      </c>
      <c r="D334" t="inlineStr">
        <is>
          <t>GS-S1(PRO)荷兰</t>
        </is>
      </c>
      <c r="E334">
        <v>27.5</v>
      </c>
      <c r="F334">
        <v>39.99</v>
      </c>
      <c r="G334"/>
      <c r="H334"/>
      <c r="I334"/>
      <c r="J334"/>
      <c r="K334"/>
      <c r="L334"/>
      <c r="M334"/>
      <c r="N334"/>
      <c r="O334"/>
      <c r="P334">
        <v>24</v>
      </c>
      <c r="Q334">
        <v>8</v>
      </c>
      <c r="R334"/>
      <c r="S334"/>
      <c r="T334"/>
      <c r="U334">
        <v>0.01</v>
      </c>
      <c r="V334"/>
      <c r="W334"/>
      <c r="X334">
        <v>0.188</v>
      </c>
      <c r="Y334">
        <v>5</v>
      </c>
      <c r="Z334"/>
      <c r="AA334"/>
      <c r="AB334"/>
      <c r="AC334">
        <v>75</v>
      </c>
      <c r="AD334"/>
      <c r="AE334"/>
      <c r="AF334"/>
      <c r="AG334"/>
      <c r="AH334">
        <v>12</v>
      </c>
      <c r="AI334"/>
      <c r="AJ334"/>
      <c r="AK334"/>
      <c r="AL334"/>
      <c r="AM334"/>
      <c r="AN334"/>
      <c r="AO334"/>
      <c r="AP334"/>
      <c r="AQ334"/>
      <c r="AR334"/>
      <c r="AS334"/>
      <c r="AT334" t="inlineStr">
        <is>
          <t>☆</t>
        </is>
      </c>
      <c r="AU334" t="inlineStr">
        <is>
          <t>☆</t>
        </is>
      </c>
      <c r="AV334" t="inlineStr">
        <is>
          <t>☆</t>
        </is>
      </c>
      <c r="AW334" t="inlineStr">
        <is>
          <t>☆</t>
        </is>
      </c>
      <c r="AX334" t="inlineStr">
        <is>
          <t>☆</t>
        </is>
      </c>
      <c r="AY334" t="inlineStr">
        <is>
          <t>☆</t>
        </is>
      </c>
      <c r="AZ334" t="inlineStr">
        <is>
          <t>☆</t>
        </is>
      </c>
      <c r="BA334" t="inlineStr">
        <is>
          <t>☆</t>
        </is>
      </c>
      <c r="BB334" t="inlineStr">
        <is>
          <t>☆</t>
        </is>
      </c>
      <c r="BC334" t="inlineStr">
        <is>
          <t>☆</t>
        </is>
      </c>
      <c r="BD334" t="inlineStr">
        <is>
          <t>☆</t>
        </is>
      </c>
      <c r="BE334" t="inlineStr">
        <is>
          <t>☆</t>
        </is>
      </c>
      <c r="BF334" t="inlineStr">
        <is>
          <t>☆</t>
        </is>
      </c>
      <c r="BG334" t="inlineStr">
        <is>
          <t>☆</t>
        </is>
      </c>
      <c r="BH334" t="inlineStr">
        <is>
          <t>☆</t>
        </is>
      </c>
      <c r="BI334" t="inlineStr">
        <is>
          <t>☆</t>
        </is>
      </c>
      <c r="BJ334" t="inlineStr">
        <is>
          <t>☆</t>
        </is>
      </c>
      <c r="BK334" t="inlineStr">
        <is>
          <t>☆</t>
        </is>
      </c>
      <c r="BL334" t="inlineStr">
        <is>
          <t>☆</t>
        </is>
      </c>
      <c r="BM334" t="inlineStr">
        <is>
          <t>☆</t>
        </is>
      </c>
      <c r="BN334" t="inlineStr">
        <is>
          <t>☆</t>
        </is>
      </c>
      <c r="BO334" t="inlineStr">
        <is>
          <t>☆</t>
        </is>
      </c>
      <c r="BP334" t="inlineStr">
        <is>
          <t>☆</t>
        </is>
      </c>
      <c r="BQ334" t="inlineStr">
        <is>
          <t>☆</t>
        </is>
      </c>
      <c r="BR334"/>
      <c r="BS334" t="inlineStr">
        <is>
          <t>#VALUE!</t>
        </is>
      </c>
    </row>
    <row r="335" ht="25.5" customHeight="1">
      <c r="A335" t="inlineStr">
        <is>
          <t>PL</t>
        </is>
      </c>
      <c r="B335" t="inlineStr">
        <is>
          <t>R0001EU</t>
        </is>
      </c>
      <c r="C335" t="inlineStr">
        <is>
          <t>R0010EU</t>
        </is>
      </c>
      <c r="D335" t="inlineStr">
        <is>
          <t>GS-S1(PRO)波兰</t>
        </is>
      </c>
      <c r="E335">
        <v>31</v>
      </c>
      <c r="F335">
        <v>44.99</v>
      </c>
      <c r="G335"/>
      <c r="H335"/>
      <c r="I335"/>
      <c r="J335"/>
      <c r="K335"/>
      <c r="L335"/>
      <c r="M335"/>
      <c r="N335"/>
      <c r="O335"/>
      <c r="P335">
        <v>24</v>
      </c>
      <c r="Q335">
        <v>8</v>
      </c>
      <c r="R335"/>
      <c r="S335"/>
      <c r="T335"/>
      <c r="U335">
        <v>0.01</v>
      </c>
      <c r="V335"/>
      <c r="W335"/>
      <c r="X335">
        <v>0.188</v>
      </c>
      <c r="Y335">
        <v>5</v>
      </c>
      <c r="Z335"/>
      <c r="AA335"/>
      <c r="AB335"/>
      <c r="AC335">
        <v>75</v>
      </c>
      <c r="AD335"/>
      <c r="AE335"/>
      <c r="AF335"/>
      <c r="AG335"/>
      <c r="AH335">
        <v>12</v>
      </c>
      <c r="AI335"/>
      <c r="AJ335"/>
      <c r="AK335"/>
      <c r="AL335"/>
      <c r="AM335"/>
      <c r="AN335"/>
      <c r="AO335"/>
      <c r="AP335"/>
      <c r="AQ335"/>
      <c r="AR335"/>
      <c r="AS335"/>
      <c r="AT335" t="inlineStr">
        <is>
          <t>☆</t>
        </is>
      </c>
      <c r="AU335" t="inlineStr">
        <is>
          <t>☆</t>
        </is>
      </c>
      <c r="AV335" t="inlineStr">
        <is>
          <t>☆</t>
        </is>
      </c>
      <c r="AW335" t="inlineStr">
        <is>
          <t>☆</t>
        </is>
      </c>
      <c r="AX335" t="inlineStr">
        <is>
          <t>☆</t>
        </is>
      </c>
      <c r="AY335" t="inlineStr">
        <is>
          <t>☆</t>
        </is>
      </c>
      <c r="AZ335" t="inlineStr">
        <is>
          <t>☆</t>
        </is>
      </c>
      <c r="BA335" t="inlineStr">
        <is>
          <t>☆</t>
        </is>
      </c>
      <c r="BB335" t="inlineStr">
        <is>
          <t>☆</t>
        </is>
      </c>
      <c r="BC335" t="inlineStr">
        <is>
          <t>☆</t>
        </is>
      </c>
      <c r="BD335" t="inlineStr">
        <is>
          <t>☆</t>
        </is>
      </c>
      <c r="BE335" t="inlineStr">
        <is>
          <t>☆</t>
        </is>
      </c>
      <c r="BF335" t="inlineStr">
        <is>
          <t>☆</t>
        </is>
      </c>
      <c r="BG335" t="inlineStr">
        <is>
          <t>☆</t>
        </is>
      </c>
      <c r="BH335" t="inlineStr">
        <is>
          <t>☆</t>
        </is>
      </c>
      <c r="BI335" t="inlineStr">
        <is>
          <t>☆</t>
        </is>
      </c>
      <c r="BJ335" t="inlineStr">
        <is>
          <t>☆</t>
        </is>
      </c>
      <c r="BK335" t="inlineStr">
        <is>
          <t>☆</t>
        </is>
      </c>
      <c r="BL335" t="inlineStr">
        <is>
          <t>☆</t>
        </is>
      </c>
      <c r="BM335" t="inlineStr">
        <is>
          <t>☆</t>
        </is>
      </c>
      <c r="BN335" t="inlineStr">
        <is>
          <t>☆</t>
        </is>
      </c>
      <c r="BO335" t="inlineStr">
        <is>
          <t>☆</t>
        </is>
      </c>
      <c r="BP335" t="inlineStr">
        <is>
          <t>☆</t>
        </is>
      </c>
      <c r="BQ335" t="inlineStr">
        <is>
          <t>☆</t>
        </is>
      </c>
      <c r="BR335"/>
      <c r="BS335" t="inlineStr">
        <is>
          <t>#VALUE!</t>
        </is>
      </c>
    </row>
    <row r="336" ht="25.5" customHeight="1">
      <c r="A336" t="inlineStr">
        <is>
          <t>SE</t>
        </is>
      </c>
      <c r="B336" t="inlineStr">
        <is>
          <t>R0001EU</t>
        </is>
      </c>
      <c r="C336" t="inlineStr">
        <is>
          <t>R0010EU</t>
        </is>
      </c>
      <c r="D336" t="inlineStr">
        <is>
          <t>GS-S1(PRO)瑞典</t>
        </is>
      </c>
      <c r="E336">
        <v>31</v>
      </c>
      <c r="F336">
        <v>44.99</v>
      </c>
      <c r="G336"/>
      <c r="H336"/>
      <c r="I336"/>
      <c r="J336"/>
      <c r="K336"/>
      <c r="L336"/>
      <c r="M336"/>
      <c r="N336"/>
      <c r="O336"/>
      <c r="P336">
        <v>24</v>
      </c>
      <c r="Q336">
        <v>8</v>
      </c>
      <c r="R336"/>
      <c r="S336"/>
      <c r="T336"/>
      <c r="U336">
        <v>0.01</v>
      </c>
      <c r="V336"/>
      <c r="W336"/>
      <c r="X336">
        <v>0.188</v>
      </c>
      <c r="Y336">
        <v>5</v>
      </c>
      <c r="Z336"/>
      <c r="AA336"/>
      <c r="AB336"/>
      <c r="AC336">
        <v>75</v>
      </c>
      <c r="AD336"/>
      <c r="AE336"/>
      <c r="AF336"/>
      <c r="AG336"/>
      <c r="AH336">
        <v>12</v>
      </c>
      <c r="AI336"/>
      <c r="AJ336"/>
      <c r="AK336"/>
      <c r="AL336"/>
      <c r="AM336"/>
      <c r="AN336"/>
      <c r="AO336"/>
      <c r="AP336"/>
      <c r="AQ336"/>
      <c r="AR336"/>
      <c r="AS336"/>
      <c r="AT336" t="inlineStr">
        <is>
          <t>☆</t>
        </is>
      </c>
      <c r="AU336" t="inlineStr">
        <is>
          <t>☆</t>
        </is>
      </c>
      <c r="AV336" t="inlineStr">
        <is>
          <t>☆</t>
        </is>
      </c>
      <c r="AW336" t="inlineStr">
        <is>
          <t>☆</t>
        </is>
      </c>
      <c r="AX336" t="inlineStr">
        <is>
          <t>☆</t>
        </is>
      </c>
      <c r="AY336" t="inlineStr">
        <is>
          <t>☆</t>
        </is>
      </c>
      <c r="AZ336" t="inlineStr">
        <is>
          <t>☆</t>
        </is>
      </c>
      <c r="BA336" t="inlineStr">
        <is>
          <t>☆</t>
        </is>
      </c>
      <c r="BB336" t="inlineStr">
        <is>
          <t>☆</t>
        </is>
      </c>
      <c r="BC336" t="inlineStr">
        <is>
          <t>☆</t>
        </is>
      </c>
      <c r="BD336" t="inlineStr">
        <is>
          <t>☆</t>
        </is>
      </c>
      <c r="BE336" t="inlineStr">
        <is>
          <t>☆</t>
        </is>
      </c>
      <c r="BF336" t="inlineStr">
        <is>
          <t>☆</t>
        </is>
      </c>
      <c r="BG336" t="inlineStr">
        <is>
          <t>☆</t>
        </is>
      </c>
      <c r="BH336" t="inlineStr">
        <is>
          <t>☆</t>
        </is>
      </c>
      <c r="BI336" t="inlineStr">
        <is>
          <t>☆</t>
        </is>
      </c>
      <c r="BJ336" t="inlineStr">
        <is>
          <t>☆</t>
        </is>
      </c>
      <c r="BK336" t="inlineStr">
        <is>
          <t>☆</t>
        </is>
      </c>
      <c r="BL336" t="inlineStr">
        <is>
          <t>☆</t>
        </is>
      </c>
      <c r="BM336" t="inlineStr">
        <is>
          <t>☆</t>
        </is>
      </c>
      <c r="BN336" t="inlineStr">
        <is>
          <t>☆</t>
        </is>
      </c>
      <c r="BO336" t="inlineStr">
        <is>
          <t>☆</t>
        </is>
      </c>
      <c r="BP336" t="inlineStr">
        <is>
          <t>☆</t>
        </is>
      </c>
      <c r="BQ336" t="inlineStr">
        <is>
          <t>☆</t>
        </is>
      </c>
      <c r="BR336"/>
      <c r="BS336" t="inlineStr">
        <is>
          <t>#VALUE!</t>
        </is>
      </c>
    </row>
    <row r="337" ht="25.5" customHeight="1">
      <c r="A337" t="inlineStr">
        <is>
          <t>BE</t>
        </is>
      </c>
      <c r="B337" t="inlineStr">
        <is>
          <t>R0001EU</t>
        </is>
      </c>
      <c r="C337" t="inlineStr">
        <is>
          <t>R0010EU</t>
        </is>
      </c>
      <c r="D337" t="inlineStr">
        <is>
          <t>GS-S1(PRO)比利时</t>
        </is>
      </c>
      <c r="E337">
        <v>27.5</v>
      </c>
      <c r="F337">
        <v>39.99</v>
      </c>
      <c r="G337"/>
      <c r="H337"/>
      <c r="I337"/>
      <c r="J337"/>
      <c r="K337"/>
      <c r="L337"/>
      <c r="M337"/>
      <c r="N337"/>
      <c r="O337"/>
      <c r="P337">
        <v>24</v>
      </c>
      <c r="Q337">
        <v>8</v>
      </c>
      <c r="R337"/>
      <c r="S337"/>
      <c r="T337"/>
      <c r="U337">
        <v>0.01</v>
      </c>
      <c r="V337"/>
      <c r="W337"/>
      <c r="X337">
        <v>0.188</v>
      </c>
      <c r="Y337">
        <v>5</v>
      </c>
      <c r="Z337"/>
      <c r="AA337"/>
      <c r="AB337"/>
      <c r="AC337">
        <v>75</v>
      </c>
      <c r="AD337"/>
      <c r="AE337"/>
      <c r="AF337"/>
      <c r="AG337"/>
      <c r="AH337">
        <v>12</v>
      </c>
      <c r="AI337"/>
      <c r="AJ337"/>
      <c r="AK337"/>
      <c r="AL337"/>
      <c r="AM337"/>
      <c r="AN337"/>
      <c r="AO337"/>
      <c r="AP337"/>
      <c r="AQ337"/>
      <c r="AR337"/>
      <c r="AS337"/>
      <c r="AT337" t="inlineStr">
        <is>
          <t>☆</t>
        </is>
      </c>
      <c r="AU337" t="inlineStr">
        <is>
          <t>☆</t>
        </is>
      </c>
      <c r="AV337" t="inlineStr">
        <is>
          <t>☆</t>
        </is>
      </c>
      <c r="AW337" t="inlineStr">
        <is>
          <t>☆</t>
        </is>
      </c>
      <c r="AX337" t="inlineStr">
        <is>
          <t>☆</t>
        </is>
      </c>
      <c r="AY337" t="inlineStr">
        <is>
          <t>☆</t>
        </is>
      </c>
      <c r="AZ337" t="inlineStr">
        <is>
          <t>☆</t>
        </is>
      </c>
      <c r="BA337" t="inlineStr">
        <is>
          <t>☆</t>
        </is>
      </c>
      <c r="BB337" t="inlineStr">
        <is>
          <t>☆</t>
        </is>
      </c>
      <c r="BC337" t="inlineStr">
        <is>
          <t>☆</t>
        </is>
      </c>
      <c r="BD337" t="inlineStr">
        <is>
          <t>☆</t>
        </is>
      </c>
      <c r="BE337" t="inlineStr">
        <is>
          <t>☆</t>
        </is>
      </c>
      <c r="BF337" t="inlineStr">
        <is>
          <t>☆</t>
        </is>
      </c>
      <c r="BG337" t="inlineStr">
        <is>
          <t>☆</t>
        </is>
      </c>
      <c r="BH337" t="inlineStr">
        <is>
          <t>☆</t>
        </is>
      </c>
      <c r="BI337" t="inlineStr">
        <is>
          <t>☆</t>
        </is>
      </c>
      <c r="BJ337" t="inlineStr">
        <is>
          <t>☆</t>
        </is>
      </c>
      <c r="BK337" t="inlineStr">
        <is>
          <t>☆</t>
        </is>
      </c>
      <c r="BL337" t="inlineStr">
        <is>
          <t>☆</t>
        </is>
      </c>
      <c r="BM337" t="inlineStr">
        <is>
          <t>☆</t>
        </is>
      </c>
      <c r="BN337" t="inlineStr">
        <is>
          <t>☆</t>
        </is>
      </c>
      <c r="BO337" t="inlineStr">
        <is>
          <t>☆</t>
        </is>
      </c>
      <c r="BP337" t="inlineStr">
        <is>
          <t>☆</t>
        </is>
      </c>
      <c r="BQ337" t="inlineStr">
        <is>
          <t>☆</t>
        </is>
      </c>
      <c r="BR337"/>
      <c r="BS337" t="inlineStr">
        <is>
          <t>#VALUE!</t>
        </is>
      </c>
    </row>
    <row r="338" ht="25.5" customHeight="1">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row>
    <row r="339" ht="25.5" customHeight="1">
      <c r="A339" t="inlineStr">
        <is>
          <t>UK</t>
        </is>
      </c>
      <c r="B339" t="inlineStr">
        <is>
          <t>R0001EU</t>
        </is>
      </c>
      <c r="C339" t="inlineStr">
        <is>
          <t>R0011EU</t>
        </is>
      </c>
      <c r="D339" t="inlineStr">
        <is>
          <t>CG01(PRO)胶枪(coupon-0%）</t>
        </is>
      </c>
      <c r="E339">
        <v>13.7</v>
      </c>
      <c r="F339">
        <v>19.99</v>
      </c>
      <c r="G339"/>
      <c r="H339"/>
      <c r="I339"/>
      <c r="J339"/>
      <c r="K339"/>
      <c r="L339"/>
      <c r="M339"/>
      <c r="N339"/>
      <c r="O339"/>
      <c r="P339">
        <v>30</v>
      </c>
      <c r="Q339">
        <v>9</v>
      </c>
      <c r="R339"/>
      <c r="S339"/>
      <c r="T339"/>
      <c r="U339">
        <v>0.01</v>
      </c>
      <c r="V339"/>
      <c r="W339"/>
      <c r="X339">
        <v>0.178</v>
      </c>
      <c r="Y339">
        <v>3</v>
      </c>
      <c r="Z339">
        <v>0</v>
      </c>
      <c r="AA339"/>
      <c r="AB339"/>
      <c r="AC339">
        <v>40</v>
      </c>
      <c r="AD339"/>
      <c r="AE339"/>
      <c r="AF339"/>
      <c r="AG339"/>
      <c r="AH339">
        <v>6</v>
      </c>
      <c r="AI339"/>
      <c r="AJ339"/>
      <c r="AK339"/>
      <c r="AL339"/>
      <c r="AM339"/>
      <c r="AN339"/>
      <c r="AO339"/>
      <c r="AP339"/>
      <c r="AQ339"/>
      <c r="AR339"/>
      <c r="AS339"/>
      <c r="AT339" t="inlineStr">
        <is>
          <t>☆</t>
        </is>
      </c>
      <c r="AU339" t="inlineStr">
        <is>
          <t>☆</t>
        </is>
      </c>
      <c r="AV339" t="inlineStr">
        <is>
          <t>☆</t>
        </is>
      </c>
      <c r="AW339" t="inlineStr">
        <is>
          <t>☆</t>
        </is>
      </c>
      <c r="AX339" t="inlineStr">
        <is>
          <t>☆</t>
        </is>
      </c>
      <c r="AY339" t="inlineStr">
        <is>
          <t>☆</t>
        </is>
      </c>
      <c r="AZ339" t="inlineStr">
        <is>
          <t>☆</t>
        </is>
      </c>
      <c r="BA339" t="inlineStr">
        <is>
          <t>☆</t>
        </is>
      </c>
      <c r="BB339" t="inlineStr">
        <is>
          <t>☆</t>
        </is>
      </c>
      <c r="BC339" t="inlineStr">
        <is>
          <t>☆</t>
        </is>
      </c>
      <c r="BD339" t="inlineStr">
        <is>
          <t>☆</t>
        </is>
      </c>
      <c r="BE339" t="inlineStr">
        <is>
          <t>☆</t>
        </is>
      </c>
      <c r="BF339" t="inlineStr">
        <is>
          <t>☆</t>
        </is>
      </c>
      <c r="BG339" t="inlineStr">
        <is>
          <t>☆</t>
        </is>
      </c>
      <c r="BH339" t="inlineStr">
        <is>
          <t>☆</t>
        </is>
      </c>
      <c r="BI339" t="inlineStr">
        <is>
          <t>☆</t>
        </is>
      </c>
      <c r="BJ339" t="inlineStr">
        <is>
          <t>☆</t>
        </is>
      </c>
      <c r="BK339" t="inlineStr">
        <is>
          <t>☆</t>
        </is>
      </c>
      <c r="BL339" t="inlineStr">
        <is>
          <t>☆</t>
        </is>
      </c>
      <c r="BM339" t="inlineStr">
        <is>
          <t>☆</t>
        </is>
      </c>
      <c r="BN339" t="inlineStr">
        <is>
          <t>☆</t>
        </is>
      </c>
      <c r="BO339" t="inlineStr">
        <is>
          <t>☆</t>
        </is>
      </c>
      <c r="BP339" t="inlineStr">
        <is>
          <t>☆</t>
        </is>
      </c>
      <c r="BQ339" t="inlineStr">
        <is>
          <t>☆</t>
        </is>
      </c>
      <c r="BR339"/>
      <c r="BS339" t="inlineStr">
        <is>
          <t>#VALUE!</t>
        </is>
      </c>
    </row>
    <row r="340" ht="25.5" customHeight="1">
      <c r="A340" t="inlineStr">
        <is>
          <t>UK</t>
        </is>
      </c>
      <c r="B340" t="inlineStr">
        <is>
          <t>R0001EU</t>
        </is>
      </c>
      <c r="C340" t="inlineStr">
        <is>
          <t>R0011EU</t>
        </is>
      </c>
      <c r="D340" t="inlineStr">
        <is>
          <t>CG01(PRO)胶枪(coupon-10%）</t>
        </is>
      </c>
      <c r="E340">
        <v>13.7</v>
      </c>
      <c r="F340">
        <v>19.99</v>
      </c>
      <c r="G340"/>
      <c r="H340"/>
      <c r="I340"/>
      <c r="J340"/>
      <c r="K340"/>
      <c r="L340"/>
      <c r="M340"/>
      <c r="N340"/>
      <c r="O340"/>
      <c r="P340">
        <v>30</v>
      </c>
      <c r="Q340">
        <v>9</v>
      </c>
      <c r="R340"/>
      <c r="S340"/>
      <c r="T340"/>
      <c r="U340">
        <v>0.01</v>
      </c>
      <c r="V340"/>
      <c r="W340"/>
      <c r="X340">
        <v>0.178</v>
      </c>
      <c r="Y340">
        <v>3</v>
      </c>
      <c r="Z340"/>
      <c r="AA340"/>
      <c r="AB340"/>
      <c r="AC340">
        <v>40</v>
      </c>
      <c r="AD340"/>
      <c r="AE340"/>
      <c r="AF340"/>
      <c r="AG340"/>
      <c r="AH340">
        <v>6</v>
      </c>
      <c r="AI340"/>
      <c r="AJ340"/>
      <c r="AK340"/>
      <c r="AL340"/>
      <c r="AM340"/>
      <c r="AN340"/>
      <c r="AO340"/>
      <c r="AP340"/>
      <c r="AQ340"/>
      <c r="AR340"/>
      <c r="AS340"/>
      <c r="AT340" t="inlineStr">
        <is>
          <t>☆</t>
        </is>
      </c>
      <c r="AU340" t="inlineStr">
        <is>
          <t>☆</t>
        </is>
      </c>
      <c r="AV340" t="inlineStr">
        <is>
          <t>☆</t>
        </is>
      </c>
      <c r="AW340" t="inlineStr">
        <is>
          <t>☆</t>
        </is>
      </c>
      <c r="AX340" t="inlineStr">
        <is>
          <t>☆</t>
        </is>
      </c>
      <c r="AY340" t="inlineStr">
        <is>
          <t>☆</t>
        </is>
      </c>
      <c r="AZ340" t="inlineStr">
        <is>
          <t>☆</t>
        </is>
      </c>
      <c r="BA340" t="inlineStr">
        <is>
          <t>☆</t>
        </is>
      </c>
      <c r="BB340" t="inlineStr">
        <is>
          <t>☆</t>
        </is>
      </c>
      <c r="BC340" t="inlineStr">
        <is>
          <t>☆</t>
        </is>
      </c>
      <c r="BD340" t="inlineStr">
        <is>
          <t>☆</t>
        </is>
      </c>
      <c r="BE340" t="inlineStr">
        <is>
          <t>☆</t>
        </is>
      </c>
      <c r="BF340" t="inlineStr">
        <is>
          <t>☆</t>
        </is>
      </c>
      <c r="BG340" t="inlineStr">
        <is>
          <t>☆</t>
        </is>
      </c>
      <c r="BH340" t="inlineStr">
        <is>
          <t>☆</t>
        </is>
      </c>
      <c r="BI340" t="inlineStr">
        <is>
          <t>☆</t>
        </is>
      </c>
      <c r="BJ340" t="inlineStr">
        <is>
          <t>☆</t>
        </is>
      </c>
      <c r="BK340" t="inlineStr">
        <is>
          <t>☆</t>
        </is>
      </c>
      <c r="BL340" t="inlineStr">
        <is>
          <t>☆</t>
        </is>
      </c>
      <c r="BM340" t="inlineStr">
        <is>
          <t>☆</t>
        </is>
      </c>
      <c r="BN340" t="inlineStr">
        <is>
          <t>☆</t>
        </is>
      </c>
      <c r="BO340" t="inlineStr">
        <is>
          <t>☆</t>
        </is>
      </c>
      <c r="BP340" t="inlineStr">
        <is>
          <t>☆</t>
        </is>
      </c>
      <c r="BQ340" t="inlineStr">
        <is>
          <t>☆</t>
        </is>
      </c>
      <c r="BR340"/>
      <c r="BS340" t="inlineStr">
        <is>
          <t>#VALUE!</t>
        </is>
      </c>
    </row>
    <row r="341" ht="25.5" customHeight="1">
      <c r="A341" t="inlineStr">
        <is>
          <t>UK</t>
        </is>
      </c>
      <c r="B341" t="inlineStr">
        <is>
          <t>R0001EU</t>
        </is>
      </c>
      <c r="C341" t="inlineStr">
        <is>
          <t>R0011EU</t>
        </is>
      </c>
      <c r="D341" t="inlineStr">
        <is>
          <t>CG01(PRO)胶枪(coupon-15%）</t>
        </is>
      </c>
      <c r="E341">
        <v>13.7</v>
      </c>
      <c r="F341">
        <v>19.99</v>
      </c>
      <c r="G341"/>
      <c r="H341"/>
      <c r="I341"/>
      <c r="J341"/>
      <c r="K341"/>
      <c r="L341"/>
      <c r="M341"/>
      <c r="N341"/>
      <c r="O341"/>
      <c r="P341">
        <v>30</v>
      </c>
      <c r="Q341">
        <v>9</v>
      </c>
      <c r="R341"/>
      <c r="S341"/>
      <c r="T341"/>
      <c r="U341">
        <v>0.01</v>
      </c>
      <c r="V341"/>
      <c r="W341"/>
      <c r="X341">
        <v>0.178</v>
      </c>
      <c r="Y341">
        <v>3</v>
      </c>
      <c r="Z341"/>
      <c r="AA341"/>
      <c r="AB341"/>
      <c r="AC341">
        <v>40</v>
      </c>
      <c r="AD341"/>
      <c r="AE341"/>
      <c r="AF341"/>
      <c r="AG341"/>
      <c r="AH341">
        <v>6</v>
      </c>
      <c r="AI341"/>
      <c r="AJ341"/>
      <c r="AK341"/>
      <c r="AL341"/>
      <c r="AM341"/>
      <c r="AN341"/>
      <c r="AO341"/>
      <c r="AP341"/>
      <c r="AQ341"/>
      <c r="AR341"/>
      <c r="AS341"/>
      <c r="AT341" t="inlineStr">
        <is>
          <t>☆</t>
        </is>
      </c>
      <c r="AU341" t="inlineStr">
        <is>
          <t>☆</t>
        </is>
      </c>
      <c r="AV341" t="inlineStr">
        <is>
          <t>☆</t>
        </is>
      </c>
      <c r="AW341" t="inlineStr">
        <is>
          <t>☆</t>
        </is>
      </c>
      <c r="AX341" t="inlineStr">
        <is>
          <t>☆</t>
        </is>
      </c>
      <c r="AY341" t="inlineStr">
        <is>
          <t>☆</t>
        </is>
      </c>
      <c r="AZ341" t="inlineStr">
        <is>
          <t>☆</t>
        </is>
      </c>
      <c r="BA341" t="inlineStr">
        <is>
          <t>☆</t>
        </is>
      </c>
      <c r="BB341" t="inlineStr">
        <is>
          <t>☆</t>
        </is>
      </c>
      <c r="BC341" t="inlineStr">
        <is>
          <t>☆</t>
        </is>
      </c>
      <c r="BD341" t="inlineStr">
        <is>
          <t>☆</t>
        </is>
      </c>
      <c r="BE341" t="inlineStr">
        <is>
          <t>☆</t>
        </is>
      </c>
      <c r="BF341" t="inlineStr">
        <is>
          <t>☆</t>
        </is>
      </c>
      <c r="BG341" t="inlineStr">
        <is>
          <t>☆</t>
        </is>
      </c>
      <c r="BH341" t="inlineStr">
        <is>
          <t>☆</t>
        </is>
      </c>
      <c r="BI341" t="inlineStr">
        <is>
          <t>☆</t>
        </is>
      </c>
      <c r="BJ341" t="inlineStr">
        <is>
          <t>☆</t>
        </is>
      </c>
      <c r="BK341" t="inlineStr">
        <is>
          <t>☆</t>
        </is>
      </c>
      <c r="BL341" t="inlineStr">
        <is>
          <t>☆</t>
        </is>
      </c>
      <c r="BM341" t="inlineStr">
        <is>
          <t>☆</t>
        </is>
      </c>
      <c r="BN341" t="inlineStr">
        <is>
          <t>☆</t>
        </is>
      </c>
      <c r="BO341" t="inlineStr">
        <is>
          <t>☆</t>
        </is>
      </c>
      <c r="BP341" t="inlineStr">
        <is>
          <t>☆</t>
        </is>
      </c>
      <c r="BQ341" t="inlineStr">
        <is>
          <t>☆</t>
        </is>
      </c>
      <c r="BR341"/>
      <c r="BS341" t="inlineStr">
        <is>
          <t>#VALUE!</t>
        </is>
      </c>
    </row>
    <row r="342" ht="25.5" customHeight="1">
      <c r="A342" t="inlineStr">
        <is>
          <t>DE</t>
        </is>
      </c>
      <c r="B342" t="inlineStr">
        <is>
          <t>R0001EU</t>
        </is>
      </c>
      <c r="C342" t="inlineStr">
        <is>
          <t>R0011EU</t>
        </is>
      </c>
      <c r="D342" t="inlineStr">
        <is>
          <t>CG01(PRO)胶枪(coupon-0%）</t>
        </is>
      </c>
      <c r="E342">
        <v>15.2</v>
      </c>
      <c r="F342">
        <v>21.99</v>
      </c>
      <c r="G342"/>
      <c r="H342"/>
      <c r="I342"/>
      <c r="J342"/>
      <c r="K342"/>
      <c r="L342"/>
      <c r="M342"/>
      <c r="N342"/>
      <c r="O342"/>
      <c r="P342">
        <v>30</v>
      </c>
      <c r="Q342">
        <v>8</v>
      </c>
      <c r="R342"/>
      <c r="S342"/>
      <c r="T342"/>
      <c r="U342">
        <v>0.01</v>
      </c>
      <c r="V342"/>
      <c r="W342"/>
      <c r="X342">
        <v>0.188</v>
      </c>
      <c r="Y342">
        <v>3</v>
      </c>
      <c r="Z342">
        <v>0</v>
      </c>
      <c r="AA342"/>
      <c r="AB342"/>
      <c r="AC342">
        <v>40</v>
      </c>
      <c r="AD342"/>
      <c r="AE342"/>
      <c r="AF342"/>
      <c r="AG342"/>
      <c r="AH342">
        <v>6</v>
      </c>
      <c r="AI342"/>
      <c r="AJ342"/>
      <c r="AK342"/>
      <c r="AL342"/>
      <c r="AM342"/>
      <c r="AN342"/>
      <c r="AO342"/>
      <c r="AP342"/>
      <c r="AQ342"/>
      <c r="AR342"/>
      <c r="AS342"/>
      <c r="AT342" t="inlineStr">
        <is>
          <t>☆</t>
        </is>
      </c>
      <c r="AU342" t="inlineStr">
        <is>
          <t>☆</t>
        </is>
      </c>
      <c r="AV342" t="inlineStr">
        <is>
          <t>☆</t>
        </is>
      </c>
      <c r="AW342" t="inlineStr">
        <is>
          <t>☆</t>
        </is>
      </c>
      <c r="AX342" t="inlineStr">
        <is>
          <t>☆</t>
        </is>
      </c>
      <c r="AY342" t="inlineStr">
        <is>
          <t>☆</t>
        </is>
      </c>
      <c r="AZ342" t="inlineStr">
        <is>
          <t>☆</t>
        </is>
      </c>
      <c r="BA342" t="inlineStr">
        <is>
          <t>☆</t>
        </is>
      </c>
      <c r="BB342" t="inlineStr">
        <is>
          <t>☆</t>
        </is>
      </c>
      <c r="BC342" t="inlineStr">
        <is>
          <t>☆</t>
        </is>
      </c>
      <c r="BD342" t="inlineStr">
        <is>
          <t>☆</t>
        </is>
      </c>
      <c r="BE342" t="inlineStr">
        <is>
          <t>☆</t>
        </is>
      </c>
      <c r="BF342" t="inlineStr">
        <is>
          <t>☆</t>
        </is>
      </c>
      <c r="BG342" t="inlineStr">
        <is>
          <t>☆</t>
        </is>
      </c>
      <c r="BH342" t="inlineStr">
        <is>
          <t>☆</t>
        </is>
      </c>
      <c r="BI342" t="inlineStr">
        <is>
          <t>☆</t>
        </is>
      </c>
      <c r="BJ342" t="inlineStr">
        <is>
          <t>☆</t>
        </is>
      </c>
      <c r="BK342" t="inlineStr">
        <is>
          <t>☆</t>
        </is>
      </c>
      <c r="BL342" t="inlineStr">
        <is>
          <t>☆</t>
        </is>
      </c>
      <c r="BM342" t="inlineStr">
        <is>
          <t>☆</t>
        </is>
      </c>
      <c r="BN342" t="inlineStr">
        <is>
          <t>☆</t>
        </is>
      </c>
      <c r="BO342" t="inlineStr">
        <is>
          <t>☆</t>
        </is>
      </c>
      <c r="BP342" t="inlineStr">
        <is>
          <t>☆</t>
        </is>
      </c>
      <c r="BQ342" t="inlineStr">
        <is>
          <t>☆</t>
        </is>
      </c>
      <c r="BR342"/>
      <c r="BS342" t="inlineStr">
        <is>
          <t>#VALUE!</t>
        </is>
      </c>
    </row>
    <row r="343" ht="25.5" customHeight="1">
      <c r="A343" t="inlineStr">
        <is>
          <t>DE</t>
        </is>
      </c>
      <c r="B343" t="inlineStr">
        <is>
          <t>R0001EU</t>
        </is>
      </c>
      <c r="C343" t="inlineStr">
        <is>
          <t>R0011EU</t>
        </is>
      </c>
      <c r="D343" t="inlineStr">
        <is>
          <t>CG01(PRO)胶枪(coupon-10%）</t>
        </is>
      </c>
      <c r="E343">
        <v>15.2</v>
      </c>
      <c r="F343">
        <v>21.99</v>
      </c>
      <c r="G343"/>
      <c r="H343"/>
      <c r="I343"/>
      <c r="J343"/>
      <c r="K343"/>
      <c r="L343"/>
      <c r="M343"/>
      <c r="N343"/>
      <c r="O343"/>
      <c r="P343">
        <v>30</v>
      </c>
      <c r="Q343">
        <v>8</v>
      </c>
      <c r="R343"/>
      <c r="S343"/>
      <c r="T343"/>
      <c r="U343">
        <v>0.01</v>
      </c>
      <c r="V343"/>
      <c r="W343"/>
      <c r="X343">
        <v>0.188</v>
      </c>
      <c r="Y343">
        <v>3</v>
      </c>
      <c r="Z343"/>
      <c r="AA343"/>
      <c r="AB343"/>
      <c r="AC343">
        <v>40</v>
      </c>
      <c r="AD343"/>
      <c r="AE343"/>
      <c r="AF343"/>
      <c r="AG343"/>
      <c r="AH343">
        <v>6</v>
      </c>
      <c r="AI343"/>
      <c r="AJ343"/>
      <c r="AK343"/>
      <c r="AL343"/>
      <c r="AM343"/>
      <c r="AN343"/>
      <c r="AO343"/>
      <c r="AP343"/>
      <c r="AQ343"/>
      <c r="AR343"/>
      <c r="AS343"/>
      <c r="AT343" t="inlineStr">
        <is>
          <t>☆</t>
        </is>
      </c>
      <c r="AU343" t="inlineStr">
        <is>
          <t>☆</t>
        </is>
      </c>
      <c r="AV343" t="inlineStr">
        <is>
          <t>☆</t>
        </is>
      </c>
      <c r="AW343" t="inlineStr">
        <is>
          <t>☆</t>
        </is>
      </c>
      <c r="AX343" t="inlineStr">
        <is>
          <t>☆</t>
        </is>
      </c>
      <c r="AY343" t="inlineStr">
        <is>
          <t>☆</t>
        </is>
      </c>
      <c r="AZ343" t="inlineStr">
        <is>
          <t>☆</t>
        </is>
      </c>
      <c r="BA343" t="inlineStr">
        <is>
          <t>☆</t>
        </is>
      </c>
      <c r="BB343" t="inlineStr">
        <is>
          <t>☆</t>
        </is>
      </c>
      <c r="BC343" t="inlineStr">
        <is>
          <t>☆</t>
        </is>
      </c>
      <c r="BD343" t="inlineStr">
        <is>
          <t>☆</t>
        </is>
      </c>
      <c r="BE343" t="inlineStr">
        <is>
          <t>☆</t>
        </is>
      </c>
      <c r="BF343" t="inlineStr">
        <is>
          <t>☆</t>
        </is>
      </c>
      <c r="BG343" t="inlineStr">
        <is>
          <t>☆</t>
        </is>
      </c>
      <c r="BH343" t="inlineStr">
        <is>
          <t>☆</t>
        </is>
      </c>
      <c r="BI343" t="inlineStr">
        <is>
          <t>☆</t>
        </is>
      </c>
      <c r="BJ343" t="inlineStr">
        <is>
          <t>☆</t>
        </is>
      </c>
      <c r="BK343" t="inlineStr">
        <is>
          <t>☆</t>
        </is>
      </c>
      <c r="BL343" t="inlineStr">
        <is>
          <t>☆</t>
        </is>
      </c>
      <c r="BM343" t="inlineStr">
        <is>
          <t>☆</t>
        </is>
      </c>
      <c r="BN343" t="inlineStr">
        <is>
          <t>☆</t>
        </is>
      </c>
      <c r="BO343" t="inlineStr">
        <is>
          <t>☆</t>
        </is>
      </c>
      <c r="BP343" t="inlineStr">
        <is>
          <t>☆</t>
        </is>
      </c>
      <c r="BQ343" t="inlineStr">
        <is>
          <t>☆</t>
        </is>
      </c>
      <c r="BR343"/>
      <c r="BS343" t="inlineStr">
        <is>
          <t>#VALUE!</t>
        </is>
      </c>
    </row>
    <row r="344" ht="25.5" customHeight="1">
      <c r="A344" t="inlineStr">
        <is>
          <t>DE</t>
        </is>
      </c>
      <c r="B344" t="inlineStr">
        <is>
          <t>R0001EU</t>
        </is>
      </c>
      <c r="C344" t="inlineStr">
        <is>
          <t>R0011EU</t>
        </is>
      </c>
      <c r="D344" t="inlineStr">
        <is>
          <t>CG01(PRO)胶枪(coupon-15%）</t>
        </is>
      </c>
      <c r="E344">
        <v>15.2</v>
      </c>
      <c r="F344">
        <v>21.99</v>
      </c>
      <c r="G344"/>
      <c r="H344"/>
      <c r="I344"/>
      <c r="J344"/>
      <c r="K344"/>
      <c r="L344"/>
      <c r="M344"/>
      <c r="N344"/>
      <c r="O344"/>
      <c r="P344">
        <v>30</v>
      </c>
      <c r="Q344">
        <v>8</v>
      </c>
      <c r="R344"/>
      <c r="S344"/>
      <c r="T344"/>
      <c r="U344">
        <v>0.01</v>
      </c>
      <c r="V344"/>
      <c r="W344"/>
      <c r="X344">
        <v>0.188</v>
      </c>
      <c r="Y344">
        <v>3</v>
      </c>
      <c r="Z344"/>
      <c r="AA344"/>
      <c r="AB344"/>
      <c r="AC344">
        <v>40</v>
      </c>
      <c r="AD344"/>
      <c r="AE344"/>
      <c r="AF344"/>
      <c r="AG344"/>
      <c r="AH344">
        <v>6</v>
      </c>
      <c r="AI344"/>
      <c r="AJ344"/>
      <c r="AK344"/>
      <c r="AL344"/>
      <c r="AM344"/>
      <c r="AN344"/>
      <c r="AO344"/>
      <c r="AP344"/>
      <c r="AQ344"/>
      <c r="AR344"/>
      <c r="AS344"/>
      <c r="AT344" t="inlineStr">
        <is>
          <t>☆</t>
        </is>
      </c>
      <c r="AU344" t="inlineStr">
        <is>
          <t>☆</t>
        </is>
      </c>
      <c r="AV344" t="inlineStr">
        <is>
          <t>☆</t>
        </is>
      </c>
      <c r="AW344" t="inlineStr">
        <is>
          <t>☆</t>
        </is>
      </c>
      <c r="AX344" t="inlineStr">
        <is>
          <t>☆</t>
        </is>
      </c>
      <c r="AY344" t="inlineStr">
        <is>
          <t>☆</t>
        </is>
      </c>
      <c r="AZ344" t="inlineStr">
        <is>
          <t>☆</t>
        </is>
      </c>
      <c r="BA344" t="inlineStr">
        <is>
          <t>☆</t>
        </is>
      </c>
      <c r="BB344" t="inlineStr">
        <is>
          <t>☆</t>
        </is>
      </c>
      <c r="BC344" t="inlineStr">
        <is>
          <t>☆</t>
        </is>
      </c>
      <c r="BD344" t="inlineStr">
        <is>
          <t>☆</t>
        </is>
      </c>
      <c r="BE344" t="inlineStr">
        <is>
          <t>☆</t>
        </is>
      </c>
      <c r="BF344" t="inlineStr">
        <is>
          <t>☆</t>
        </is>
      </c>
      <c r="BG344" t="inlineStr">
        <is>
          <t>☆</t>
        </is>
      </c>
      <c r="BH344" t="inlineStr">
        <is>
          <t>☆</t>
        </is>
      </c>
      <c r="BI344" t="inlineStr">
        <is>
          <t>☆</t>
        </is>
      </c>
      <c r="BJ344" t="inlineStr">
        <is>
          <t>☆</t>
        </is>
      </c>
      <c r="BK344" t="inlineStr">
        <is>
          <t>☆</t>
        </is>
      </c>
      <c r="BL344" t="inlineStr">
        <is>
          <t>☆</t>
        </is>
      </c>
      <c r="BM344" t="inlineStr">
        <is>
          <t>☆</t>
        </is>
      </c>
      <c r="BN344" t="inlineStr">
        <is>
          <t>☆</t>
        </is>
      </c>
      <c r="BO344" t="inlineStr">
        <is>
          <t>☆</t>
        </is>
      </c>
      <c r="BP344" t="inlineStr">
        <is>
          <t>☆</t>
        </is>
      </c>
      <c r="BQ344" t="inlineStr">
        <is>
          <t>☆</t>
        </is>
      </c>
      <c r="BR344"/>
      <c r="BS344" t="inlineStr">
        <is>
          <t>#VALUE!</t>
        </is>
      </c>
    </row>
    <row r="345" ht="25.5" customHeight="1">
      <c r="A345" t="inlineStr">
        <is>
          <t>FR</t>
        </is>
      </c>
      <c r="B345" t="inlineStr">
        <is>
          <t>R0001EU</t>
        </is>
      </c>
      <c r="C345" t="inlineStr">
        <is>
          <t>R0011EU</t>
        </is>
      </c>
      <c r="D345" t="inlineStr">
        <is>
          <t>CG01(PRO)胶枪(coupon-0%）</t>
        </is>
      </c>
      <c r="E345">
        <v>15.2</v>
      </c>
      <c r="F345">
        <v>21.99</v>
      </c>
      <c r="G345"/>
      <c r="H345"/>
      <c r="I345"/>
      <c r="J345"/>
      <c r="K345"/>
      <c r="L345"/>
      <c r="M345"/>
      <c r="N345"/>
      <c r="O345"/>
      <c r="P345">
        <v>30</v>
      </c>
      <c r="Q345">
        <v>8</v>
      </c>
      <c r="R345"/>
      <c r="S345"/>
      <c r="T345"/>
      <c r="U345">
        <v>0.01</v>
      </c>
      <c r="V345"/>
      <c r="W345"/>
      <c r="X345">
        <v>0.188</v>
      </c>
      <c r="Y345">
        <v>3</v>
      </c>
      <c r="Z345">
        <v>0</v>
      </c>
      <c r="AA345"/>
      <c r="AB345"/>
      <c r="AC345">
        <v>40</v>
      </c>
      <c r="AD345"/>
      <c r="AE345"/>
      <c r="AF345"/>
      <c r="AG345"/>
      <c r="AH345">
        <v>6</v>
      </c>
      <c r="AI345"/>
      <c r="AJ345"/>
      <c r="AK345"/>
      <c r="AL345"/>
      <c r="AM345"/>
      <c r="AN345"/>
      <c r="AO345"/>
      <c r="AP345"/>
      <c r="AQ345"/>
      <c r="AR345"/>
      <c r="AS345"/>
      <c r="AT345" t="inlineStr">
        <is>
          <t>☆</t>
        </is>
      </c>
      <c r="AU345" t="inlineStr">
        <is>
          <t>☆</t>
        </is>
      </c>
      <c r="AV345" t="inlineStr">
        <is>
          <t>☆</t>
        </is>
      </c>
      <c r="AW345" t="inlineStr">
        <is>
          <t>☆</t>
        </is>
      </c>
      <c r="AX345" t="inlineStr">
        <is>
          <t>☆</t>
        </is>
      </c>
      <c r="AY345" t="inlineStr">
        <is>
          <t>☆</t>
        </is>
      </c>
      <c r="AZ345" t="inlineStr">
        <is>
          <t>☆</t>
        </is>
      </c>
      <c r="BA345" t="inlineStr">
        <is>
          <t>☆</t>
        </is>
      </c>
      <c r="BB345" t="inlineStr">
        <is>
          <t>☆</t>
        </is>
      </c>
      <c r="BC345" t="inlineStr">
        <is>
          <t>☆</t>
        </is>
      </c>
      <c r="BD345" t="inlineStr">
        <is>
          <t>☆</t>
        </is>
      </c>
      <c r="BE345" t="inlineStr">
        <is>
          <t>☆</t>
        </is>
      </c>
      <c r="BF345" t="inlineStr">
        <is>
          <t>☆</t>
        </is>
      </c>
      <c r="BG345" t="inlineStr">
        <is>
          <t>☆</t>
        </is>
      </c>
      <c r="BH345" t="inlineStr">
        <is>
          <t>☆</t>
        </is>
      </c>
      <c r="BI345" t="inlineStr">
        <is>
          <t>☆</t>
        </is>
      </c>
      <c r="BJ345" t="inlineStr">
        <is>
          <t>☆</t>
        </is>
      </c>
      <c r="BK345" t="inlineStr">
        <is>
          <t>☆</t>
        </is>
      </c>
      <c r="BL345" t="inlineStr">
        <is>
          <t>☆</t>
        </is>
      </c>
      <c r="BM345" t="inlineStr">
        <is>
          <t>☆</t>
        </is>
      </c>
      <c r="BN345" t="inlineStr">
        <is>
          <t>☆</t>
        </is>
      </c>
      <c r="BO345" t="inlineStr">
        <is>
          <t>☆</t>
        </is>
      </c>
      <c r="BP345" t="inlineStr">
        <is>
          <t>☆</t>
        </is>
      </c>
      <c r="BQ345" t="inlineStr">
        <is>
          <t>☆</t>
        </is>
      </c>
      <c r="BR345"/>
      <c r="BS345" t="inlineStr">
        <is>
          <t>#VALUE!</t>
        </is>
      </c>
    </row>
    <row r="346" ht="25.5" customHeight="1">
      <c r="A346" t="inlineStr">
        <is>
          <t>FR</t>
        </is>
      </c>
      <c r="B346" t="inlineStr">
        <is>
          <t>R0001EU</t>
        </is>
      </c>
      <c r="C346" t="inlineStr">
        <is>
          <t>R0011EU</t>
        </is>
      </c>
      <c r="D346" t="inlineStr">
        <is>
          <t>CG01(PRO)胶枪(coupon-10%）</t>
        </is>
      </c>
      <c r="E346">
        <v>15.2</v>
      </c>
      <c r="F346">
        <v>21.99</v>
      </c>
      <c r="G346"/>
      <c r="H346"/>
      <c r="I346"/>
      <c r="J346"/>
      <c r="K346"/>
      <c r="L346"/>
      <c r="M346"/>
      <c r="N346"/>
      <c r="O346"/>
      <c r="P346">
        <v>30</v>
      </c>
      <c r="Q346">
        <v>8</v>
      </c>
      <c r="R346"/>
      <c r="S346"/>
      <c r="T346"/>
      <c r="U346">
        <v>0.01</v>
      </c>
      <c r="V346"/>
      <c r="W346"/>
      <c r="X346">
        <v>0.188</v>
      </c>
      <c r="Y346">
        <v>3</v>
      </c>
      <c r="Z346"/>
      <c r="AA346"/>
      <c r="AB346"/>
      <c r="AC346">
        <v>40</v>
      </c>
      <c r="AD346"/>
      <c r="AE346"/>
      <c r="AF346"/>
      <c r="AG346"/>
      <c r="AH346">
        <v>6</v>
      </c>
      <c r="AI346"/>
      <c r="AJ346"/>
      <c r="AK346"/>
      <c r="AL346"/>
      <c r="AM346"/>
      <c r="AN346"/>
      <c r="AO346"/>
      <c r="AP346"/>
      <c r="AQ346"/>
      <c r="AR346"/>
      <c r="AS346"/>
      <c r="AT346" t="inlineStr">
        <is>
          <t>☆</t>
        </is>
      </c>
      <c r="AU346" t="inlineStr">
        <is>
          <t>☆</t>
        </is>
      </c>
      <c r="AV346" t="inlineStr">
        <is>
          <t>☆</t>
        </is>
      </c>
      <c r="AW346" t="inlineStr">
        <is>
          <t>☆</t>
        </is>
      </c>
      <c r="AX346" t="inlineStr">
        <is>
          <t>☆</t>
        </is>
      </c>
      <c r="AY346" t="inlineStr">
        <is>
          <t>☆</t>
        </is>
      </c>
      <c r="AZ346" t="inlineStr">
        <is>
          <t>☆</t>
        </is>
      </c>
      <c r="BA346" t="inlineStr">
        <is>
          <t>☆</t>
        </is>
      </c>
      <c r="BB346" t="inlineStr">
        <is>
          <t>☆</t>
        </is>
      </c>
      <c r="BC346" t="inlineStr">
        <is>
          <t>☆</t>
        </is>
      </c>
      <c r="BD346" t="inlineStr">
        <is>
          <t>☆</t>
        </is>
      </c>
      <c r="BE346" t="inlineStr">
        <is>
          <t>☆</t>
        </is>
      </c>
      <c r="BF346" t="inlineStr">
        <is>
          <t>☆</t>
        </is>
      </c>
      <c r="BG346" t="inlineStr">
        <is>
          <t>☆</t>
        </is>
      </c>
      <c r="BH346" t="inlineStr">
        <is>
          <t>☆</t>
        </is>
      </c>
      <c r="BI346" t="inlineStr">
        <is>
          <t>☆</t>
        </is>
      </c>
      <c r="BJ346" t="inlineStr">
        <is>
          <t>☆</t>
        </is>
      </c>
      <c r="BK346" t="inlineStr">
        <is>
          <t>☆</t>
        </is>
      </c>
      <c r="BL346" t="inlineStr">
        <is>
          <t>☆</t>
        </is>
      </c>
      <c r="BM346" t="inlineStr">
        <is>
          <t>☆</t>
        </is>
      </c>
      <c r="BN346" t="inlineStr">
        <is>
          <t>☆</t>
        </is>
      </c>
      <c r="BO346" t="inlineStr">
        <is>
          <t>☆</t>
        </is>
      </c>
      <c r="BP346" t="inlineStr">
        <is>
          <t>☆</t>
        </is>
      </c>
      <c r="BQ346" t="inlineStr">
        <is>
          <t>☆</t>
        </is>
      </c>
      <c r="BR346"/>
      <c r="BS346" t="inlineStr">
        <is>
          <t>#VALUE!</t>
        </is>
      </c>
    </row>
    <row r="347" ht="25.5" customHeight="1">
      <c r="A347" t="inlineStr">
        <is>
          <t>FR</t>
        </is>
      </c>
      <c r="B347" t="inlineStr">
        <is>
          <t>R0001EU</t>
        </is>
      </c>
      <c r="C347" t="inlineStr">
        <is>
          <t>R0011EU</t>
        </is>
      </c>
      <c r="D347" t="inlineStr">
        <is>
          <t>CG01(PRO)胶枪(coupon-15%）</t>
        </is>
      </c>
      <c r="E347">
        <v>15.2</v>
      </c>
      <c r="F347">
        <v>21.99</v>
      </c>
      <c r="G347"/>
      <c r="H347"/>
      <c r="I347"/>
      <c r="J347"/>
      <c r="K347"/>
      <c r="L347"/>
      <c r="M347"/>
      <c r="N347"/>
      <c r="O347"/>
      <c r="P347">
        <v>30</v>
      </c>
      <c r="Q347">
        <v>8</v>
      </c>
      <c r="R347"/>
      <c r="S347"/>
      <c r="T347"/>
      <c r="U347">
        <v>0.01</v>
      </c>
      <c r="V347"/>
      <c r="W347"/>
      <c r="X347">
        <v>0.188</v>
      </c>
      <c r="Y347">
        <v>3</v>
      </c>
      <c r="Z347"/>
      <c r="AA347"/>
      <c r="AB347"/>
      <c r="AC347">
        <v>40</v>
      </c>
      <c r="AD347"/>
      <c r="AE347"/>
      <c r="AF347"/>
      <c r="AG347"/>
      <c r="AH347">
        <v>6</v>
      </c>
      <c r="AI347"/>
      <c r="AJ347"/>
      <c r="AK347"/>
      <c r="AL347"/>
      <c r="AM347"/>
      <c r="AN347"/>
      <c r="AO347"/>
      <c r="AP347"/>
      <c r="AQ347"/>
      <c r="AR347"/>
      <c r="AS347"/>
      <c r="AT347" t="inlineStr">
        <is>
          <t>☆</t>
        </is>
      </c>
      <c r="AU347" t="inlineStr">
        <is>
          <t>☆</t>
        </is>
      </c>
      <c r="AV347" t="inlineStr">
        <is>
          <t>☆</t>
        </is>
      </c>
      <c r="AW347" t="inlineStr">
        <is>
          <t>☆</t>
        </is>
      </c>
      <c r="AX347" t="inlineStr">
        <is>
          <t>☆</t>
        </is>
      </c>
      <c r="AY347" t="inlineStr">
        <is>
          <t>☆</t>
        </is>
      </c>
      <c r="AZ347" t="inlineStr">
        <is>
          <t>☆</t>
        </is>
      </c>
      <c r="BA347" t="inlineStr">
        <is>
          <t>☆</t>
        </is>
      </c>
      <c r="BB347" t="inlineStr">
        <is>
          <t>☆</t>
        </is>
      </c>
      <c r="BC347" t="inlineStr">
        <is>
          <t>☆</t>
        </is>
      </c>
      <c r="BD347" t="inlineStr">
        <is>
          <t>☆</t>
        </is>
      </c>
      <c r="BE347" t="inlineStr">
        <is>
          <t>☆</t>
        </is>
      </c>
      <c r="BF347" t="inlineStr">
        <is>
          <t>☆</t>
        </is>
      </c>
      <c r="BG347" t="inlineStr">
        <is>
          <t>☆</t>
        </is>
      </c>
      <c r="BH347" t="inlineStr">
        <is>
          <t>☆</t>
        </is>
      </c>
      <c r="BI347" t="inlineStr">
        <is>
          <t>☆</t>
        </is>
      </c>
      <c r="BJ347" t="inlineStr">
        <is>
          <t>☆</t>
        </is>
      </c>
      <c r="BK347" t="inlineStr">
        <is>
          <t>☆</t>
        </is>
      </c>
      <c r="BL347" t="inlineStr">
        <is>
          <t>☆</t>
        </is>
      </c>
      <c r="BM347" t="inlineStr">
        <is>
          <t>☆</t>
        </is>
      </c>
      <c r="BN347" t="inlineStr">
        <is>
          <t>☆</t>
        </is>
      </c>
      <c r="BO347" t="inlineStr">
        <is>
          <t>☆</t>
        </is>
      </c>
      <c r="BP347" t="inlineStr">
        <is>
          <t>☆</t>
        </is>
      </c>
      <c r="BQ347" t="inlineStr">
        <is>
          <t>☆</t>
        </is>
      </c>
      <c r="BR347"/>
      <c r="BS347" t="inlineStr">
        <is>
          <t>#VALUE!</t>
        </is>
      </c>
    </row>
    <row r="348" ht="25.5" customHeight="1">
      <c r="A348" t="inlineStr">
        <is>
          <t>IT</t>
        </is>
      </c>
      <c r="B348" t="inlineStr">
        <is>
          <t>R0001EU</t>
        </is>
      </c>
      <c r="C348" t="inlineStr">
        <is>
          <t>R0011EU</t>
        </is>
      </c>
      <c r="D348" t="inlineStr">
        <is>
          <t>CG01(PRO)胶枪(coupon-0%）</t>
        </is>
      </c>
      <c r="E348">
        <v>15.2</v>
      </c>
      <c r="F348">
        <v>21.99</v>
      </c>
      <c r="G348"/>
      <c r="H348"/>
      <c r="I348"/>
      <c r="J348"/>
      <c r="K348"/>
      <c r="L348"/>
      <c r="M348"/>
      <c r="N348"/>
      <c r="O348"/>
      <c r="P348">
        <v>30</v>
      </c>
      <c r="Q348">
        <v>8</v>
      </c>
      <c r="R348"/>
      <c r="S348"/>
      <c r="T348"/>
      <c r="U348">
        <v>0.01</v>
      </c>
      <c r="V348"/>
      <c r="W348"/>
      <c r="X348">
        <v>0.188</v>
      </c>
      <c r="Y348">
        <v>3</v>
      </c>
      <c r="Z348">
        <v>0</v>
      </c>
      <c r="AA348"/>
      <c r="AB348"/>
      <c r="AC348">
        <v>40</v>
      </c>
      <c r="AD348"/>
      <c r="AE348"/>
      <c r="AF348"/>
      <c r="AG348"/>
      <c r="AH348">
        <v>6</v>
      </c>
      <c r="AI348"/>
      <c r="AJ348"/>
      <c r="AK348"/>
      <c r="AL348"/>
      <c r="AM348"/>
      <c r="AN348"/>
      <c r="AO348"/>
      <c r="AP348"/>
      <c r="AQ348"/>
      <c r="AR348"/>
      <c r="AS348"/>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c r="BS348" t="inlineStr">
        <is>
          <t>#VALUE!</t>
        </is>
      </c>
    </row>
    <row r="349" ht="25.5" customHeight="1">
      <c r="A349" t="inlineStr">
        <is>
          <t>IT</t>
        </is>
      </c>
      <c r="B349" t="inlineStr">
        <is>
          <t>R0001EU</t>
        </is>
      </c>
      <c r="C349" t="inlineStr">
        <is>
          <t>R0011EU</t>
        </is>
      </c>
      <c r="D349" t="inlineStr">
        <is>
          <t>CG01(PRO)胶枪(coupon-10%）</t>
        </is>
      </c>
      <c r="E349">
        <v>15.2</v>
      </c>
      <c r="F349">
        <v>21.99</v>
      </c>
      <c r="G349"/>
      <c r="H349"/>
      <c r="I349"/>
      <c r="J349"/>
      <c r="K349"/>
      <c r="L349"/>
      <c r="M349"/>
      <c r="N349"/>
      <c r="O349"/>
      <c r="P349">
        <v>30</v>
      </c>
      <c r="Q349">
        <v>8</v>
      </c>
      <c r="R349"/>
      <c r="S349"/>
      <c r="T349"/>
      <c r="U349">
        <v>0.01</v>
      </c>
      <c r="V349"/>
      <c r="W349"/>
      <c r="X349">
        <v>0.188</v>
      </c>
      <c r="Y349">
        <v>3</v>
      </c>
      <c r="Z349"/>
      <c r="AA349"/>
      <c r="AB349"/>
      <c r="AC349">
        <v>40</v>
      </c>
      <c r="AD349"/>
      <c r="AE349"/>
      <c r="AF349"/>
      <c r="AG349"/>
      <c r="AH349">
        <v>6</v>
      </c>
      <c r="AI349"/>
      <c r="AJ349"/>
      <c r="AK349"/>
      <c r="AL349"/>
      <c r="AM349"/>
      <c r="AN349"/>
      <c r="AO349"/>
      <c r="AP349"/>
      <c r="AQ349"/>
      <c r="AR349"/>
      <c r="AS349"/>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c r="BS349" t="inlineStr">
        <is>
          <t>#VALUE!</t>
        </is>
      </c>
    </row>
    <row r="350" ht="25.5" customHeight="1">
      <c r="A350" t="inlineStr">
        <is>
          <t>IT</t>
        </is>
      </c>
      <c r="B350" t="inlineStr">
        <is>
          <t>R0001EU</t>
        </is>
      </c>
      <c r="C350" t="inlineStr">
        <is>
          <t>R0011EU</t>
        </is>
      </c>
      <c r="D350" t="inlineStr">
        <is>
          <t>CG01(PRO)胶枪(coupon-15%）</t>
        </is>
      </c>
      <c r="E350">
        <v>15.2</v>
      </c>
      <c r="F350">
        <v>21.99</v>
      </c>
      <c r="G350"/>
      <c r="H350"/>
      <c r="I350"/>
      <c r="J350"/>
      <c r="K350"/>
      <c r="L350"/>
      <c r="M350"/>
      <c r="N350"/>
      <c r="O350"/>
      <c r="P350">
        <v>30</v>
      </c>
      <c r="Q350">
        <v>8</v>
      </c>
      <c r="R350"/>
      <c r="S350"/>
      <c r="T350"/>
      <c r="U350">
        <v>0.01</v>
      </c>
      <c r="V350"/>
      <c r="W350"/>
      <c r="X350">
        <v>0.188</v>
      </c>
      <c r="Y350">
        <v>3</v>
      </c>
      <c r="Z350"/>
      <c r="AA350"/>
      <c r="AB350"/>
      <c r="AC350">
        <v>40</v>
      </c>
      <c r="AD350"/>
      <c r="AE350"/>
      <c r="AF350"/>
      <c r="AG350"/>
      <c r="AH350">
        <v>6</v>
      </c>
      <c r="AI350"/>
      <c r="AJ350"/>
      <c r="AK350"/>
      <c r="AL350"/>
      <c r="AM350"/>
      <c r="AN350"/>
      <c r="AO350"/>
      <c r="AP350"/>
      <c r="AQ350"/>
      <c r="AR350"/>
      <c r="AS350"/>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c r="BS350" t="inlineStr">
        <is>
          <t>#VALUE!</t>
        </is>
      </c>
    </row>
    <row r="351" ht="25.5" customHeight="1">
      <c r="A351" t="inlineStr">
        <is>
          <t>ES</t>
        </is>
      </c>
      <c r="B351" t="inlineStr">
        <is>
          <t>R0001EU</t>
        </is>
      </c>
      <c r="C351" t="inlineStr">
        <is>
          <t>R0011EU</t>
        </is>
      </c>
      <c r="D351" t="inlineStr">
        <is>
          <t>CG01(PRO)胶枪(coupon-0%）</t>
        </is>
      </c>
      <c r="E351">
        <v>15.2</v>
      </c>
      <c r="F351">
        <v>21.99</v>
      </c>
      <c r="G351"/>
      <c r="H351"/>
      <c r="I351"/>
      <c r="J351"/>
      <c r="K351"/>
      <c r="L351"/>
      <c r="M351"/>
      <c r="N351"/>
      <c r="O351"/>
      <c r="P351">
        <v>30</v>
      </c>
      <c r="Q351">
        <v>8</v>
      </c>
      <c r="R351"/>
      <c r="S351"/>
      <c r="T351"/>
      <c r="U351">
        <v>0.01</v>
      </c>
      <c r="V351"/>
      <c r="W351"/>
      <c r="X351">
        <v>0.188</v>
      </c>
      <c r="Y351">
        <v>3</v>
      </c>
      <c r="Z351">
        <v>0</v>
      </c>
      <c r="AA351"/>
      <c r="AB351"/>
      <c r="AC351">
        <v>40</v>
      </c>
      <c r="AD351"/>
      <c r="AE351"/>
      <c r="AF351"/>
      <c r="AG351"/>
      <c r="AH351">
        <v>6</v>
      </c>
      <c r="AI351"/>
      <c r="AJ351"/>
      <c r="AK351"/>
      <c r="AL351"/>
      <c r="AM351"/>
      <c r="AN351"/>
      <c r="AO351"/>
      <c r="AP351"/>
      <c r="AQ351"/>
      <c r="AR351"/>
      <c r="AS351"/>
      <c r="AT351" t="inlineStr">
        <is>
          <t>☆</t>
        </is>
      </c>
      <c r="AU351" t="inlineStr">
        <is>
          <t>☆</t>
        </is>
      </c>
      <c r="AV351" t="inlineStr">
        <is>
          <t>☆</t>
        </is>
      </c>
      <c r="AW351" t="inlineStr">
        <is>
          <t>☆</t>
        </is>
      </c>
      <c r="AX351" t="inlineStr">
        <is>
          <t>☆</t>
        </is>
      </c>
      <c r="AY351" t="inlineStr">
        <is>
          <t>☆</t>
        </is>
      </c>
      <c r="AZ351" t="inlineStr">
        <is>
          <t>☆</t>
        </is>
      </c>
      <c r="BA351" t="inlineStr">
        <is>
          <t>☆</t>
        </is>
      </c>
      <c r="BB351" t="inlineStr">
        <is>
          <t>☆</t>
        </is>
      </c>
      <c r="BC351" t="inlineStr">
        <is>
          <t>☆</t>
        </is>
      </c>
      <c r="BD351" t="inlineStr">
        <is>
          <t>☆</t>
        </is>
      </c>
      <c r="BE351" t="inlineStr">
        <is>
          <t>☆</t>
        </is>
      </c>
      <c r="BF351" t="inlineStr">
        <is>
          <t>☆</t>
        </is>
      </c>
      <c r="BG351" t="inlineStr">
        <is>
          <t>☆</t>
        </is>
      </c>
      <c r="BH351" t="inlineStr">
        <is>
          <t>☆</t>
        </is>
      </c>
      <c r="BI351" t="inlineStr">
        <is>
          <t>☆</t>
        </is>
      </c>
      <c r="BJ351" t="inlineStr">
        <is>
          <t>☆</t>
        </is>
      </c>
      <c r="BK351" t="inlineStr">
        <is>
          <t>☆</t>
        </is>
      </c>
      <c r="BL351" t="inlineStr">
        <is>
          <t>☆</t>
        </is>
      </c>
      <c r="BM351" t="inlineStr">
        <is>
          <t>☆</t>
        </is>
      </c>
      <c r="BN351" t="inlineStr">
        <is>
          <t>☆</t>
        </is>
      </c>
      <c r="BO351" t="inlineStr">
        <is>
          <t>☆</t>
        </is>
      </c>
      <c r="BP351" t="inlineStr">
        <is>
          <t>☆</t>
        </is>
      </c>
      <c r="BQ351" t="inlineStr">
        <is>
          <t>☆</t>
        </is>
      </c>
      <c r="BR351"/>
      <c r="BS351" t="inlineStr">
        <is>
          <t>#VALUE!</t>
        </is>
      </c>
    </row>
    <row r="352" ht="25.5" customHeight="1">
      <c r="A352" t="inlineStr">
        <is>
          <t>ES</t>
        </is>
      </c>
      <c r="B352" t="inlineStr">
        <is>
          <t>R0001EU</t>
        </is>
      </c>
      <c r="C352" t="inlineStr">
        <is>
          <t>R0011EU</t>
        </is>
      </c>
      <c r="D352" t="inlineStr">
        <is>
          <t>CG01(PRO)胶枪(coupon-10%）</t>
        </is>
      </c>
      <c r="E352">
        <v>15.2</v>
      </c>
      <c r="F352">
        <v>21.99</v>
      </c>
      <c r="G352"/>
      <c r="H352"/>
      <c r="I352"/>
      <c r="J352"/>
      <c r="K352"/>
      <c r="L352"/>
      <c r="M352"/>
      <c r="N352"/>
      <c r="O352"/>
      <c r="P352">
        <v>30</v>
      </c>
      <c r="Q352">
        <v>8</v>
      </c>
      <c r="R352"/>
      <c r="S352"/>
      <c r="T352"/>
      <c r="U352">
        <v>0.01</v>
      </c>
      <c r="V352"/>
      <c r="W352"/>
      <c r="X352">
        <v>0.188</v>
      </c>
      <c r="Y352">
        <v>3</v>
      </c>
      <c r="Z352"/>
      <c r="AA352"/>
      <c r="AB352"/>
      <c r="AC352">
        <v>40</v>
      </c>
      <c r="AD352"/>
      <c r="AE352"/>
      <c r="AF352"/>
      <c r="AG352"/>
      <c r="AH352">
        <v>6</v>
      </c>
      <c r="AI352"/>
      <c r="AJ352"/>
      <c r="AK352"/>
      <c r="AL352"/>
      <c r="AM352"/>
      <c r="AN352"/>
      <c r="AO352"/>
      <c r="AP352"/>
      <c r="AQ352"/>
      <c r="AR352"/>
      <c r="AS352"/>
      <c r="AT352" t="inlineStr">
        <is>
          <t>☆</t>
        </is>
      </c>
      <c r="AU352" t="inlineStr">
        <is>
          <t>☆</t>
        </is>
      </c>
      <c r="AV352" t="inlineStr">
        <is>
          <t>☆</t>
        </is>
      </c>
      <c r="AW352" t="inlineStr">
        <is>
          <t>☆</t>
        </is>
      </c>
      <c r="AX352" t="inlineStr">
        <is>
          <t>☆</t>
        </is>
      </c>
      <c r="AY352" t="inlineStr">
        <is>
          <t>☆</t>
        </is>
      </c>
      <c r="AZ352" t="inlineStr">
        <is>
          <t>☆</t>
        </is>
      </c>
      <c r="BA352" t="inlineStr">
        <is>
          <t>☆</t>
        </is>
      </c>
      <c r="BB352" t="inlineStr">
        <is>
          <t>☆</t>
        </is>
      </c>
      <c r="BC352" t="inlineStr">
        <is>
          <t>☆</t>
        </is>
      </c>
      <c r="BD352" t="inlineStr">
        <is>
          <t>☆</t>
        </is>
      </c>
      <c r="BE352" t="inlineStr">
        <is>
          <t>☆</t>
        </is>
      </c>
      <c r="BF352" t="inlineStr">
        <is>
          <t>☆</t>
        </is>
      </c>
      <c r="BG352" t="inlineStr">
        <is>
          <t>☆</t>
        </is>
      </c>
      <c r="BH352" t="inlineStr">
        <is>
          <t>☆</t>
        </is>
      </c>
      <c r="BI352" t="inlineStr">
        <is>
          <t>☆</t>
        </is>
      </c>
      <c r="BJ352" t="inlineStr">
        <is>
          <t>☆</t>
        </is>
      </c>
      <c r="BK352" t="inlineStr">
        <is>
          <t>☆</t>
        </is>
      </c>
      <c r="BL352" t="inlineStr">
        <is>
          <t>☆</t>
        </is>
      </c>
      <c r="BM352" t="inlineStr">
        <is>
          <t>☆</t>
        </is>
      </c>
      <c r="BN352" t="inlineStr">
        <is>
          <t>☆</t>
        </is>
      </c>
      <c r="BO352" t="inlineStr">
        <is>
          <t>☆</t>
        </is>
      </c>
      <c r="BP352" t="inlineStr">
        <is>
          <t>☆</t>
        </is>
      </c>
      <c r="BQ352" t="inlineStr">
        <is>
          <t>☆</t>
        </is>
      </c>
      <c r="BR352"/>
      <c r="BS352" t="inlineStr">
        <is>
          <t>#VALUE!</t>
        </is>
      </c>
    </row>
    <row r="353" ht="25.5" customHeight="1">
      <c r="A353" t="inlineStr">
        <is>
          <t>ES</t>
        </is>
      </c>
      <c r="B353" t="inlineStr">
        <is>
          <t>R0001EU</t>
        </is>
      </c>
      <c r="C353" t="inlineStr">
        <is>
          <t>R0011EU</t>
        </is>
      </c>
      <c r="D353" t="inlineStr">
        <is>
          <t>CG01(PRO)胶枪(coupon-15%）</t>
        </is>
      </c>
      <c r="E353">
        <v>15.2</v>
      </c>
      <c r="F353">
        <v>21.99</v>
      </c>
      <c r="G353"/>
      <c r="H353"/>
      <c r="I353"/>
      <c r="J353"/>
      <c r="K353"/>
      <c r="L353"/>
      <c r="M353"/>
      <c r="N353"/>
      <c r="O353"/>
      <c r="P353">
        <v>30</v>
      </c>
      <c r="Q353">
        <v>8</v>
      </c>
      <c r="R353"/>
      <c r="S353"/>
      <c r="T353"/>
      <c r="U353">
        <v>0.01</v>
      </c>
      <c r="V353"/>
      <c r="W353"/>
      <c r="X353">
        <v>0.188</v>
      </c>
      <c r="Y353">
        <v>3</v>
      </c>
      <c r="Z353"/>
      <c r="AA353"/>
      <c r="AB353"/>
      <c r="AC353">
        <v>40</v>
      </c>
      <c r="AD353"/>
      <c r="AE353"/>
      <c r="AF353"/>
      <c r="AG353"/>
      <c r="AH353">
        <v>6</v>
      </c>
      <c r="AI353"/>
      <c r="AJ353"/>
      <c r="AK353"/>
      <c r="AL353"/>
      <c r="AM353"/>
      <c r="AN353"/>
      <c r="AO353"/>
      <c r="AP353"/>
      <c r="AQ353"/>
      <c r="AR353"/>
      <c r="AS353"/>
      <c r="AT353" t="inlineStr">
        <is>
          <t>☆</t>
        </is>
      </c>
      <c r="AU353" t="inlineStr">
        <is>
          <t>☆</t>
        </is>
      </c>
      <c r="AV353" t="inlineStr">
        <is>
          <t>☆</t>
        </is>
      </c>
      <c r="AW353" t="inlineStr">
        <is>
          <t>☆</t>
        </is>
      </c>
      <c r="AX353" t="inlineStr">
        <is>
          <t>☆</t>
        </is>
      </c>
      <c r="AY353" t="inlineStr">
        <is>
          <t>☆</t>
        </is>
      </c>
      <c r="AZ353" t="inlineStr">
        <is>
          <t>☆</t>
        </is>
      </c>
      <c r="BA353" t="inlineStr">
        <is>
          <t>☆</t>
        </is>
      </c>
      <c r="BB353" t="inlineStr">
        <is>
          <t>☆</t>
        </is>
      </c>
      <c r="BC353" t="inlineStr">
        <is>
          <t>☆</t>
        </is>
      </c>
      <c r="BD353" t="inlineStr">
        <is>
          <t>☆</t>
        </is>
      </c>
      <c r="BE353" t="inlineStr">
        <is>
          <t>☆</t>
        </is>
      </c>
      <c r="BF353" t="inlineStr">
        <is>
          <t>☆</t>
        </is>
      </c>
      <c r="BG353" t="inlineStr">
        <is>
          <t>☆</t>
        </is>
      </c>
      <c r="BH353" t="inlineStr">
        <is>
          <t>☆</t>
        </is>
      </c>
      <c r="BI353" t="inlineStr">
        <is>
          <t>☆</t>
        </is>
      </c>
      <c r="BJ353" t="inlineStr">
        <is>
          <t>☆</t>
        </is>
      </c>
      <c r="BK353" t="inlineStr">
        <is>
          <t>☆</t>
        </is>
      </c>
      <c r="BL353" t="inlineStr">
        <is>
          <t>☆</t>
        </is>
      </c>
      <c r="BM353" t="inlineStr">
        <is>
          <t>☆</t>
        </is>
      </c>
      <c r="BN353" t="inlineStr">
        <is>
          <t>☆</t>
        </is>
      </c>
      <c r="BO353" t="inlineStr">
        <is>
          <t>☆</t>
        </is>
      </c>
      <c r="BP353" t="inlineStr">
        <is>
          <t>☆</t>
        </is>
      </c>
      <c r="BQ353" t="inlineStr">
        <is>
          <t>☆</t>
        </is>
      </c>
      <c r="BR353"/>
      <c r="BS353" t="inlineStr">
        <is>
          <t>#VALUE!</t>
        </is>
      </c>
    </row>
    <row r="354" ht="25.5" customHeight="1">
      <c r="A354" t="inlineStr">
        <is>
          <t>NL</t>
        </is>
      </c>
      <c r="B354" t="inlineStr">
        <is>
          <t>R0001EU</t>
        </is>
      </c>
      <c r="C354" t="inlineStr">
        <is>
          <t>R0011EU</t>
        </is>
      </c>
      <c r="D354" t="inlineStr">
        <is>
          <t>CG01(PRO)胶枪荷兰</t>
        </is>
      </c>
      <c r="E354">
        <v>15.2</v>
      </c>
      <c r="F354">
        <v>21.99</v>
      </c>
      <c r="G354"/>
      <c r="H354"/>
      <c r="I354"/>
      <c r="J354"/>
      <c r="K354"/>
      <c r="L354"/>
      <c r="M354"/>
      <c r="N354"/>
      <c r="O354"/>
      <c r="P354">
        <v>30</v>
      </c>
      <c r="Q354">
        <v>8</v>
      </c>
      <c r="R354"/>
      <c r="S354"/>
      <c r="T354"/>
      <c r="U354">
        <v>0.01</v>
      </c>
      <c r="V354"/>
      <c r="W354"/>
      <c r="X354">
        <v>0.188</v>
      </c>
      <c r="Y354">
        <v>3</v>
      </c>
      <c r="Z354"/>
      <c r="AA354"/>
      <c r="AB354"/>
      <c r="AC354">
        <v>40</v>
      </c>
      <c r="AD354"/>
      <c r="AE354"/>
      <c r="AF354"/>
      <c r="AG354"/>
      <c r="AH354">
        <v>6</v>
      </c>
      <c r="AI354"/>
      <c r="AJ354"/>
      <c r="AK354"/>
      <c r="AL354"/>
      <c r="AM354"/>
      <c r="AN354"/>
      <c r="AO354"/>
      <c r="AP354"/>
      <c r="AQ354"/>
      <c r="AR354"/>
      <c r="AS354"/>
      <c r="AT354" t="inlineStr">
        <is>
          <t>☆</t>
        </is>
      </c>
      <c r="AU354" t="inlineStr">
        <is>
          <t>☆</t>
        </is>
      </c>
      <c r="AV354" t="inlineStr">
        <is>
          <t>☆</t>
        </is>
      </c>
      <c r="AW354" t="inlineStr">
        <is>
          <t>☆</t>
        </is>
      </c>
      <c r="AX354" t="inlineStr">
        <is>
          <t>☆</t>
        </is>
      </c>
      <c r="AY354" t="inlineStr">
        <is>
          <t>☆</t>
        </is>
      </c>
      <c r="AZ354" t="inlineStr">
        <is>
          <t>☆</t>
        </is>
      </c>
      <c r="BA354" t="inlineStr">
        <is>
          <t>☆</t>
        </is>
      </c>
      <c r="BB354" t="inlineStr">
        <is>
          <t>☆</t>
        </is>
      </c>
      <c r="BC354" t="inlineStr">
        <is>
          <t>☆</t>
        </is>
      </c>
      <c r="BD354" t="inlineStr">
        <is>
          <t>☆</t>
        </is>
      </c>
      <c r="BE354" t="inlineStr">
        <is>
          <t>☆</t>
        </is>
      </c>
      <c r="BF354" t="inlineStr">
        <is>
          <t>☆</t>
        </is>
      </c>
      <c r="BG354" t="inlineStr">
        <is>
          <t>☆</t>
        </is>
      </c>
      <c r="BH354" t="inlineStr">
        <is>
          <t>☆</t>
        </is>
      </c>
      <c r="BI354" t="inlineStr">
        <is>
          <t>☆</t>
        </is>
      </c>
      <c r="BJ354" t="inlineStr">
        <is>
          <t>☆</t>
        </is>
      </c>
      <c r="BK354" t="inlineStr">
        <is>
          <t>☆</t>
        </is>
      </c>
      <c r="BL354" t="inlineStr">
        <is>
          <t>☆</t>
        </is>
      </c>
      <c r="BM354" t="inlineStr">
        <is>
          <t>☆</t>
        </is>
      </c>
      <c r="BN354" t="inlineStr">
        <is>
          <t>☆</t>
        </is>
      </c>
      <c r="BO354" t="inlineStr">
        <is>
          <t>☆</t>
        </is>
      </c>
      <c r="BP354" t="inlineStr">
        <is>
          <t>☆</t>
        </is>
      </c>
      <c r="BQ354" t="inlineStr">
        <is>
          <t>☆</t>
        </is>
      </c>
      <c r="BR354"/>
      <c r="BS354" t="inlineStr">
        <is>
          <t>#VALUE!</t>
        </is>
      </c>
    </row>
    <row r="355" ht="25.5" customHeight="1">
      <c r="A355" t="inlineStr">
        <is>
          <t>PL</t>
        </is>
      </c>
      <c r="B355" t="inlineStr">
        <is>
          <t>R0001EU</t>
        </is>
      </c>
      <c r="C355" t="inlineStr">
        <is>
          <t>R0011EU</t>
        </is>
      </c>
      <c r="D355" t="inlineStr">
        <is>
          <t>CG01(PRO)胶枪波兰</t>
        </is>
      </c>
      <c r="E355">
        <v>15.2</v>
      </c>
      <c r="F355">
        <v>21.99</v>
      </c>
      <c r="G355"/>
      <c r="H355"/>
      <c r="I355"/>
      <c r="J355"/>
      <c r="K355"/>
      <c r="L355"/>
      <c r="M355"/>
      <c r="N355"/>
      <c r="O355"/>
      <c r="P355">
        <v>30</v>
      </c>
      <c r="Q355">
        <v>8</v>
      </c>
      <c r="R355"/>
      <c r="S355"/>
      <c r="T355"/>
      <c r="U355">
        <v>0.01</v>
      </c>
      <c r="V355"/>
      <c r="W355"/>
      <c r="X355">
        <v>0.188</v>
      </c>
      <c r="Y355">
        <v>3</v>
      </c>
      <c r="Z355"/>
      <c r="AA355"/>
      <c r="AB355"/>
      <c r="AC355">
        <v>40</v>
      </c>
      <c r="AD355"/>
      <c r="AE355"/>
      <c r="AF355"/>
      <c r="AG355"/>
      <c r="AH355">
        <v>6</v>
      </c>
      <c r="AI355"/>
      <c r="AJ355"/>
      <c r="AK355"/>
      <c r="AL355"/>
      <c r="AM355"/>
      <c r="AN355"/>
      <c r="AO355"/>
      <c r="AP355"/>
      <c r="AQ355"/>
      <c r="AR355"/>
      <c r="AS355"/>
      <c r="AT355" t="inlineStr">
        <is>
          <t>☆</t>
        </is>
      </c>
      <c r="AU355" t="inlineStr">
        <is>
          <t>☆</t>
        </is>
      </c>
      <c r="AV355" t="inlineStr">
        <is>
          <t>☆</t>
        </is>
      </c>
      <c r="AW355" t="inlineStr">
        <is>
          <t>☆</t>
        </is>
      </c>
      <c r="AX355" t="inlineStr">
        <is>
          <t>☆</t>
        </is>
      </c>
      <c r="AY355" t="inlineStr">
        <is>
          <t>☆</t>
        </is>
      </c>
      <c r="AZ355" t="inlineStr">
        <is>
          <t>☆</t>
        </is>
      </c>
      <c r="BA355" t="inlineStr">
        <is>
          <t>☆</t>
        </is>
      </c>
      <c r="BB355" t="inlineStr">
        <is>
          <t>☆</t>
        </is>
      </c>
      <c r="BC355" t="inlineStr">
        <is>
          <t>☆</t>
        </is>
      </c>
      <c r="BD355" t="inlineStr">
        <is>
          <t>☆</t>
        </is>
      </c>
      <c r="BE355" t="inlineStr">
        <is>
          <t>☆</t>
        </is>
      </c>
      <c r="BF355" t="inlineStr">
        <is>
          <t>☆</t>
        </is>
      </c>
      <c r="BG355" t="inlineStr">
        <is>
          <t>☆</t>
        </is>
      </c>
      <c r="BH355" t="inlineStr">
        <is>
          <t>☆</t>
        </is>
      </c>
      <c r="BI355" t="inlineStr">
        <is>
          <t>☆</t>
        </is>
      </c>
      <c r="BJ355" t="inlineStr">
        <is>
          <t>☆</t>
        </is>
      </c>
      <c r="BK355" t="inlineStr">
        <is>
          <t>☆</t>
        </is>
      </c>
      <c r="BL355" t="inlineStr">
        <is>
          <t>☆</t>
        </is>
      </c>
      <c r="BM355" t="inlineStr">
        <is>
          <t>☆</t>
        </is>
      </c>
      <c r="BN355" t="inlineStr">
        <is>
          <t>☆</t>
        </is>
      </c>
      <c r="BO355" t="inlineStr">
        <is>
          <t>☆</t>
        </is>
      </c>
      <c r="BP355" t="inlineStr">
        <is>
          <t>☆</t>
        </is>
      </c>
      <c r="BQ355" t="inlineStr">
        <is>
          <t>☆</t>
        </is>
      </c>
      <c r="BR355"/>
      <c r="BS355" t="inlineStr">
        <is>
          <t>#VALUE!</t>
        </is>
      </c>
    </row>
    <row r="356" ht="25.5" customHeight="1">
      <c r="A356" t="inlineStr">
        <is>
          <t>SE</t>
        </is>
      </c>
      <c r="B356" t="inlineStr">
        <is>
          <t>R0001EU</t>
        </is>
      </c>
      <c r="C356" t="inlineStr">
        <is>
          <t>R0011EU</t>
        </is>
      </c>
      <c r="D356" t="inlineStr">
        <is>
          <t>CG01(PRO)胶枪瑞典</t>
        </is>
      </c>
      <c r="E356">
        <v>15.2</v>
      </c>
      <c r="F356">
        <v>21.99</v>
      </c>
      <c r="G356"/>
      <c r="H356"/>
      <c r="I356"/>
      <c r="J356"/>
      <c r="K356"/>
      <c r="L356"/>
      <c r="M356"/>
      <c r="N356"/>
      <c r="O356"/>
      <c r="P356">
        <v>30</v>
      </c>
      <c r="Q356">
        <v>8</v>
      </c>
      <c r="R356"/>
      <c r="S356"/>
      <c r="T356"/>
      <c r="U356">
        <v>0.01</v>
      </c>
      <c r="V356"/>
      <c r="W356"/>
      <c r="X356">
        <v>0.188</v>
      </c>
      <c r="Y356">
        <v>3</v>
      </c>
      <c r="Z356"/>
      <c r="AA356"/>
      <c r="AB356"/>
      <c r="AC356">
        <v>40</v>
      </c>
      <c r="AD356"/>
      <c r="AE356"/>
      <c r="AF356"/>
      <c r="AG356"/>
      <c r="AH356">
        <v>6</v>
      </c>
      <c r="AI356"/>
      <c r="AJ356"/>
      <c r="AK356"/>
      <c r="AL356"/>
      <c r="AM356"/>
      <c r="AN356"/>
      <c r="AO356"/>
      <c r="AP356"/>
      <c r="AQ356"/>
      <c r="AR356"/>
      <c r="AS356"/>
      <c r="AT356" t="inlineStr">
        <is>
          <t>☆</t>
        </is>
      </c>
      <c r="AU356" t="inlineStr">
        <is>
          <t>☆</t>
        </is>
      </c>
      <c r="AV356" t="inlineStr">
        <is>
          <t>☆</t>
        </is>
      </c>
      <c r="AW356" t="inlineStr">
        <is>
          <t>☆</t>
        </is>
      </c>
      <c r="AX356" t="inlineStr">
        <is>
          <t>☆</t>
        </is>
      </c>
      <c r="AY356" t="inlineStr">
        <is>
          <t>☆</t>
        </is>
      </c>
      <c r="AZ356" t="inlineStr">
        <is>
          <t>☆</t>
        </is>
      </c>
      <c r="BA356" t="inlineStr">
        <is>
          <t>☆</t>
        </is>
      </c>
      <c r="BB356" t="inlineStr">
        <is>
          <t>☆</t>
        </is>
      </c>
      <c r="BC356" t="inlineStr">
        <is>
          <t>☆</t>
        </is>
      </c>
      <c r="BD356" t="inlineStr">
        <is>
          <t>☆</t>
        </is>
      </c>
      <c r="BE356" t="inlineStr">
        <is>
          <t>☆</t>
        </is>
      </c>
      <c r="BF356" t="inlineStr">
        <is>
          <t>☆</t>
        </is>
      </c>
      <c r="BG356" t="inlineStr">
        <is>
          <t>☆</t>
        </is>
      </c>
      <c r="BH356" t="inlineStr">
        <is>
          <t>☆</t>
        </is>
      </c>
      <c r="BI356" t="inlineStr">
        <is>
          <t>☆</t>
        </is>
      </c>
      <c r="BJ356" t="inlineStr">
        <is>
          <t>☆</t>
        </is>
      </c>
      <c r="BK356" t="inlineStr">
        <is>
          <t>☆</t>
        </is>
      </c>
      <c r="BL356" t="inlineStr">
        <is>
          <t>☆</t>
        </is>
      </c>
      <c r="BM356" t="inlineStr">
        <is>
          <t>☆</t>
        </is>
      </c>
      <c r="BN356" t="inlineStr">
        <is>
          <t>☆</t>
        </is>
      </c>
      <c r="BO356" t="inlineStr">
        <is>
          <t>☆</t>
        </is>
      </c>
      <c r="BP356" t="inlineStr">
        <is>
          <t>☆</t>
        </is>
      </c>
      <c r="BQ356" t="inlineStr">
        <is>
          <t>☆</t>
        </is>
      </c>
      <c r="BR356"/>
      <c r="BS356" t="inlineStr">
        <is>
          <t>#VALUE!</t>
        </is>
      </c>
    </row>
    <row r="357" ht="25.5" customHeight="1">
      <c r="A357" t="inlineStr">
        <is>
          <t>BE</t>
        </is>
      </c>
      <c r="B357" t="inlineStr">
        <is>
          <t>R0001EU</t>
        </is>
      </c>
      <c r="C357" t="inlineStr">
        <is>
          <t>R0011EU</t>
        </is>
      </c>
      <c r="D357" t="inlineStr">
        <is>
          <t>CG01(PRO)胶枪比利时</t>
        </is>
      </c>
      <c r="E357">
        <v>15.2</v>
      </c>
      <c r="F357">
        <v>21.99</v>
      </c>
      <c r="G357"/>
      <c r="H357"/>
      <c r="I357"/>
      <c r="J357"/>
      <c r="K357"/>
      <c r="L357"/>
      <c r="M357"/>
      <c r="N357"/>
      <c r="O357"/>
      <c r="P357">
        <v>30</v>
      </c>
      <c r="Q357">
        <v>8</v>
      </c>
      <c r="R357"/>
      <c r="S357"/>
      <c r="T357"/>
      <c r="U357">
        <v>0.01</v>
      </c>
      <c r="V357"/>
      <c r="W357"/>
      <c r="X357">
        <v>0.188</v>
      </c>
      <c r="Y357">
        <v>3</v>
      </c>
      <c r="Z357"/>
      <c r="AA357"/>
      <c r="AB357"/>
      <c r="AC357">
        <v>40</v>
      </c>
      <c r="AD357"/>
      <c r="AE357"/>
      <c r="AF357"/>
      <c r="AG357"/>
      <c r="AH357">
        <v>6</v>
      </c>
      <c r="AI357"/>
      <c r="AJ357"/>
      <c r="AK357"/>
      <c r="AL357"/>
      <c r="AM357"/>
      <c r="AN357"/>
      <c r="AO357"/>
      <c r="AP357"/>
      <c r="AQ357"/>
      <c r="AR357"/>
      <c r="AS357"/>
      <c r="AT357" t="inlineStr">
        <is>
          <t>☆</t>
        </is>
      </c>
      <c r="AU357" t="inlineStr">
        <is>
          <t>☆</t>
        </is>
      </c>
      <c r="AV357" t="inlineStr">
        <is>
          <t>☆</t>
        </is>
      </c>
      <c r="AW357" t="inlineStr">
        <is>
          <t>☆</t>
        </is>
      </c>
      <c r="AX357" t="inlineStr">
        <is>
          <t>☆</t>
        </is>
      </c>
      <c r="AY357" t="inlineStr">
        <is>
          <t>☆</t>
        </is>
      </c>
      <c r="AZ357" t="inlineStr">
        <is>
          <t>☆</t>
        </is>
      </c>
      <c r="BA357" t="inlineStr">
        <is>
          <t>☆</t>
        </is>
      </c>
      <c r="BB357" t="inlineStr">
        <is>
          <t>☆</t>
        </is>
      </c>
      <c r="BC357" t="inlineStr">
        <is>
          <t>☆</t>
        </is>
      </c>
      <c r="BD357" t="inlineStr">
        <is>
          <t>☆</t>
        </is>
      </c>
      <c r="BE357" t="inlineStr">
        <is>
          <t>☆</t>
        </is>
      </c>
      <c r="BF357" t="inlineStr">
        <is>
          <t>☆</t>
        </is>
      </c>
      <c r="BG357" t="inlineStr">
        <is>
          <t>☆</t>
        </is>
      </c>
      <c r="BH357" t="inlineStr">
        <is>
          <t>☆</t>
        </is>
      </c>
      <c r="BI357" t="inlineStr">
        <is>
          <t>☆</t>
        </is>
      </c>
      <c r="BJ357" t="inlineStr">
        <is>
          <t>☆</t>
        </is>
      </c>
      <c r="BK357" t="inlineStr">
        <is>
          <t>☆</t>
        </is>
      </c>
      <c r="BL357" t="inlineStr">
        <is>
          <t>☆</t>
        </is>
      </c>
      <c r="BM357" t="inlineStr">
        <is>
          <t>☆</t>
        </is>
      </c>
      <c r="BN357" t="inlineStr">
        <is>
          <t>☆</t>
        </is>
      </c>
      <c r="BO357" t="inlineStr">
        <is>
          <t>☆</t>
        </is>
      </c>
      <c r="BP357" t="inlineStr">
        <is>
          <t>☆</t>
        </is>
      </c>
      <c r="BQ357" t="inlineStr">
        <is>
          <t>☆</t>
        </is>
      </c>
      <c r="BR357"/>
      <c r="BS357" t="inlineStr">
        <is>
          <t>#VALUE!</t>
        </is>
      </c>
    </row>
    <row r="358" ht="25.5" customHeight="1">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row>
    <row r="359" ht="25.5" customHeight="1">
      <c r="A359" t="inlineStr">
        <is>
          <t>UK</t>
        </is>
      </c>
      <c r="B359" t="inlineStr">
        <is>
          <t>R0001EU</t>
        </is>
      </c>
      <c r="C359" t="inlineStr">
        <is>
          <t>R0012EU</t>
        </is>
      </c>
      <c r="D359" t="inlineStr">
        <is>
          <t>无刷精密电磨(coupon-0%）</t>
        </is>
      </c>
      <c r="E359">
        <v>27.6</v>
      </c>
      <c r="F359">
        <v>39.99</v>
      </c>
      <c r="G359"/>
      <c r="H359"/>
      <c r="I359"/>
      <c r="J359"/>
      <c r="K359"/>
      <c r="L359"/>
      <c r="M359"/>
      <c r="N359"/>
      <c r="O359"/>
      <c r="P359">
        <v>30</v>
      </c>
      <c r="Q359">
        <v>9</v>
      </c>
      <c r="R359"/>
      <c r="S359"/>
      <c r="T359"/>
      <c r="U359">
        <v>0.01</v>
      </c>
      <c r="V359"/>
      <c r="W359"/>
      <c r="X359">
        <v>0.178</v>
      </c>
      <c r="Y359">
        <v>6</v>
      </c>
      <c r="Z359">
        <v>0</v>
      </c>
      <c r="AA359"/>
      <c r="AB359"/>
      <c r="AC359">
        <v>80</v>
      </c>
      <c r="AD359"/>
      <c r="AE359"/>
      <c r="AF359"/>
      <c r="AG359"/>
      <c r="AH359">
        <v>6</v>
      </c>
      <c r="AI359"/>
      <c r="AJ359"/>
      <c r="AK359"/>
      <c r="AL359"/>
      <c r="AM359"/>
      <c r="AN359"/>
      <c r="AO359"/>
      <c r="AP359"/>
      <c r="AQ359"/>
      <c r="AR359"/>
      <c r="AS359"/>
      <c r="AT359" t="inlineStr">
        <is>
          <t>☆</t>
        </is>
      </c>
      <c r="AU359" t="inlineStr">
        <is>
          <t>☆</t>
        </is>
      </c>
      <c r="AV359" t="inlineStr">
        <is>
          <t>☆</t>
        </is>
      </c>
      <c r="AW359" t="inlineStr">
        <is>
          <t>☆</t>
        </is>
      </c>
      <c r="AX359" t="inlineStr">
        <is>
          <t>☆</t>
        </is>
      </c>
      <c r="AY359" t="inlineStr">
        <is>
          <t>☆</t>
        </is>
      </c>
      <c r="AZ359" t="inlineStr">
        <is>
          <t>☆</t>
        </is>
      </c>
      <c r="BA359" t="inlineStr">
        <is>
          <t>☆</t>
        </is>
      </c>
      <c r="BB359" t="inlineStr">
        <is>
          <t>☆</t>
        </is>
      </c>
      <c r="BC359" t="inlineStr">
        <is>
          <t>☆</t>
        </is>
      </c>
      <c r="BD359" t="inlineStr">
        <is>
          <t>☆</t>
        </is>
      </c>
      <c r="BE359" t="inlineStr">
        <is>
          <t>☆</t>
        </is>
      </c>
      <c r="BF359" t="inlineStr">
        <is>
          <t>☆</t>
        </is>
      </c>
      <c r="BG359" t="inlineStr">
        <is>
          <t>☆</t>
        </is>
      </c>
      <c r="BH359" t="inlineStr">
        <is>
          <t>☆</t>
        </is>
      </c>
      <c r="BI359" t="inlineStr">
        <is>
          <t>☆</t>
        </is>
      </c>
      <c r="BJ359" t="inlineStr">
        <is>
          <t>☆</t>
        </is>
      </c>
      <c r="BK359" t="inlineStr">
        <is>
          <t>☆</t>
        </is>
      </c>
      <c r="BL359" t="inlineStr">
        <is>
          <t>☆</t>
        </is>
      </c>
      <c r="BM359" t="inlineStr">
        <is>
          <t>☆</t>
        </is>
      </c>
      <c r="BN359" t="inlineStr">
        <is>
          <t>☆</t>
        </is>
      </c>
      <c r="BO359" t="inlineStr">
        <is>
          <t>☆</t>
        </is>
      </c>
      <c r="BP359" t="inlineStr">
        <is>
          <t>☆</t>
        </is>
      </c>
      <c r="BQ359" t="inlineStr">
        <is>
          <t>☆</t>
        </is>
      </c>
      <c r="BR359"/>
      <c r="BS359" t="inlineStr">
        <is>
          <t>#VALUE!</t>
        </is>
      </c>
    </row>
    <row r="360" ht="25.5" customHeight="1">
      <c r="A360" t="inlineStr">
        <is>
          <t>UK</t>
        </is>
      </c>
      <c r="B360" t="inlineStr">
        <is>
          <t>R0001EU</t>
        </is>
      </c>
      <c r="C360" t="inlineStr">
        <is>
          <t>R0012EU</t>
        </is>
      </c>
      <c r="D360" t="inlineStr">
        <is>
          <t>无刷精密电磨(coupon-10%）</t>
        </is>
      </c>
      <c r="E360">
        <v>27.6</v>
      </c>
      <c r="F360">
        <v>39.99</v>
      </c>
      <c r="G360"/>
      <c r="H360"/>
      <c r="I360"/>
      <c r="J360"/>
      <c r="K360"/>
      <c r="L360"/>
      <c r="M360"/>
      <c r="N360"/>
      <c r="O360"/>
      <c r="P360">
        <v>30</v>
      </c>
      <c r="Q360">
        <v>9</v>
      </c>
      <c r="R360"/>
      <c r="S360"/>
      <c r="T360"/>
      <c r="U360">
        <v>0.01</v>
      </c>
      <c r="V360"/>
      <c r="W360"/>
      <c r="X360">
        <v>0.178</v>
      </c>
      <c r="Y360">
        <v>6</v>
      </c>
      <c r="Z360"/>
      <c r="AA360"/>
      <c r="AB360"/>
      <c r="AC360">
        <v>80</v>
      </c>
      <c r="AD360"/>
      <c r="AE360"/>
      <c r="AF360"/>
      <c r="AG360"/>
      <c r="AH360">
        <v>6</v>
      </c>
      <c r="AI360"/>
      <c r="AJ360"/>
      <c r="AK360"/>
      <c r="AL360"/>
      <c r="AM360"/>
      <c r="AN360"/>
      <c r="AO360"/>
      <c r="AP360"/>
      <c r="AQ360"/>
      <c r="AR360"/>
      <c r="AS360"/>
      <c r="AT360" t="inlineStr">
        <is>
          <t>☆</t>
        </is>
      </c>
      <c r="AU360" t="inlineStr">
        <is>
          <t>☆</t>
        </is>
      </c>
      <c r="AV360" t="inlineStr">
        <is>
          <t>☆</t>
        </is>
      </c>
      <c r="AW360" t="inlineStr">
        <is>
          <t>☆</t>
        </is>
      </c>
      <c r="AX360" t="inlineStr">
        <is>
          <t>☆</t>
        </is>
      </c>
      <c r="AY360" t="inlineStr">
        <is>
          <t>☆</t>
        </is>
      </c>
      <c r="AZ360" t="inlineStr">
        <is>
          <t>☆</t>
        </is>
      </c>
      <c r="BA360" t="inlineStr">
        <is>
          <t>☆</t>
        </is>
      </c>
      <c r="BB360" t="inlineStr">
        <is>
          <t>☆</t>
        </is>
      </c>
      <c r="BC360" t="inlineStr">
        <is>
          <t>☆</t>
        </is>
      </c>
      <c r="BD360" t="inlineStr">
        <is>
          <t>☆</t>
        </is>
      </c>
      <c r="BE360" t="inlineStr">
        <is>
          <t>☆</t>
        </is>
      </c>
      <c r="BF360" t="inlineStr">
        <is>
          <t>☆</t>
        </is>
      </c>
      <c r="BG360" t="inlineStr">
        <is>
          <t>☆</t>
        </is>
      </c>
      <c r="BH360" t="inlineStr">
        <is>
          <t>☆</t>
        </is>
      </c>
      <c r="BI360" t="inlineStr">
        <is>
          <t>☆</t>
        </is>
      </c>
      <c r="BJ360" t="inlineStr">
        <is>
          <t>☆</t>
        </is>
      </c>
      <c r="BK360" t="inlineStr">
        <is>
          <t>☆</t>
        </is>
      </c>
      <c r="BL360" t="inlineStr">
        <is>
          <t>☆</t>
        </is>
      </c>
      <c r="BM360" t="inlineStr">
        <is>
          <t>☆</t>
        </is>
      </c>
      <c r="BN360" t="inlineStr">
        <is>
          <t>☆</t>
        </is>
      </c>
      <c r="BO360" t="inlineStr">
        <is>
          <t>☆</t>
        </is>
      </c>
      <c r="BP360" t="inlineStr">
        <is>
          <t>☆</t>
        </is>
      </c>
      <c r="BQ360" t="inlineStr">
        <is>
          <t>☆</t>
        </is>
      </c>
      <c r="BR360"/>
      <c r="BS360" t="inlineStr">
        <is>
          <t>#VALUE!</t>
        </is>
      </c>
    </row>
    <row r="361" ht="25.5" customHeight="1">
      <c r="A361" t="inlineStr">
        <is>
          <t>UK</t>
        </is>
      </c>
      <c r="B361" t="inlineStr">
        <is>
          <t>R0001EU</t>
        </is>
      </c>
      <c r="C361" t="inlineStr">
        <is>
          <t>R0012EU</t>
        </is>
      </c>
      <c r="D361" t="inlineStr">
        <is>
          <t>无刷精密电磨(coupon-15%）</t>
        </is>
      </c>
      <c r="E361">
        <v>27.6</v>
      </c>
      <c r="F361">
        <v>39.99</v>
      </c>
      <c r="G361"/>
      <c r="H361"/>
      <c r="I361"/>
      <c r="J361"/>
      <c r="K361"/>
      <c r="L361"/>
      <c r="M361"/>
      <c r="N361"/>
      <c r="O361"/>
      <c r="P361">
        <v>30</v>
      </c>
      <c r="Q361">
        <v>9</v>
      </c>
      <c r="R361"/>
      <c r="S361"/>
      <c r="T361"/>
      <c r="U361">
        <v>0.01</v>
      </c>
      <c r="V361"/>
      <c r="W361"/>
      <c r="X361">
        <v>0.178</v>
      </c>
      <c r="Y361">
        <v>6</v>
      </c>
      <c r="Z361"/>
      <c r="AA361"/>
      <c r="AB361"/>
      <c r="AC361">
        <v>80</v>
      </c>
      <c r="AD361"/>
      <c r="AE361"/>
      <c r="AF361"/>
      <c r="AG361"/>
      <c r="AH361">
        <v>6</v>
      </c>
      <c r="AI361"/>
      <c r="AJ361"/>
      <c r="AK361"/>
      <c r="AL361"/>
      <c r="AM361"/>
      <c r="AN361"/>
      <c r="AO361"/>
      <c r="AP361"/>
      <c r="AQ361"/>
      <c r="AR361"/>
      <c r="AS361"/>
      <c r="AT361" t="inlineStr">
        <is>
          <t>☆</t>
        </is>
      </c>
      <c r="AU361" t="inlineStr">
        <is>
          <t>☆</t>
        </is>
      </c>
      <c r="AV361" t="inlineStr">
        <is>
          <t>☆</t>
        </is>
      </c>
      <c r="AW361" t="inlineStr">
        <is>
          <t>☆</t>
        </is>
      </c>
      <c r="AX361" t="inlineStr">
        <is>
          <t>☆</t>
        </is>
      </c>
      <c r="AY361" t="inlineStr">
        <is>
          <t>☆</t>
        </is>
      </c>
      <c r="AZ361" t="inlineStr">
        <is>
          <t>☆</t>
        </is>
      </c>
      <c r="BA361" t="inlineStr">
        <is>
          <t>☆</t>
        </is>
      </c>
      <c r="BB361" t="inlineStr">
        <is>
          <t>☆</t>
        </is>
      </c>
      <c r="BC361" t="inlineStr">
        <is>
          <t>☆</t>
        </is>
      </c>
      <c r="BD361" t="inlineStr">
        <is>
          <t>☆</t>
        </is>
      </c>
      <c r="BE361" t="inlineStr">
        <is>
          <t>☆</t>
        </is>
      </c>
      <c r="BF361" t="inlineStr">
        <is>
          <t>☆</t>
        </is>
      </c>
      <c r="BG361" t="inlineStr">
        <is>
          <t>☆</t>
        </is>
      </c>
      <c r="BH361" t="inlineStr">
        <is>
          <t>☆</t>
        </is>
      </c>
      <c r="BI361" t="inlineStr">
        <is>
          <t>☆</t>
        </is>
      </c>
      <c r="BJ361" t="inlineStr">
        <is>
          <t>☆</t>
        </is>
      </c>
      <c r="BK361" t="inlineStr">
        <is>
          <t>☆</t>
        </is>
      </c>
      <c r="BL361" t="inlineStr">
        <is>
          <t>☆</t>
        </is>
      </c>
      <c r="BM361" t="inlineStr">
        <is>
          <t>☆</t>
        </is>
      </c>
      <c r="BN361" t="inlineStr">
        <is>
          <t>☆</t>
        </is>
      </c>
      <c r="BO361" t="inlineStr">
        <is>
          <t>☆</t>
        </is>
      </c>
      <c r="BP361" t="inlineStr">
        <is>
          <t>☆</t>
        </is>
      </c>
      <c r="BQ361" t="inlineStr">
        <is>
          <t>☆</t>
        </is>
      </c>
      <c r="BR361"/>
      <c r="BS361" t="inlineStr">
        <is>
          <t>#VALUE!</t>
        </is>
      </c>
    </row>
    <row r="362" ht="25.5" customHeight="1">
      <c r="A362" t="inlineStr">
        <is>
          <t>DE</t>
        </is>
      </c>
      <c r="B362" t="inlineStr">
        <is>
          <t>R0001EU</t>
        </is>
      </c>
      <c r="C362" t="inlineStr">
        <is>
          <t>R0012EU</t>
        </is>
      </c>
      <c r="D362" t="inlineStr">
        <is>
          <t>无刷精密电磨(coupon-0%）</t>
        </is>
      </c>
      <c r="E362">
        <v>31</v>
      </c>
      <c r="F362">
        <v>44.99</v>
      </c>
      <c r="G362"/>
      <c r="H362"/>
      <c r="I362"/>
      <c r="J362"/>
      <c r="K362"/>
      <c r="L362"/>
      <c r="M362"/>
      <c r="N362"/>
      <c r="O362"/>
      <c r="P362">
        <v>30</v>
      </c>
      <c r="Q362">
        <v>8</v>
      </c>
      <c r="R362"/>
      <c r="S362"/>
      <c r="T362"/>
      <c r="U362">
        <v>0.01</v>
      </c>
      <c r="V362"/>
      <c r="W362"/>
      <c r="X362">
        <v>0.188</v>
      </c>
      <c r="Y362">
        <v>6</v>
      </c>
      <c r="Z362">
        <v>0</v>
      </c>
      <c r="AA362"/>
      <c r="AB362"/>
      <c r="AC362">
        <v>80</v>
      </c>
      <c r="AD362"/>
      <c r="AE362"/>
      <c r="AF362"/>
      <c r="AG362"/>
      <c r="AH362">
        <v>6</v>
      </c>
      <c r="AI362"/>
      <c r="AJ362"/>
      <c r="AK362"/>
      <c r="AL362"/>
      <c r="AM362"/>
      <c r="AN362"/>
      <c r="AO362"/>
      <c r="AP362"/>
      <c r="AQ362"/>
      <c r="AR362"/>
      <c r="AS362"/>
      <c r="AT362" t="inlineStr">
        <is>
          <t>☆</t>
        </is>
      </c>
      <c r="AU362" t="inlineStr">
        <is>
          <t>☆</t>
        </is>
      </c>
      <c r="AV362" t="inlineStr">
        <is>
          <t>☆</t>
        </is>
      </c>
      <c r="AW362" t="inlineStr">
        <is>
          <t>☆</t>
        </is>
      </c>
      <c r="AX362" t="inlineStr">
        <is>
          <t>☆</t>
        </is>
      </c>
      <c r="AY362" t="inlineStr">
        <is>
          <t>☆</t>
        </is>
      </c>
      <c r="AZ362" t="inlineStr">
        <is>
          <t>☆</t>
        </is>
      </c>
      <c r="BA362" t="inlineStr">
        <is>
          <t>☆</t>
        </is>
      </c>
      <c r="BB362" t="inlineStr">
        <is>
          <t>☆</t>
        </is>
      </c>
      <c r="BC362" t="inlineStr">
        <is>
          <t>☆</t>
        </is>
      </c>
      <c r="BD362" t="inlineStr">
        <is>
          <t>☆</t>
        </is>
      </c>
      <c r="BE362" t="inlineStr">
        <is>
          <t>☆</t>
        </is>
      </c>
      <c r="BF362" t="inlineStr">
        <is>
          <t>☆</t>
        </is>
      </c>
      <c r="BG362" t="inlineStr">
        <is>
          <t>☆</t>
        </is>
      </c>
      <c r="BH362" t="inlineStr">
        <is>
          <t>☆</t>
        </is>
      </c>
      <c r="BI362" t="inlineStr">
        <is>
          <t>☆</t>
        </is>
      </c>
      <c r="BJ362" t="inlineStr">
        <is>
          <t>☆</t>
        </is>
      </c>
      <c r="BK362" t="inlineStr">
        <is>
          <t>☆</t>
        </is>
      </c>
      <c r="BL362" t="inlineStr">
        <is>
          <t>☆</t>
        </is>
      </c>
      <c r="BM362" t="inlineStr">
        <is>
          <t>☆</t>
        </is>
      </c>
      <c r="BN362" t="inlineStr">
        <is>
          <t>☆</t>
        </is>
      </c>
      <c r="BO362" t="inlineStr">
        <is>
          <t>☆</t>
        </is>
      </c>
      <c r="BP362" t="inlineStr">
        <is>
          <t>☆</t>
        </is>
      </c>
      <c r="BQ362" t="inlineStr">
        <is>
          <t>☆</t>
        </is>
      </c>
      <c r="BR362"/>
      <c r="BS362" t="inlineStr">
        <is>
          <t>#VALUE!</t>
        </is>
      </c>
    </row>
    <row r="363" ht="25.5" customHeight="1">
      <c r="A363" t="inlineStr">
        <is>
          <t>DE</t>
        </is>
      </c>
      <c r="B363" t="inlineStr">
        <is>
          <t>R0001EU</t>
        </is>
      </c>
      <c r="C363" t="inlineStr">
        <is>
          <t>R0012EU</t>
        </is>
      </c>
      <c r="D363" t="inlineStr">
        <is>
          <t>无刷精密电磨(coupon-10%）</t>
        </is>
      </c>
      <c r="E363">
        <v>31</v>
      </c>
      <c r="F363">
        <v>44.99</v>
      </c>
      <c r="G363"/>
      <c r="H363"/>
      <c r="I363"/>
      <c r="J363"/>
      <c r="K363"/>
      <c r="L363"/>
      <c r="M363"/>
      <c r="N363"/>
      <c r="O363"/>
      <c r="P363">
        <v>30</v>
      </c>
      <c r="Q363">
        <v>8</v>
      </c>
      <c r="R363"/>
      <c r="S363"/>
      <c r="T363"/>
      <c r="U363">
        <v>0.01</v>
      </c>
      <c r="V363"/>
      <c r="W363"/>
      <c r="X363">
        <v>0.188</v>
      </c>
      <c r="Y363">
        <v>6</v>
      </c>
      <c r="Z363"/>
      <c r="AA363"/>
      <c r="AB363"/>
      <c r="AC363">
        <v>80</v>
      </c>
      <c r="AD363"/>
      <c r="AE363"/>
      <c r="AF363"/>
      <c r="AG363"/>
      <c r="AH363">
        <v>6</v>
      </c>
      <c r="AI363"/>
      <c r="AJ363"/>
      <c r="AK363"/>
      <c r="AL363"/>
      <c r="AM363"/>
      <c r="AN363"/>
      <c r="AO363"/>
      <c r="AP363"/>
      <c r="AQ363"/>
      <c r="AR363"/>
      <c r="AS363"/>
      <c r="AT363" t="inlineStr">
        <is>
          <t>☆</t>
        </is>
      </c>
      <c r="AU363" t="inlineStr">
        <is>
          <t>☆</t>
        </is>
      </c>
      <c r="AV363" t="inlineStr">
        <is>
          <t>☆</t>
        </is>
      </c>
      <c r="AW363" t="inlineStr">
        <is>
          <t>☆</t>
        </is>
      </c>
      <c r="AX363" t="inlineStr">
        <is>
          <t>☆</t>
        </is>
      </c>
      <c r="AY363" t="inlineStr">
        <is>
          <t>☆</t>
        </is>
      </c>
      <c r="AZ363" t="inlineStr">
        <is>
          <t>☆</t>
        </is>
      </c>
      <c r="BA363" t="inlineStr">
        <is>
          <t>☆</t>
        </is>
      </c>
      <c r="BB363" t="inlineStr">
        <is>
          <t>☆</t>
        </is>
      </c>
      <c r="BC363" t="inlineStr">
        <is>
          <t>☆</t>
        </is>
      </c>
      <c r="BD363" t="inlineStr">
        <is>
          <t>☆</t>
        </is>
      </c>
      <c r="BE363" t="inlineStr">
        <is>
          <t>☆</t>
        </is>
      </c>
      <c r="BF363" t="inlineStr">
        <is>
          <t>☆</t>
        </is>
      </c>
      <c r="BG363" t="inlineStr">
        <is>
          <t>☆</t>
        </is>
      </c>
      <c r="BH363" t="inlineStr">
        <is>
          <t>☆</t>
        </is>
      </c>
      <c r="BI363" t="inlineStr">
        <is>
          <t>☆</t>
        </is>
      </c>
      <c r="BJ363" t="inlineStr">
        <is>
          <t>☆</t>
        </is>
      </c>
      <c r="BK363" t="inlineStr">
        <is>
          <t>☆</t>
        </is>
      </c>
      <c r="BL363" t="inlineStr">
        <is>
          <t>☆</t>
        </is>
      </c>
      <c r="BM363" t="inlineStr">
        <is>
          <t>☆</t>
        </is>
      </c>
      <c r="BN363" t="inlineStr">
        <is>
          <t>☆</t>
        </is>
      </c>
      <c r="BO363" t="inlineStr">
        <is>
          <t>☆</t>
        </is>
      </c>
      <c r="BP363" t="inlineStr">
        <is>
          <t>☆</t>
        </is>
      </c>
      <c r="BQ363" t="inlineStr">
        <is>
          <t>☆</t>
        </is>
      </c>
      <c r="BR363"/>
      <c r="BS363" t="inlineStr">
        <is>
          <t>#VALUE!</t>
        </is>
      </c>
    </row>
    <row r="364" ht="25.5" customHeight="1">
      <c r="A364" t="inlineStr">
        <is>
          <t>DE</t>
        </is>
      </c>
      <c r="B364" t="inlineStr">
        <is>
          <t>R0001EU</t>
        </is>
      </c>
      <c r="C364" t="inlineStr">
        <is>
          <t>R0012EU</t>
        </is>
      </c>
      <c r="D364" t="inlineStr">
        <is>
          <t>无刷精密电磨(coupon-15%）</t>
        </is>
      </c>
      <c r="E364">
        <v>31</v>
      </c>
      <c r="F364">
        <v>44.99</v>
      </c>
      <c r="G364"/>
      <c r="H364"/>
      <c r="I364"/>
      <c r="J364"/>
      <c r="K364"/>
      <c r="L364"/>
      <c r="M364"/>
      <c r="N364"/>
      <c r="O364"/>
      <c r="P364">
        <v>30</v>
      </c>
      <c r="Q364">
        <v>8</v>
      </c>
      <c r="R364"/>
      <c r="S364"/>
      <c r="T364"/>
      <c r="U364">
        <v>0.01</v>
      </c>
      <c r="V364"/>
      <c r="W364"/>
      <c r="X364">
        <v>0.188</v>
      </c>
      <c r="Y364">
        <v>6</v>
      </c>
      <c r="Z364"/>
      <c r="AA364"/>
      <c r="AB364"/>
      <c r="AC364">
        <v>80</v>
      </c>
      <c r="AD364"/>
      <c r="AE364"/>
      <c r="AF364"/>
      <c r="AG364"/>
      <c r="AH364">
        <v>6</v>
      </c>
      <c r="AI364"/>
      <c r="AJ364"/>
      <c r="AK364"/>
      <c r="AL364"/>
      <c r="AM364"/>
      <c r="AN364"/>
      <c r="AO364"/>
      <c r="AP364"/>
      <c r="AQ364"/>
      <c r="AR364"/>
      <c r="AS364"/>
      <c r="AT364" t="inlineStr">
        <is>
          <t>☆</t>
        </is>
      </c>
      <c r="AU364" t="inlineStr">
        <is>
          <t>☆</t>
        </is>
      </c>
      <c r="AV364" t="inlineStr">
        <is>
          <t>☆</t>
        </is>
      </c>
      <c r="AW364" t="inlineStr">
        <is>
          <t>☆</t>
        </is>
      </c>
      <c r="AX364" t="inlineStr">
        <is>
          <t>☆</t>
        </is>
      </c>
      <c r="AY364" t="inlineStr">
        <is>
          <t>☆</t>
        </is>
      </c>
      <c r="AZ364" t="inlineStr">
        <is>
          <t>☆</t>
        </is>
      </c>
      <c r="BA364" t="inlineStr">
        <is>
          <t>☆</t>
        </is>
      </c>
      <c r="BB364" t="inlineStr">
        <is>
          <t>☆</t>
        </is>
      </c>
      <c r="BC364" t="inlineStr">
        <is>
          <t>☆</t>
        </is>
      </c>
      <c r="BD364" t="inlineStr">
        <is>
          <t>☆</t>
        </is>
      </c>
      <c r="BE364" t="inlineStr">
        <is>
          <t>☆</t>
        </is>
      </c>
      <c r="BF364" t="inlineStr">
        <is>
          <t>☆</t>
        </is>
      </c>
      <c r="BG364" t="inlineStr">
        <is>
          <t>☆</t>
        </is>
      </c>
      <c r="BH364" t="inlineStr">
        <is>
          <t>☆</t>
        </is>
      </c>
      <c r="BI364" t="inlineStr">
        <is>
          <t>☆</t>
        </is>
      </c>
      <c r="BJ364" t="inlineStr">
        <is>
          <t>☆</t>
        </is>
      </c>
      <c r="BK364" t="inlineStr">
        <is>
          <t>☆</t>
        </is>
      </c>
      <c r="BL364" t="inlineStr">
        <is>
          <t>☆</t>
        </is>
      </c>
      <c r="BM364" t="inlineStr">
        <is>
          <t>☆</t>
        </is>
      </c>
      <c r="BN364" t="inlineStr">
        <is>
          <t>☆</t>
        </is>
      </c>
      <c r="BO364" t="inlineStr">
        <is>
          <t>☆</t>
        </is>
      </c>
      <c r="BP364" t="inlineStr">
        <is>
          <t>☆</t>
        </is>
      </c>
      <c r="BQ364" t="inlineStr">
        <is>
          <t>☆</t>
        </is>
      </c>
      <c r="BR364"/>
      <c r="BS364" t="inlineStr">
        <is>
          <t>#VALUE!</t>
        </is>
      </c>
    </row>
    <row r="365" ht="25.5" customHeight="1">
      <c r="A365" t="inlineStr">
        <is>
          <t>FR</t>
        </is>
      </c>
      <c r="B365" t="inlineStr">
        <is>
          <t>R0001EU</t>
        </is>
      </c>
      <c r="C365" t="inlineStr">
        <is>
          <t>R0012EU</t>
        </is>
      </c>
      <c r="D365" t="inlineStr">
        <is>
          <t>无刷精密电磨(coupon-0%）</t>
        </is>
      </c>
      <c r="E365">
        <v>31</v>
      </c>
      <c r="F365">
        <v>44.99</v>
      </c>
      <c r="G365"/>
      <c r="H365"/>
      <c r="I365"/>
      <c r="J365"/>
      <c r="K365"/>
      <c r="L365"/>
      <c r="M365"/>
      <c r="N365"/>
      <c r="O365"/>
      <c r="P365">
        <v>30</v>
      </c>
      <c r="Q365">
        <v>8</v>
      </c>
      <c r="R365"/>
      <c r="S365"/>
      <c r="T365"/>
      <c r="U365">
        <v>0.01</v>
      </c>
      <c r="V365"/>
      <c r="W365"/>
      <c r="X365">
        <v>0.188</v>
      </c>
      <c r="Y365">
        <v>6</v>
      </c>
      <c r="Z365">
        <v>0</v>
      </c>
      <c r="AA365"/>
      <c r="AB365"/>
      <c r="AC365">
        <v>80</v>
      </c>
      <c r="AD365"/>
      <c r="AE365"/>
      <c r="AF365"/>
      <c r="AG365"/>
      <c r="AH365">
        <v>6</v>
      </c>
      <c r="AI365"/>
      <c r="AJ365"/>
      <c r="AK365"/>
      <c r="AL365"/>
      <c r="AM365"/>
      <c r="AN365"/>
      <c r="AO365"/>
      <c r="AP365"/>
      <c r="AQ365"/>
      <c r="AR365"/>
      <c r="AS365"/>
      <c r="AT365" t="inlineStr">
        <is>
          <t>☆</t>
        </is>
      </c>
      <c r="AU365" t="inlineStr">
        <is>
          <t>☆</t>
        </is>
      </c>
      <c r="AV365" t="inlineStr">
        <is>
          <t>☆</t>
        </is>
      </c>
      <c r="AW365" t="inlineStr">
        <is>
          <t>☆</t>
        </is>
      </c>
      <c r="AX365" t="inlineStr">
        <is>
          <t>☆</t>
        </is>
      </c>
      <c r="AY365" t="inlineStr">
        <is>
          <t>☆</t>
        </is>
      </c>
      <c r="AZ365" t="inlineStr">
        <is>
          <t>☆</t>
        </is>
      </c>
      <c r="BA365" t="inlineStr">
        <is>
          <t>☆</t>
        </is>
      </c>
      <c r="BB365" t="inlineStr">
        <is>
          <t>☆</t>
        </is>
      </c>
      <c r="BC365" t="inlineStr">
        <is>
          <t>☆</t>
        </is>
      </c>
      <c r="BD365" t="inlineStr">
        <is>
          <t>☆</t>
        </is>
      </c>
      <c r="BE365" t="inlineStr">
        <is>
          <t>☆</t>
        </is>
      </c>
      <c r="BF365" t="inlineStr">
        <is>
          <t>☆</t>
        </is>
      </c>
      <c r="BG365" t="inlineStr">
        <is>
          <t>☆</t>
        </is>
      </c>
      <c r="BH365" t="inlineStr">
        <is>
          <t>☆</t>
        </is>
      </c>
      <c r="BI365" t="inlineStr">
        <is>
          <t>☆</t>
        </is>
      </c>
      <c r="BJ365" t="inlineStr">
        <is>
          <t>☆</t>
        </is>
      </c>
      <c r="BK365" t="inlineStr">
        <is>
          <t>☆</t>
        </is>
      </c>
      <c r="BL365" t="inlineStr">
        <is>
          <t>☆</t>
        </is>
      </c>
      <c r="BM365" t="inlineStr">
        <is>
          <t>☆</t>
        </is>
      </c>
      <c r="BN365" t="inlineStr">
        <is>
          <t>☆</t>
        </is>
      </c>
      <c r="BO365" t="inlineStr">
        <is>
          <t>☆</t>
        </is>
      </c>
      <c r="BP365" t="inlineStr">
        <is>
          <t>☆</t>
        </is>
      </c>
      <c r="BQ365" t="inlineStr">
        <is>
          <t>☆</t>
        </is>
      </c>
      <c r="BR365"/>
      <c r="BS365" t="inlineStr">
        <is>
          <t>#VALUE!</t>
        </is>
      </c>
    </row>
    <row r="366" ht="25.5" customHeight="1">
      <c r="A366" t="inlineStr">
        <is>
          <t>FR</t>
        </is>
      </c>
      <c r="B366" t="inlineStr">
        <is>
          <t>R0001EU</t>
        </is>
      </c>
      <c r="C366" t="inlineStr">
        <is>
          <t>R0012EU</t>
        </is>
      </c>
      <c r="D366" t="inlineStr">
        <is>
          <t>无刷精密电磨(coupon-10%）</t>
        </is>
      </c>
      <c r="E366">
        <v>31</v>
      </c>
      <c r="F366">
        <v>44.99</v>
      </c>
      <c r="G366"/>
      <c r="H366"/>
      <c r="I366"/>
      <c r="J366"/>
      <c r="K366"/>
      <c r="L366"/>
      <c r="M366"/>
      <c r="N366"/>
      <c r="O366"/>
      <c r="P366">
        <v>30</v>
      </c>
      <c r="Q366">
        <v>8</v>
      </c>
      <c r="R366"/>
      <c r="S366"/>
      <c r="T366"/>
      <c r="U366">
        <v>0.01</v>
      </c>
      <c r="V366"/>
      <c r="W366"/>
      <c r="X366">
        <v>0.188</v>
      </c>
      <c r="Y366">
        <v>6</v>
      </c>
      <c r="Z366"/>
      <c r="AA366"/>
      <c r="AB366"/>
      <c r="AC366">
        <v>80</v>
      </c>
      <c r="AD366"/>
      <c r="AE366"/>
      <c r="AF366"/>
      <c r="AG366"/>
      <c r="AH366">
        <v>6</v>
      </c>
      <c r="AI366"/>
      <c r="AJ366"/>
      <c r="AK366"/>
      <c r="AL366"/>
      <c r="AM366"/>
      <c r="AN366"/>
      <c r="AO366"/>
      <c r="AP366"/>
      <c r="AQ366"/>
      <c r="AR366"/>
      <c r="AS366"/>
      <c r="AT366" t="inlineStr">
        <is>
          <t>☆</t>
        </is>
      </c>
      <c r="AU366" t="inlineStr">
        <is>
          <t>☆</t>
        </is>
      </c>
      <c r="AV366" t="inlineStr">
        <is>
          <t>☆</t>
        </is>
      </c>
      <c r="AW366" t="inlineStr">
        <is>
          <t>☆</t>
        </is>
      </c>
      <c r="AX366" t="inlineStr">
        <is>
          <t>☆</t>
        </is>
      </c>
      <c r="AY366" t="inlineStr">
        <is>
          <t>☆</t>
        </is>
      </c>
      <c r="AZ366" t="inlineStr">
        <is>
          <t>☆</t>
        </is>
      </c>
      <c r="BA366" t="inlineStr">
        <is>
          <t>☆</t>
        </is>
      </c>
      <c r="BB366" t="inlineStr">
        <is>
          <t>☆</t>
        </is>
      </c>
      <c r="BC366" t="inlineStr">
        <is>
          <t>☆</t>
        </is>
      </c>
      <c r="BD366" t="inlineStr">
        <is>
          <t>☆</t>
        </is>
      </c>
      <c r="BE366" t="inlineStr">
        <is>
          <t>☆</t>
        </is>
      </c>
      <c r="BF366" t="inlineStr">
        <is>
          <t>☆</t>
        </is>
      </c>
      <c r="BG366" t="inlineStr">
        <is>
          <t>☆</t>
        </is>
      </c>
      <c r="BH366" t="inlineStr">
        <is>
          <t>☆</t>
        </is>
      </c>
      <c r="BI366" t="inlineStr">
        <is>
          <t>☆</t>
        </is>
      </c>
      <c r="BJ366" t="inlineStr">
        <is>
          <t>☆</t>
        </is>
      </c>
      <c r="BK366" t="inlineStr">
        <is>
          <t>☆</t>
        </is>
      </c>
      <c r="BL366" t="inlineStr">
        <is>
          <t>☆</t>
        </is>
      </c>
      <c r="BM366" t="inlineStr">
        <is>
          <t>☆</t>
        </is>
      </c>
      <c r="BN366" t="inlineStr">
        <is>
          <t>☆</t>
        </is>
      </c>
      <c r="BO366" t="inlineStr">
        <is>
          <t>☆</t>
        </is>
      </c>
      <c r="BP366" t="inlineStr">
        <is>
          <t>☆</t>
        </is>
      </c>
      <c r="BQ366" t="inlineStr">
        <is>
          <t>☆</t>
        </is>
      </c>
      <c r="BR366"/>
      <c r="BS366" t="inlineStr">
        <is>
          <t>#VALUE!</t>
        </is>
      </c>
    </row>
    <row r="367" ht="25.5" customHeight="1">
      <c r="A367" t="inlineStr">
        <is>
          <t>FR</t>
        </is>
      </c>
      <c r="B367" t="inlineStr">
        <is>
          <t>R0001EU</t>
        </is>
      </c>
      <c r="C367" t="inlineStr">
        <is>
          <t>R0012EU</t>
        </is>
      </c>
      <c r="D367" t="inlineStr">
        <is>
          <t>无刷精密电磨(coupon-15%）</t>
        </is>
      </c>
      <c r="E367">
        <v>31</v>
      </c>
      <c r="F367">
        <v>44.99</v>
      </c>
      <c r="G367"/>
      <c r="H367"/>
      <c r="I367"/>
      <c r="J367"/>
      <c r="K367"/>
      <c r="L367"/>
      <c r="M367"/>
      <c r="N367"/>
      <c r="O367"/>
      <c r="P367">
        <v>30</v>
      </c>
      <c r="Q367">
        <v>8</v>
      </c>
      <c r="R367"/>
      <c r="S367"/>
      <c r="T367"/>
      <c r="U367">
        <v>0.01</v>
      </c>
      <c r="V367"/>
      <c r="W367"/>
      <c r="X367">
        <v>0.188</v>
      </c>
      <c r="Y367">
        <v>6</v>
      </c>
      <c r="Z367"/>
      <c r="AA367"/>
      <c r="AB367"/>
      <c r="AC367">
        <v>80</v>
      </c>
      <c r="AD367"/>
      <c r="AE367"/>
      <c r="AF367"/>
      <c r="AG367"/>
      <c r="AH367">
        <v>6</v>
      </c>
      <c r="AI367"/>
      <c r="AJ367"/>
      <c r="AK367"/>
      <c r="AL367"/>
      <c r="AM367"/>
      <c r="AN367"/>
      <c r="AO367"/>
      <c r="AP367"/>
      <c r="AQ367"/>
      <c r="AR367"/>
      <c r="AS367"/>
      <c r="AT367" t="inlineStr">
        <is>
          <t>☆</t>
        </is>
      </c>
      <c r="AU367" t="inlineStr">
        <is>
          <t>☆</t>
        </is>
      </c>
      <c r="AV367" t="inlineStr">
        <is>
          <t>☆</t>
        </is>
      </c>
      <c r="AW367" t="inlineStr">
        <is>
          <t>☆</t>
        </is>
      </c>
      <c r="AX367" t="inlineStr">
        <is>
          <t>☆</t>
        </is>
      </c>
      <c r="AY367" t="inlineStr">
        <is>
          <t>☆</t>
        </is>
      </c>
      <c r="AZ367" t="inlineStr">
        <is>
          <t>☆</t>
        </is>
      </c>
      <c r="BA367" t="inlineStr">
        <is>
          <t>☆</t>
        </is>
      </c>
      <c r="BB367" t="inlineStr">
        <is>
          <t>☆</t>
        </is>
      </c>
      <c r="BC367" t="inlineStr">
        <is>
          <t>☆</t>
        </is>
      </c>
      <c r="BD367" t="inlineStr">
        <is>
          <t>☆</t>
        </is>
      </c>
      <c r="BE367" t="inlineStr">
        <is>
          <t>☆</t>
        </is>
      </c>
      <c r="BF367" t="inlineStr">
        <is>
          <t>☆</t>
        </is>
      </c>
      <c r="BG367" t="inlineStr">
        <is>
          <t>☆</t>
        </is>
      </c>
      <c r="BH367" t="inlineStr">
        <is>
          <t>☆</t>
        </is>
      </c>
      <c r="BI367" t="inlineStr">
        <is>
          <t>☆</t>
        </is>
      </c>
      <c r="BJ367" t="inlineStr">
        <is>
          <t>☆</t>
        </is>
      </c>
      <c r="BK367" t="inlineStr">
        <is>
          <t>☆</t>
        </is>
      </c>
      <c r="BL367" t="inlineStr">
        <is>
          <t>☆</t>
        </is>
      </c>
      <c r="BM367" t="inlineStr">
        <is>
          <t>☆</t>
        </is>
      </c>
      <c r="BN367" t="inlineStr">
        <is>
          <t>☆</t>
        </is>
      </c>
      <c r="BO367" t="inlineStr">
        <is>
          <t>☆</t>
        </is>
      </c>
      <c r="BP367" t="inlineStr">
        <is>
          <t>☆</t>
        </is>
      </c>
      <c r="BQ367" t="inlineStr">
        <is>
          <t>☆</t>
        </is>
      </c>
      <c r="BR367"/>
      <c r="BS367" t="inlineStr">
        <is>
          <t>#VALUE!</t>
        </is>
      </c>
    </row>
    <row r="368" ht="25.5" customHeight="1">
      <c r="A368" t="inlineStr">
        <is>
          <t>IT</t>
        </is>
      </c>
      <c r="B368" t="inlineStr">
        <is>
          <t>R0001EU</t>
        </is>
      </c>
      <c r="C368" t="inlineStr">
        <is>
          <t>R0012EU</t>
        </is>
      </c>
      <c r="D368" t="inlineStr">
        <is>
          <t>无刷精密电磨(coupon-0%）</t>
        </is>
      </c>
      <c r="E368">
        <v>31</v>
      </c>
      <c r="F368">
        <v>44.99</v>
      </c>
      <c r="G368"/>
      <c r="H368"/>
      <c r="I368"/>
      <c r="J368"/>
      <c r="K368"/>
      <c r="L368"/>
      <c r="M368"/>
      <c r="N368"/>
      <c r="O368"/>
      <c r="P368">
        <v>30</v>
      </c>
      <c r="Q368">
        <v>8</v>
      </c>
      <c r="R368"/>
      <c r="S368"/>
      <c r="T368"/>
      <c r="U368">
        <v>0.01</v>
      </c>
      <c r="V368"/>
      <c r="W368"/>
      <c r="X368">
        <v>0.188</v>
      </c>
      <c r="Y368">
        <v>6</v>
      </c>
      <c r="Z368">
        <v>0</v>
      </c>
      <c r="AA368"/>
      <c r="AB368"/>
      <c r="AC368">
        <v>80</v>
      </c>
      <c r="AD368"/>
      <c r="AE368"/>
      <c r="AF368"/>
      <c r="AG368"/>
      <c r="AH368">
        <v>6</v>
      </c>
      <c r="AI368"/>
      <c r="AJ368"/>
      <c r="AK368"/>
      <c r="AL368"/>
      <c r="AM368"/>
      <c r="AN368"/>
      <c r="AO368"/>
      <c r="AP368"/>
      <c r="AQ368"/>
      <c r="AR368"/>
      <c r="AS368"/>
      <c r="AT368" t="inlineStr">
        <is>
          <t>☆</t>
        </is>
      </c>
      <c r="AU368" t="inlineStr">
        <is>
          <t>☆</t>
        </is>
      </c>
      <c r="AV368" t="inlineStr">
        <is>
          <t>☆</t>
        </is>
      </c>
      <c r="AW368" t="inlineStr">
        <is>
          <t>☆</t>
        </is>
      </c>
      <c r="AX368" t="inlineStr">
        <is>
          <t>☆</t>
        </is>
      </c>
      <c r="AY368" t="inlineStr">
        <is>
          <t>☆</t>
        </is>
      </c>
      <c r="AZ368" t="inlineStr">
        <is>
          <t>☆</t>
        </is>
      </c>
      <c r="BA368" t="inlineStr">
        <is>
          <t>☆</t>
        </is>
      </c>
      <c r="BB368" t="inlineStr">
        <is>
          <t>☆</t>
        </is>
      </c>
      <c r="BC368" t="inlineStr">
        <is>
          <t>☆</t>
        </is>
      </c>
      <c r="BD368" t="inlineStr">
        <is>
          <t>☆</t>
        </is>
      </c>
      <c r="BE368" t="inlineStr">
        <is>
          <t>☆</t>
        </is>
      </c>
      <c r="BF368" t="inlineStr">
        <is>
          <t>☆</t>
        </is>
      </c>
      <c r="BG368" t="inlineStr">
        <is>
          <t>☆</t>
        </is>
      </c>
      <c r="BH368" t="inlineStr">
        <is>
          <t>☆</t>
        </is>
      </c>
      <c r="BI368" t="inlineStr">
        <is>
          <t>☆</t>
        </is>
      </c>
      <c r="BJ368" t="inlineStr">
        <is>
          <t>☆</t>
        </is>
      </c>
      <c r="BK368" t="inlineStr">
        <is>
          <t>☆</t>
        </is>
      </c>
      <c r="BL368" t="inlineStr">
        <is>
          <t>☆</t>
        </is>
      </c>
      <c r="BM368" t="inlineStr">
        <is>
          <t>☆</t>
        </is>
      </c>
      <c r="BN368" t="inlineStr">
        <is>
          <t>☆</t>
        </is>
      </c>
      <c r="BO368" t="inlineStr">
        <is>
          <t>☆</t>
        </is>
      </c>
      <c r="BP368" t="inlineStr">
        <is>
          <t>☆</t>
        </is>
      </c>
      <c r="BQ368" t="inlineStr">
        <is>
          <t>☆</t>
        </is>
      </c>
      <c r="BR368"/>
      <c r="BS368" t="inlineStr">
        <is>
          <t>#VALUE!</t>
        </is>
      </c>
    </row>
    <row r="369" ht="25.5" customHeight="1">
      <c r="A369" t="inlineStr">
        <is>
          <t>IT</t>
        </is>
      </c>
      <c r="B369" t="inlineStr">
        <is>
          <t>R0001EU</t>
        </is>
      </c>
      <c r="C369" t="inlineStr">
        <is>
          <t>R0012EU</t>
        </is>
      </c>
      <c r="D369" t="inlineStr">
        <is>
          <t>无刷精密电磨(coupon-10%）</t>
        </is>
      </c>
      <c r="E369">
        <v>31</v>
      </c>
      <c r="F369">
        <v>44.99</v>
      </c>
      <c r="G369"/>
      <c r="H369"/>
      <c r="I369"/>
      <c r="J369"/>
      <c r="K369"/>
      <c r="L369"/>
      <c r="M369"/>
      <c r="N369"/>
      <c r="O369"/>
      <c r="P369">
        <v>30</v>
      </c>
      <c r="Q369">
        <v>8</v>
      </c>
      <c r="R369"/>
      <c r="S369"/>
      <c r="T369"/>
      <c r="U369">
        <v>0.01</v>
      </c>
      <c r="V369"/>
      <c r="W369"/>
      <c r="X369">
        <v>0.188</v>
      </c>
      <c r="Y369">
        <v>6</v>
      </c>
      <c r="Z369"/>
      <c r="AA369"/>
      <c r="AB369"/>
      <c r="AC369">
        <v>80</v>
      </c>
      <c r="AD369"/>
      <c r="AE369"/>
      <c r="AF369"/>
      <c r="AG369"/>
      <c r="AH369">
        <v>6</v>
      </c>
      <c r="AI369"/>
      <c r="AJ369"/>
      <c r="AK369"/>
      <c r="AL369"/>
      <c r="AM369"/>
      <c r="AN369"/>
      <c r="AO369"/>
      <c r="AP369"/>
      <c r="AQ369"/>
      <c r="AR369"/>
      <c r="AS369"/>
      <c r="AT369" t="inlineStr">
        <is>
          <t>☆</t>
        </is>
      </c>
      <c r="AU369" t="inlineStr">
        <is>
          <t>☆</t>
        </is>
      </c>
      <c r="AV369" t="inlineStr">
        <is>
          <t>☆</t>
        </is>
      </c>
      <c r="AW369" t="inlineStr">
        <is>
          <t>☆</t>
        </is>
      </c>
      <c r="AX369" t="inlineStr">
        <is>
          <t>☆</t>
        </is>
      </c>
      <c r="AY369" t="inlineStr">
        <is>
          <t>☆</t>
        </is>
      </c>
      <c r="AZ369" t="inlineStr">
        <is>
          <t>☆</t>
        </is>
      </c>
      <c r="BA369" t="inlineStr">
        <is>
          <t>☆</t>
        </is>
      </c>
      <c r="BB369" t="inlineStr">
        <is>
          <t>☆</t>
        </is>
      </c>
      <c r="BC369" t="inlineStr">
        <is>
          <t>☆</t>
        </is>
      </c>
      <c r="BD369" t="inlineStr">
        <is>
          <t>☆</t>
        </is>
      </c>
      <c r="BE369" t="inlineStr">
        <is>
          <t>☆</t>
        </is>
      </c>
      <c r="BF369" t="inlineStr">
        <is>
          <t>☆</t>
        </is>
      </c>
      <c r="BG369" t="inlineStr">
        <is>
          <t>☆</t>
        </is>
      </c>
      <c r="BH369" t="inlineStr">
        <is>
          <t>☆</t>
        </is>
      </c>
      <c r="BI369" t="inlineStr">
        <is>
          <t>☆</t>
        </is>
      </c>
      <c r="BJ369" t="inlineStr">
        <is>
          <t>☆</t>
        </is>
      </c>
      <c r="BK369" t="inlineStr">
        <is>
          <t>☆</t>
        </is>
      </c>
      <c r="BL369" t="inlineStr">
        <is>
          <t>☆</t>
        </is>
      </c>
      <c r="BM369" t="inlineStr">
        <is>
          <t>☆</t>
        </is>
      </c>
      <c r="BN369" t="inlineStr">
        <is>
          <t>☆</t>
        </is>
      </c>
      <c r="BO369" t="inlineStr">
        <is>
          <t>☆</t>
        </is>
      </c>
      <c r="BP369" t="inlineStr">
        <is>
          <t>☆</t>
        </is>
      </c>
      <c r="BQ369" t="inlineStr">
        <is>
          <t>☆</t>
        </is>
      </c>
      <c r="BR369"/>
      <c r="BS369" t="inlineStr">
        <is>
          <t>#VALUE!</t>
        </is>
      </c>
    </row>
    <row r="370" ht="25.5" customHeight="1">
      <c r="A370" t="inlineStr">
        <is>
          <t>IT</t>
        </is>
      </c>
      <c r="B370" t="inlineStr">
        <is>
          <t>R0001EU</t>
        </is>
      </c>
      <c r="C370" t="inlineStr">
        <is>
          <t>R0012EU</t>
        </is>
      </c>
      <c r="D370" t="inlineStr">
        <is>
          <t>无刷精密电磨(coupon-15%）</t>
        </is>
      </c>
      <c r="E370">
        <v>31</v>
      </c>
      <c r="F370">
        <v>44.99</v>
      </c>
      <c r="G370"/>
      <c r="H370"/>
      <c r="I370"/>
      <c r="J370"/>
      <c r="K370"/>
      <c r="L370"/>
      <c r="M370"/>
      <c r="N370"/>
      <c r="O370"/>
      <c r="P370">
        <v>30</v>
      </c>
      <c r="Q370">
        <v>8</v>
      </c>
      <c r="R370"/>
      <c r="S370"/>
      <c r="T370"/>
      <c r="U370">
        <v>0.01</v>
      </c>
      <c r="V370"/>
      <c r="W370"/>
      <c r="X370">
        <v>0.188</v>
      </c>
      <c r="Y370">
        <v>6</v>
      </c>
      <c r="Z370"/>
      <c r="AA370"/>
      <c r="AB370"/>
      <c r="AC370">
        <v>80</v>
      </c>
      <c r="AD370"/>
      <c r="AE370"/>
      <c r="AF370"/>
      <c r="AG370"/>
      <c r="AH370">
        <v>6</v>
      </c>
      <c r="AI370"/>
      <c r="AJ370"/>
      <c r="AK370"/>
      <c r="AL370"/>
      <c r="AM370"/>
      <c r="AN370"/>
      <c r="AO370"/>
      <c r="AP370"/>
      <c r="AQ370"/>
      <c r="AR370"/>
      <c r="AS370"/>
      <c r="AT370" t="inlineStr">
        <is>
          <t>☆</t>
        </is>
      </c>
      <c r="AU370" t="inlineStr">
        <is>
          <t>☆</t>
        </is>
      </c>
      <c r="AV370" t="inlineStr">
        <is>
          <t>☆</t>
        </is>
      </c>
      <c r="AW370" t="inlineStr">
        <is>
          <t>☆</t>
        </is>
      </c>
      <c r="AX370" t="inlineStr">
        <is>
          <t>☆</t>
        </is>
      </c>
      <c r="AY370" t="inlineStr">
        <is>
          <t>☆</t>
        </is>
      </c>
      <c r="AZ370" t="inlineStr">
        <is>
          <t>☆</t>
        </is>
      </c>
      <c r="BA370" t="inlineStr">
        <is>
          <t>☆</t>
        </is>
      </c>
      <c r="BB370" t="inlineStr">
        <is>
          <t>☆</t>
        </is>
      </c>
      <c r="BC370" t="inlineStr">
        <is>
          <t>☆</t>
        </is>
      </c>
      <c r="BD370" t="inlineStr">
        <is>
          <t>☆</t>
        </is>
      </c>
      <c r="BE370" t="inlineStr">
        <is>
          <t>☆</t>
        </is>
      </c>
      <c r="BF370" t="inlineStr">
        <is>
          <t>☆</t>
        </is>
      </c>
      <c r="BG370" t="inlineStr">
        <is>
          <t>☆</t>
        </is>
      </c>
      <c r="BH370" t="inlineStr">
        <is>
          <t>☆</t>
        </is>
      </c>
      <c r="BI370" t="inlineStr">
        <is>
          <t>☆</t>
        </is>
      </c>
      <c r="BJ370" t="inlineStr">
        <is>
          <t>☆</t>
        </is>
      </c>
      <c r="BK370" t="inlineStr">
        <is>
          <t>☆</t>
        </is>
      </c>
      <c r="BL370" t="inlineStr">
        <is>
          <t>☆</t>
        </is>
      </c>
      <c r="BM370" t="inlineStr">
        <is>
          <t>☆</t>
        </is>
      </c>
      <c r="BN370" t="inlineStr">
        <is>
          <t>☆</t>
        </is>
      </c>
      <c r="BO370" t="inlineStr">
        <is>
          <t>☆</t>
        </is>
      </c>
      <c r="BP370" t="inlineStr">
        <is>
          <t>☆</t>
        </is>
      </c>
      <c r="BQ370" t="inlineStr">
        <is>
          <t>☆</t>
        </is>
      </c>
      <c r="BR370"/>
      <c r="BS370" t="inlineStr">
        <is>
          <t>#VALUE!</t>
        </is>
      </c>
    </row>
    <row r="371" ht="25.5" customHeight="1">
      <c r="A371" t="inlineStr">
        <is>
          <t>ES</t>
        </is>
      </c>
      <c r="B371" t="inlineStr">
        <is>
          <t>R0001EU</t>
        </is>
      </c>
      <c r="C371" t="inlineStr">
        <is>
          <t>R0012EU</t>
        </is>
      </c>
      <c r="D371" t="inlineStr">
        <is>
          <t>无刷精密电磨(coupon-0%）</t>
        </is>
      </c>
      <c r="E371">
        <v>31</v>
      </c>
      <c r="F371">
        <v>44.99</v>
      </c>
      <c r="G371"/>
      <c r="H371"/>
      <c r="I371"/>
      <c r="J371"/>
      <c r="K371"/>
      <c r="L371"/>
      <c r="M371"/>
      <c r="N371"/>
      <c r="O371"/>
      <c r="P371">
        <v>30</v>
      </c>
      <c r="Q371">
        <v>8</v>
      </c>
      <c r="R371"/>
      <c r="S371"/>
      <c r="T371"/>
      <c r="U371">
        <v>0.01</v>
      </c>
      <c r="V371"/>
      <c r="W371"/>
      <c r="X371">
        <v>0.188</v>
      </c>
      <c r="Y371">
        <v>6</v>
      </c>
      <c r="Z371">
        <v>0</v>
      </c>
      <c r="AA371"/>
      <c r="AB371"/>
      <c r="AC371">
        <v>80</v>
      </c>
      <c r="AD371"/>
      <c r="AE371"/>
      <c r="AF371"/>
      <c r="AG371"/>
      <c r="AH371">
        <v>6</v>
      </c>
      <c r="AI371"/>
      <c r="AJ371"/>
      <c r="AK371"/>
      <c r="AL371"/>
      <c r="AM371"/>
      <c r="AN371"/>
      <c r="AO371"/>
      <c r="AP371"/>
      <c r="AQ371"/>
      <c r="AR371"/>
      <c r="AS371"/>
      <c r="AT371" t="inlineStr">
        <is>
          <t>☆</t>
        </is>
      </c>
      <c r="AU371" t="inlineStr">
        <is>
          <t>☆</t>
        </is>
      </c>
      <c r="AV371" t="inlineStr">
        <is>
          <t>☆</t>
        </is>
      </c>
      <c r="AW371" t="inlineStr">
        <is>
          <t>☆</t>
        </is>
      </c>
      <c r="AX371" t="inlineStr">
        <is>
          <t>☆</t>
        </is>
      </c>
      <c r="AY371" t="inlineStr">
        <is>
          <t>☆</t>
        </is>
      </c>
      <c r="AZ371" t="inlineStr">
        <is>
          <t>☆</t>
        </is>
      </c>
      <c r="BA371" t="inlineStr">
        <is>
          <t>☆</t>
        </is>
      </c>
      <c r="BB371" t="inlineStr">
        <is>
          <t>☆</t>
        </is>
      </c>
      <c r="BC371" t="inlineStr">
        <is>
          <t>☆</t>
        </is>
      </c>
      <c r="BD371" t="inlineStr">
        <is>
          <t>☆</t>
        </is>
      </c>
      <c r="BE371" t="inlineStr">
        <is>
          <t>☆</t>
        </is>
      </c>
      <c r="BF371" t="inlineStr">
        <is>
          <t>☆</t>
        </is>
      </c>
      <c r="BG371" t="inlineStr">
        <is>
          <t>☆</t>
        </is>
      </c>
      <c r="BH371" t="inlineStr">
        <is>
          <t>☆</t>
        </is>
      </c>
      <c r="BI371" t="inlineStr">
        <is>
          <t>☆</t>
        </is>
      </c>
      <c r="BJ371" t="inlineStr">
        <is>
          <t>☆</t>
        </is>
      </c>
      <c r="BK371" t="inlineStr">
        <is>
          <t>☆</t>
        </is>
      </c>
      <c r="BL371" t="inlineStr">
        <is>
          <t>☆</t>
        </is>
      </c>
      <c r="BM371" t="inlineStr">
        <is>
          <t>☆</t>
        </is>
      </c>
      <c r="BN371" t="inlineStr">
        <is>
          <t>☆</t>
        </is>
      </c>
      <c r="BO371" t="inlineStr">
        <is>
          <t>☆</t>
        </is>
      </c>
      <c r="BP371" t="inlineStr">
        <is>
          <t>☆</t>
        </is>
      </c>
      <c r="BQ371" t="inlineStr">
        <is>
          <t>☆</t>
        </is>
      </c>
      <c r="BR371"/>
      <c r="BS371" t="inlineStr">
        <is>
          <t>#VALUE!</t>
        </is>
      </c>
    </row>
    <row r="372" ht="25.5" customHeight="1">
      <c r="A372" t="inlineStr">
        <is>
          <t>ES</t>
        </is>
      </c>
      <c r="B372" t="inlineStr">
        <is>
          <t>R0001EU</t>
        </is>
      </c>
      <c r="C372" t="inlineStr">
        <is>
          <t>R0012EU</t>
        </is>
      </c>
      <c r="D372" t="inlineStr">
        <is>
          <t>无刷精密电磨(coupon-10%）</t>
        </is>
      </c>
      <c r="E372">
        <v>31</v>
      </c>
      <c r="F372">
        <v>44.99</v>
      </c>
      <c r="G372"/>
      <c r="H372"/>
      <c r="I372"/>
      <c r="J372"/>
      <c r="K372"/>
      <c r="L372"/>
      <c r="M372"/>
      <c r="N372"/>
      <c r="O372"/>
      <c r="P372">
        <v>30</v>
      </c>
      <c r="Q372">
        <v>8</v>
      </c>
      <c r="R372"/>
      <c r="S372"/>
      <c r="T372"/>
      <c r="U372">
        <v>0.01</v>
      </c>
      <c r="V372"/>
      <c r="W372"/>
      <c r="X372">
        <v>0.188</v>
      </c>
      <c r="Y372">
        <v>6</v>
      </c>
      <c r="Z372"/>
      <c r="AA372"/>
      <c r="AB372"/>
      <c r="AC372">
        <v>80</v>
      </c>
      <c r="AD372"/>
      <c r="AE372"/>
      <c r="AF372"/>
      <c r="AG372"/>
      <c r="AH372">
        <v>6</v>
      </c>
      <c r="AI372"/>
      <c r="AJ372"/>
      <c r="AK372"/>
      <c r="AL372"/>
      <c r="AM372"/>
      <c r="AN372"/>
      <c r="AO372"/>
      <c r="AP372"/>
      <c r="AQ372"/>
      <c r="AR372"/>
      <c r="AS372"/>
      <c r="AT372" t="inlineStr">
        <is>
          <t>☆</t>
        </is>
      </c>
      <c r="AU372" t="inlineStr">
        <is>
          <t>☆</t>
        </is>
      </c>
      <c r="AV372" t="inlineStr">
        <is>
          <t>☆</t>
        </is>
      </c>
      <c r="AW372" t="inlineStr">
        <is>
          <t>☆</t>
        </is>
      </c>
      <c r="AX372" t="inlineStr">
        <is>
          <t>☆</t>
        </is>
      </c>
      <c r="AY372" t="inlineStr">
        <is>
          <t>☆</t>
        </is>
      </c>
      <c r="AZ372" t="inlineStr">
        <is>
          <t>☆</t>
        </is>
      </c>
      <c r="BA372" t="inlineStr">
        <is>
          <t>☆</t>
        </is>
      </c>
      <c r="BB372" t="inlineStr">
        <is>
          <t>☆</t>
        </is>
      </c>
      <c r="BC372" t="inlineStr">
        <is>
          <t>☆</t>
        </is>
      </c>
      <c r="BD372" t="inlineStr">
        <is>
          <t>☆</t>
        </is>
      </c>
      <c r="BE372" t="inlineStr">
        <is>
          <t>☆</t>
        </is>
      </c>
      <c r="BF372" t="inlineStr">
        <is>
          <t>☆</t>
        </is>
      </c>
      <c r="BG372" t="inlineStr">
        <is>
          <t>☆</t>
        </is>
      </c>
      <c r="BH372" t="inlineStr">
        <is>
          <t>☆</t>
        </is>
      </c>
      <c r="BI372" t="inlineStr">
        <is>
          <t>☆</t>
        </is>
      </c>
      <c r="BJ372" t="inlineStr">
        <is>
          <t>☆</t>
        </is>
      </c>
      <c r="BK372" t="inlineStr">
        <is>
          <t>☆</t>
        </is>
      </c>
      <c r="BL372" t="inlineStr">
        <is>
          <t>☆</t>
        </is>
      </c>
      <c r="BM372" t="inlineStr">
        <is>
          <t>☆</t>
        </is>
      </c>
      <c r="BN372" t="inlineStr">
        <is>
          <t>☆</t>
        </is>
      </c>
      <c r="BO372" t="inlineStr">
        <is>
          <t>☆</t>
        </is>
      </c>
      <c r="BP372" t="inlineStr">
        <is>
          <t>☆</t>
        </is>
      </c>
      <c r="BQ372" t="inlineStr">
        <is>
          <t>☆</t>
        </is>
      </c>
      <c r="BR372"/>
      <c r="BS372" t="inlineStr">
        <is>
          <t>#VALUE!</t>
        </is>
      </c>
    </row>
    <row r="373" ht="25.5" customHeight="1">
      <c r="A373" t="inlineStr">
        <is>
          <t>ES</t>
        </is>
      </c>
      <c r="B373" t="inlineStr">
        <is>
          <t>R0001EU</t>
        </is>
      </c>
      <c r="C373" t="inlineStr">
        <is>
          <t>R0012EU</t>
        </is>
      </c>
      <c r="D373" t="inlineStr">
        <is>
          <t>无刷精密电磨(coupon-15%）</t>
        </is>
      </c>
      <c r="E373">
        <v>31</v>
      </c>
      <c r="F373">
        <v>44.99</v>
      </c>
      <c r="G373"/>
      <c r="H373"/>
      <c r="I373"/>
      <c r="J373"/>
      <c r="K373"/>
      <c r="L373"/>
      <c r="M373"/>
      <c r="N373"/>
      <c r="O373"/>
      <c r="P373">
        <v>30</v>
      </c>
      <c r="Q373">
        <v>8</v>
      </c>
      <c r="R373"/>
      <c r="S373"/>
      <c r="T373"/>
      <c r="U373">
        <v>0.01</v>
      </c>
      <c r="V373"/>
      <c r="W373"/>
      <c r="X373">
        <v>0.188</v>
      </c>
      <c r="Y373">
        <v>6</v>
      </c>
      <c r="Z373"/>
      <c r="AA373"/>
      <c r="AB373"/>
      <c r="AC373">
        <v>80</v>
      </c>
      <c r="AD373"/>
      <c r="AE373"/>
      <c r="AF373"/>
      <c r="AG373"/>
      <c r="AH373">
        <v>6</v>
      </c>
      <c r="AI373"/>
      <c r="AJ373"/>
      <c r="AK373"/>
      <c r="AL373"/>
      <c r="AM373"/>
      <c r="AN373"/>
      <c r="AO373"/>
      <c r="AP373"/>
      <c r="AQ373"/>
      <c r="AR373"/>
      <c r="AS373"/>
      <c r="AT373" t="inlineStr">
        <is>
          <t>☆</t>
        </is>
      </c>
      <c r="AU373" t="inlineStr">
        <is>
          <t>☆</t>
        </is>
      </c>
      <c r="AV373" t="inlineStr">
        <is>
          <t>☆</t>
        </is>
      </c>
      <c r="AW373" t="inlineStr">
        <is>
          <t>☆</t>
        </is>
      </c>
      <c r="AX373" t="inlineStr">
        <is>
          <t>☆</t>
        </is>
      </c>
      <c r="AY373" t="inlineStr">
        <is>
          <t>☆</t>
        </is>
      </c>
      <c r="AZ373" t="inlineStr">
        <is>
          <t>☆</t>
        </is>
      </c>
      <c r="BA373" t="inlineStr">
        <is>
          <t>☆</t>
        </is>
      </c>
      <c r="BB373" t="inlineStr">
        <is>
          <t>☆</t>
        </is>
      </c>
      <c r="BC373" t="inlineStr">
        <is>
          <t>☆</t>
        </is>
      </c>
      <c r="BD373" t="inlineStr">
        <is>
          <t>☆</t>
        </is>
      </c>
      <c r="BE373" t="inlineStr">
        <is>
          <t>☆</t>
        </is>
      </c>
      <c r="BF373" t="inlineStr">
        <is>
          <t>☆</t>
        </is>
      </c>
      <c r="BG373" t="inlineStr">
        <is>
          <t>☆</t>
        </is>
      </c>
      <c r="BH373" t="inlineStr">
        <is>
          <t>☆</t>
        </is>
      </c>
      <c r="BI373" t="inlineStr">
        <is>
          <t>☆</t>
        </is>
      </c>
      <c r="BJ373" t="inlineStr">
        <is>
          <t>☆</t>
        </is>
      </c>
      <c r="BK373" t="inlineStr">
        <is>
          <t>☆</t>
        </is>
      </c>
      <c r="BL373" t="inlineStr">
        <is>
          <t>☆</t>
        </is>
      </c>
      <c r="BM373" t="inlineStr">
        <is>
          <t>☆</t>
        </is>
      </c>
      <c r="BN373" t="inlineStr">
        <is>
          <t>☆</t>
        </is>
      </c>
      <c r="BO373" t="inlineStr">
        <is>
          <t>☆</t>
        </is>
      </c>
      <c r="BP373" t="inlineStr">
        <is>
          <t>☆</t>
        </is>
      </c>
      <c r="BQ373" t="inlineStr">
        <is>
          <t>☆</t>
        </is>
      </c>
      <c r="BR373"/>
      <c r="BS373" t="inlineStr">
        <is>
          <t>#VALUE!</t>
        </is>
      </c>
    </row>
    <row r="374" ht="25.5" customHeight="1">
      <c r="A374" t="inlineStr">
        <is>
          <t>NL</t>
        </is>
      </c>
      <c r="B374" t="inlineStr">
        <is>
          <t>R0001EU</t>
        </is>
      </c>
      <c r="C374" t="inlineStr">
        <is>
          <t>R0012EU</t>
        </is>
      </c>
      <c r="D374" t="inlineStr">
        <is>
          <t>无刷精密电磨荷兰</t>
        </is>
      </c>
      <c r="E374">
        <v>34.5</v>
      </c>
      <c r="F374">
        <v>49.99</v>
      </c>
      <c r="G374"/>
      <c r="H374"/>
      <c r="I374"/>
      <c r="J374"/>
      <c r="K374"/>
      <c r="L374"/>
      <c r="M374"/>
      <c r="N374"/>
      <c r="O374"/>
      <c r="P374">
        <v>30</v>
      </c>
      <c r="Q374">
        <v>8</v>
      </c>
      <c r="R374"/>
      <c r="S374"/>
      <c r="T374"/>
      <c r="U374">
        <v>0.01</v>
      </c>
      <c r="V374"/>
      <c r="W374"/>
      <c r="X374">
        <v>0.188</v>
      </c>
      <c r="Y374">
        <v>6</v>
      </c>
      <c r="Z374"/>
      <c r="AA374"/>
      <c r="AB374"/>
      <c r="AC374">
        <v>80</v>
      </c>
      <c r="AD374"/>
      <c r="AE374"/>
      <c r="AF374"/>
      <c r="AG374"/>
      <c r="AH374">
        <v>6</v>
      </c>
      <c r="AI374"/>
      <c r="AJ374"/>
      <c r="AK374"/>
      <c r="AL374"/>
      <c r="AM374"/>
      <c r="AN374"/>
      <c r="AO374"/>
      <c r="AP374"/>
      <c r="AQ374"/>
      <c r="AR374"/>
      <c r="AS374"/>
      <c r="AT374" t="inlineStr">
        <is>
          <t>☆</t>
        </is>
      </c>
      <c r="AU374" t="inlineStr">
        <is>
          <t>☆</t>
        </is>
      </c>
      <c r="AV374" t="inlineStr">
        <is>
          <t>☆</t>
        </is>
      </c>
      <c r="AW374" t="inlineStr">
        <is>
          <t>☆</t>
        </is>
      </c>
      <c r="AX374" t="inlineStr">
        <is>
          <t>☆</t>
        </is>
      </c>
      <c r="AY374" t="inlineStr">
        <is>
          <t>☆</t>
        </is>
      </c>
      <c r="AZ374" t="inlineStr">
        <is>
          <t>☆</t>
        </is>
      </c>
      <c r="BA374" t="inlineStr">
        <is>
          <t>☆</t>
        </is>
      </c>
      <c r="BB374" t="inlineStr">
        <is>
          <t>☆</t>
        </is>
      </c>
      <c r="BC374" t="inlineStr">
        <is>
          <t>☆</t>
        </is>
      </c>
      <c r="BD374" t="inlineStr">
        <is>
          <t>☆</t>
        </is>
      </c>
      <c r="BE374" t="inlineStr">
        <is>
          <t>☆</t>
        </is>
      </c>
      <c r="BF374" t="inlineStr">
        <is>
          <t>☆</t>
        </is>
      </c>
      <c r="BG374" t="inlineStr">
        <is>
          <t>☆</t>
        </is>
      </c>
      <c r="BH374" t="inlineStr">
        <is>
          <t>☆</t>
        </is>
      </c>
      <c r="BI374" t="inlineStr">
        <is>
          <t>☆</t>
        </is>
      </c>
      <c r="BJ374" t="inlineStr">
        <is>
          <t>☆</t>
        </is>
      </c>
      <c r="BK374" t="inlineStr">
        <is>
          <t>☆</t>
        </is>
      </c>
      <c r="BL374" t="inlineStr">
        <is>
          <t>☆</t>
        </is>
      </c>
      <c r="BM374" t="inlineStr">
        <is>
          <t>☆</t>
        </is>
      </c>
      <c r="BN374" t="inlineStr">
        <is>
          <t>☆</t>
        </is>
      </c>
      <c r="BO374" t="inlineStr">
        <is>
          <t>☆</t>
        </is>
      </c>
      <c r="BP374" t="inlineStr">
        <is>
          <t>☆</t>
        </is>
      </c>
      <c r="BQ374" t="inlineStr">
        <is>
          <t>☆</t>
        </is>
      </c>
      <c r="BR374"/>
      <c r="BS374" t="inlineStr">
        <is>
          <t>#VALUE!</t>
        </is>
      </c>
    </row>
    <row r="375" ht="25.5" customHeight="1">
      <c r="A375" t="inlineStr">
        <is>
          <t>PL</t>
        </is>
      </c>
      <c r="B375" t="inlineStr">
        <is>
          <t>R0001EU</t>
        </is>
      </c>
      <c r="C375" t="inlineStr">
        <is>
          <t>R0012EU</t>
        </is>
      </c>
      <c r="D375" t="inlineStr">
        <is>
          <t>无刷精密电磨波兰</t>
        </is>
      </c>
      <c r="E375">
        <v>34.5</v>
      </c>
      <c r="F375">
        <v>49.99</v>
      </c>
      <c r="G375"/>
      <c r="H375"/>
      <c r="I375"/>
      <c r="J375"/>
      <c r="K375"/>
      <c r="L375"/>
      <c r="M375"/>
      <c r="N375"/>
      <c r="O375"/>
      <c r="P375">
        <v>30</v>
      </c>
      <c r="Q375">
        <v>8</v>
      </c>
      <c r="R375"/>
      <c r="S375"/>
      <c r="T375"/>
      <c r="U375">
        <v>0.01</v>
      </c>
      <c r="V375"/>
      <c r="W375"/>
      <c r="X375">
        <v>0.188</v>
      </c>
      <c r="Y375">
        <v>6</v>
      </c>
      <c r="Z375"/>
      <c r="AA375"/>
      <c r="AB375"/>
      <c r="AC375">
        <v>80</v>
      </c>
      <c r="AD375"/>
      <c r="AE375"/>
      <c r="AF375"/>
      <c r="AG375"/>
      <c r="AH375">
        <v>6</v>
      </c>
      <c r="AI375"/>
      <c r="AJ375"/>
      <c r="AK375"/>
      <c r="AL375"/>
      <c r="AM375"/>
      <c r="AN375"/>
      <c r="AO375"/>
      <c r="AP375"/>
      <c r="AQ375"/>
      <c r="AR375"/>
      <c r="AS375"/>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c r="BS375" t="inlineStr">
        <is>
          <t>#VALUE!</t>
        </is>
      </c>
    </row>
    <row r="376" ht="25.5" customHeight="1">
      <c r="A376" t="inlineStr">
        <is>
          <t>SE</t>
        </is>
      </c>
      <c r="B376" t="inlineStr">
        <is>
          <t>R0001EU</t>
        </is>
      </c>
      <c r="C376" t="inlineStr">
        <is>
          <t>R0012EU</t>
        </is>
      </c>
      <c r="D376" t="inlineStr">
        <is>
          <t>无刷精密电磨瑞典</t>
        </is>
      </c>
      <c r="E376">
        <v>34.5</v>
      </c>
      <c r="F376">
        <v>49.99</v>
      </c>
      <c r="G376"/>
      <c r="H376"/>
      <c r="I376"/>
      <c r="J376"/>
      <c r="K376"/>
      <c r="L376"/>
      <c r="M376"/>
      <c r="N376"/>
      <c r="O376"/>
      <c r="P376">
        <v>30</v>
      </c>
      <c r="Q376">
        <v>8</v>
      </c>
      <c r="R376"/>
      <c r="S376"/>
      <c r="T376"/>
      <c r="U376">
        <v>0.01</v>
      </c>
      <c r="V376"/>
      <c r="W376"/>
      <c r="X376">
        <v>0.188</v>
      </c>
      <c r="Y376">
        <v>6</v>
      </c>
      <c r="Z376"/>
      <c r="AA376"/>
      <c r="AB376"/>
      <c r="AC376">
        <v>80</v>
      </c>
      <c r="AD376"/>
      <c r="AE376"/>
      <c r="AF376"/>
      <c r="AG376"/>
      <c r="AH376">
        <v>6</v>
      </c>
      <c r="AI376"/>
      <c r="AJ376"/>
      <c r="AK376"/>
      <c r="AL376"/>
      <c r="AM376"/>
      <c r="AN376"/>
      <c r="AO376"/>
      <c r="AP376"/>
      <c r="AQ376"/>
      <c r="AR376"/>
      <c r="AS376"/>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c r="BS376" t="inlineStr">
        <is>
          <t>#VALUE!</t>
        </is>
      </c>
    </row>
    <row r="377" ht="25.5" customHeight="1">
      <c r="A377" t="inlineStr">
        <is>
          <t>BE</t>
        </is>
      </c>
      <c r="B377" t="inlineStr">
        <is>
          <t>R0001EU</t>
        </is>
      </c>
      <c r="C377" t="inlineStr">
        <is>
          <t>R0012EU</t>
        </is>
      </c>
      <c r="D377" t="inlineStr">
        <is>
          <t>无刷精密电磨比利时</t>
        </is>
      </c>
      <c r="E377">
        <v>34.5</v>
      </c>
      <c r="F377">
        <v>49.99</v>
      </c>
      <c r="G377"/>
      <c r="H377"/>
      <c r="I377"/>
      <c r="J377"/>
      <c r="K377"/>
      <c r="L377"/>
      <c r="M377"/>
      <c r="N377"/>
      <c r="O377"/>
      <c r="P377">
        <v>30</v>
      </c>
      <c r="Q377">
        <v>8</v>
      </c>
      <c r="R377"/>
      <c r="S377"/>
      <c r="T377"/>
      <c r="U377">
        <v>0.01</v>
      </c>
      <c r="V377"/>
      <c r="W377"/>
      <c r="X377">
        <v>0.188</v>
      </c>
      <c r="Y377">
        <v>6</v>
      </c>
      <c r="Z377"/>
      <c r="AA377"/>
      <c r="AB377"/>
      <c r="AC377">
        <v>80</v>
      </c>
      <c r="AD377"/>
      <c r="AE377"/>
      <c r="AF377"/>
      <c r="AG377"/>
      <c r="AH377">
        <v>6</v>
      </c>
      <c r="AI377"/>
      <c r="AJ377"/>
      <c r="AK377"/>
      <c r="AL377"/>
      <c r="AM377"/>
      <c r="AN377"/>
      <c r="AO377"/>
      <c r="AP377"/>
      <c r="AQ377"/>
      <c r="AR377"/>
      <c r="AS377"/>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c r="BS377" t="inlineStr">
        <is>
          <t>#VALUE!</t>
        </is>
      </c>
    </row>
    <row r="378" ht="25.5" customHeight="1">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row>
    <row r="379" ht="25.5" customHeight="1">
      <c r="A379" t="inlineStr">
        <is>
          <t>UK</t>
        </is>
      </c>
      <c r="B379" t="inlineStr">
        <is>
          <t>R0001EU</t>
        </is>
      </c>
      <c r="C379" t="inlineStr">
        <is>
          <t>R0013EU</t>
        </is>
      </c>
      <c r="D379" t="inlineStr">
        <is>
          <t>电磨(coupon-0%）</t>
        </is>
      </c>
      <c r="E379">
        <v>27.6</v>
      </c>
      <c r="F379">
        <v>39.99</v>
      </c>
      <c r="G379"/>
      <c r="H379"/>
      <c r="I379"/>
      <c r="J379"/>
      <c r="K379"/>
      <c r="L379"/>
      <c r="M379"/>
      <c r="N379"/>
      <c r="O379"/>
      <c r="P379">
        <v>30</v>
      </c>
      <c r="Q379">
        <v>9</v>
      </c>
      <c r="R379"/>
      <c r="S379"/>
      <c r="T379"/>
      <c r="U379">
        <v>0.01</v>
      </c>
      <c r="V379"/>
      <c r="W379"/>
      <c r="X379">
        <v>0.178</v>
      </c>
      <c r="Y379">
        <v>5</v>
      </c>
      <c r="Z379">
        <v>0</v>
      </c>
      <c r="AA379"/>
      <c r="AB379"/>
      <c r="AC379">
        <v>90</v>
      </c>
      <c r="AD379"/>
      <c r="AE379"/>
      <c r="AF379"/>
      <c r="AG379"/>
      <c r="AH379">
        <v>8</v>
      </c>
      <c r="AI379"/>
      <c r="AJ379"/>
      <c r="AK379"/>
      <c r="AL379"/>
      <c r="AM379"/>
      <c r="AN379"/>
      <c r="AO379"/>
      <c r="AP379"/>
      <c r="AQ379"/>
      <c r="AR379"/>
      <c r="AS379"/>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c r="BS379" t="inlineStr">
        <is>
          <t>#VALUE!</t>
        </is>
      </c>
    </row>
    <row r="380" ht="25.5" customHeight="1">
      <c r="A380" t="inlineStr">
        <is>
          <t>UK</t>
        </is>
      </c>
      <c r="B380" t="inlineStr">
        <is>
          <t>R0001EU</t>
        </is>
      </c>
      <c r="C380" t="inlineStr">
        <is>
          <t>R0013EU</t>
        </is>
      </c>
      <c r="D380" t="inlineStr">
        <is>
          <t>电磨(coupon-10%）</t>
        </is>
      </c>
      <c r="E380">
        <v>27.6</v>
      </c>
      <c r="F380">
        <v>39.99</v>
      </c>
      <c r="G380"/>
      <c r="H380"/>
      <c r="I380"/>
      <c r="J380"/>
      <c r="K380"/>
      <c r="L380"/>
      <c r="M380"/>
      <c r="N380"/>
      <c r="O380"/>
      <c r="P380">
        <v>30</v>
      </c>
      <c r="Q380">
        <v>9</v>
      </c>
      <c r="R380"/>
      <c r="S380"/>
      <c r="T380"/>
      <c r="U380">
        <v>0.01</v>
      </c>
      <c r="V380"/>
      <c r="W380"/>
      <c r="X380">
        <v>0.178</v>
      </c>
      <c r="Y380">
        <v>5</v>
      </c>
      <c r="Z380"/>
      <c r="AA380"/>
      <c r="AB380"/>
      <c r="AC380">
        <v>90</v>
      </c>
      <c r="AD380"/>
      <c r="AE380"/>
      <c r="AF380"/>
      <c r="AG380"/>
      <c r="AH380">
        <v>8</v>
      </c>
      <c r="AI380"/>
      <c r="AJ380"/>
      <c r="AK380"/>
      <c r="AL380"/>
      <c r="AM380"/>
      <c r="AN380"/>
      <c r="AO380"/>
      <c r="AP380"/>
      <c r="AQ380"/>
      <c r="AR380"/>
      <c r="AS380"/>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c r="BS380" t="inlineStr">
        <is>
          <t>#VALUE!</t>
        </is>
      </c>
    </row>
    <row r="381" ht="25.5" customHeight="1">
      <c r="A381" t="inlineStr">
        <is>
          <t>UK</t>
        </is>
      </c>
      <c r="B381" t="inlineStr">
        <is>
          <t>R0001EU</t>
        </is>
      </c>
      <c r="C381" t="inlineStr">
        <is>
          <t>R0013EU</t>
        </is>
      </c>
      <c r="D381" t="inlineStr">
        <is>
          <t>电磨(coupon-15%）</t>
        </is>
      </c>
      <c r="E381">
        <v>27.6</v>
      </c>
      <c r="F381">
        <v>39.99</v>
      </c>
      <c r="G381"/>
      <c r="H381"/>
      <c r="I381"/>
      <c r="J381"/>
      <c r="K381"/>
      <c r="L381"/>
      <c r="M381"/>
      <c r="N381"/>
      <c r="O381"/>
      <c r="P381">
        <v>30</v>
      </c>
      <c r="Q381">
        <v>9</v>
      </c>
      <c r="R381"/>
      <c r="S381"/>
      <c r="T381"/>
      <c r="U381">
        <v>0.01</v>
      </c>
      <c r="V381"/>
      <c r="W381"/>
      <c r="X381">
        <v>0.178</v>
      </c>
      <c r="Y381">
        <v>5</v>
      </c>
      <c r="Z381"/>
      <c r="AA381"/>
      <c r="AB381"/>
      <c r="AC381">
        <v>90</v>
      </c>
      <c r="AD381"/>
      <c r="AE381"/>
      <c r="AF381"/>
      <c r="AG381"/>
      <c r="AH381">
        <v>8</v>
      </c>
      <c r="AI381"/>
      <c r="AJ381"/>
      <c r="AK381"/>
      <c r="AL381"/>
      <c r="AM381"/>
      <c r="AN381"/>
      <c r="AO381"/>
      <c r="AP381"/>
      <c r="AQ381"/>
      <c r="AR381"/>
      <c r="AS381"/>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c r="BS381" t="inlineStr">
        <is>
          <t>#VALUE!</t>
        </is>
      </c>
    </row>
    <row r="382" ht="25.5" customHeight="1">
      <c r="A382" t="inlineStr">
        <is>
          <t>DE</t>
        </is>
      </c>
      <c r="B382" t="inlineStr">
        <is>
          <t>R0001EU</t>
        </is>
      </c>
      <c r="C382" t="inlineStr">
        <is>
          <t>R0013EU</t>
        </is>
      </c>
      <c r="D382" t="inlineStr">
        <is>
          <t>电磨(coupon-0%）</t>
        </is>
      </c>
      <c r="E382">
        <v>31</v>
      </c>
      <c r="F382">
        <v>44.99</v>
      </c>
      <c r="G382"/>
      <c r="H382"/>
      <c r="I382"/>
      <c r="J382"/>
      <c r="K382"/>
      <c r="L382"/>
      <c r="M382"/>
      <c r="N382"/>
      <c r="O382"/>
      <c r="P382">
        <v>30</v>
      </c>
      <c r="Q382">
        <v>8</v>
      </c>
      <c r="R382"/>
      <c r="S382"/>
      <c r="T382"/>
      <c r="U382">
        <v>0.01</v>
      </c>
      <c r="V382"/>
      <c r="W382"/>
      <c r="X382">
        <v>0.188</v>
      </c>
      <c r="Y382">
        <v>5</v>
      </c>
      <c r="Z382">
        <v>0</v>
      </c>
      <c r="AA382"/>
      <c r="AB382"/>
      <c r="AC382">
        <v>90</v>
      </c>
      <c r="AD382"/>
      <c r="AE382"/>
      <c r="AF382"/>
      <c r="AG382"/>
      <c r="AH382">
        <v>8</v>
      </c>
      <c r="AI382"/>
      <c r="AJ382"/>
      <c r="AK382"/>
      <c r="AL382"/>
      <c r="AM382"/>
      <c r="AN382"/>
      <c r="AO382"/>
      <c r="AP382"/>
      <c r="AQ382"/>
      <c r="AR382"/>
      <c r="AS382"/>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c r="BS382" t="inlineStr">
        <is>
          <t>#VALUE!</t>
        </is>
      </c>
    </row>
    <row r="383" ht="25.5" customHeight="1">
      <c r="A383" t="inlineStr">
        <is>
          <t>DE</t>
        </is>
      </c>
      <c r="B383" t="inlineStr">
        <is>
          <t>R0001EU</t>
        </is>
      </c>
      <c r="C383" t="inlineStr">
        <is>
          <t>R0013EU</t>
        </is>
      </c>
      <c r="D383" t="inlineStr">
        <is>
          <t>电磨(coupon-10%）</t>
        </is>
      </c>
      <c r="E383">
        <v>31</v>
      </c>
      <c r="F383">
        <v>44.99</v>
      </c>
      <c r="G383"/>
      <c r="H383"/>
      <c r="I383"/>
      <c r="J383"/>
      <c r="K383"/>
      <c r="L383"/>
      <c r="M383"/>
      <c r="N383"/>
      <c r="O383"/>
      <c r="P383">
        <v>30</v>
      </c>
      <c r="Q383">
        <v>8</v>
      </c>
      <c r="R383"/>
      <c r="S383"/>
      <c r="T383"/>
      <c r="U383">
        <v>0.01</v>
      </c>
      <c r="V383"/>
      <c r="W383"/>
      <c r="X383">
        <v>0.188</v>
      </c>
      <c r="Y383">
        <v>5</v>
      </c>
      <c r="Z383"/>
      <c r="AA383"/>
      <c r="AB383"/>
      <c r="AC383">
        <v>90</v>
      </c>
      <c r="AD383"/>
      <c r="AE383"/>
      <c r="AF383"/>
      <c r="AG383"/>
      <c r="AH383">
        <v>8</v>
      </c>
      <c r="AI383"/>
      <c r="AJ383"/>
      <c r="AK383"/>
      <c r="AL383"/>
      <c r="AM383"/>
      <c r="AN383"/>
      <c r="AO383"/>
      <c r="AP383"/>
      <c r="AQ383"/>
      <c r="AR383"/>
      <c r="AS383"/>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c r="BS383" t="inlineStr">
        <is>
          <t>#VALUE!</t>
        </is>
      </c>
    </row>
    <row r="384" ht="25.5" customHeight="1">
      <c r="A384" t="inlineStr">
        <is>
          <t>DE</t>
        </is>
      </c>
      <c r="B384" t="inlineStr">
        <is>
          <t>R0001EU</t>
        </is>
      </c>
      <c r="C384" t="inlineStr">
        <is>
          <t>R0013EU</t>
        </is>
      </c>
      <c r="D384" t="inlineStr">
        <is>
          <t>电磨(coupon-15%）</t>
        </is>
      </c>
      <c r="E384">
        <v>31</v>
      </c>
      <c r="F384">
        <v>44.99</v>
      </c>
      <c r="G384"/>
      <c r="H384"/>
      <c r="I384"/>
      <c r="J384"/>
      <c r="K384"/>
      <c r="L384"/>
      <c r="M384"/>
      <c r="N384"/>
      <c r="O384"/>
      <c r="P384">
        <v>30</v>
      </c>
      <c r="Q384">
        <v>8</v>
      </c>
      <c r="R384"/>
      <c r="S384"/>
      <c r="T384"/>
      <c r="U384">
        <v>0.01</v>
      </c>
      <c r="V384"/>
      <c r="W384"/>
      <c r="X384">
        <v>0.188</v>
      </c>
      <c r="Y384">
        <v>5</v>
      </c>
      <c r="Z384"/>
      <c r="AA384"/>
      <c r="AB384"/>
      <c r="AC384">
        <v>90</v>
      </c>
      <c r="AD384"/>
      <c r="AE384"/>
      <c r="AF384"/>
      <c r="AG384"/>
      <c r="AH384">
        <v>8</v>
      </c>
      <c r="AI384"/>
      <c r="AJ384"/>
      <c r="AK384"/>
      <c r="AL384"/>
      <c r="AM384"/>
      <c r="AN384"/>
      <c r="AO384"/>
      <c r="AP384"/>
      <c r="AQ384"/>
      <c r="AR384"/>
      <c r="AS384"/>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c r="BS384" t="inlineStr">
        <is>
          <t>#VALUE!</t>
        </is>
      </c>
    </row>
    <row r="385" ht="25.5" customHeight="1">
      <c r="A385" t="inlineStr">
        <is>
          <t>FR</t>
        </is>
      </c>
      <c r="B385" t="inlineStr">
        <is>
          <t>R0001EU</t>
        </is>
      </c>
      <c r="C385" t="inlineStr">
        <is>
          <t>R0013EU</t>
        </is>
      </c>
      <c r="D385" t="inlineStr">
        <is>
          <t>电磨(coupon-0%）</t>
        </is>
      </c>
      <c r="E385">
        <v>31</v>
      </c>
      <c r="F385">
        <v>44.99</v>
      </c>
      <c r="G385"/>
      <c r="H385"/>
      <c r="I385"/>
      <c r="J385"/>
      <c r="K385"/>
      <c r="L385"/>
      <c r="M385"/>
      <c r="N385"/>
      <c r="O385"/>
      <c r="P385">
        <v>30</v>
      </c>
      <c r="Q385">
        <v>8</v>
      </c>
      <c r="R385"/>
      <c r="S385"/>
      <c r="T385"/>
      <c r="U385">
        <v>0.01</v>
      </c>
      <c r="V385"/>
      <c r="W385"/>
      <c r="X385">
        <v>0.188</v>
      </c>
      <c r="Y385">
        <v>5</v>
      </c>
      <c r="Z385">
        <v>0</v>
      </c>
      <c r="AA385"/>
      <c r="AB385"/>
      <c r="AC385">
        <v>90</v>
      </c>
      <c r="AD385"/>
      <c r="AE385"/>
      <c r="AF385"/>
      <c r="AG385"/>
      <c r="AH385">
        <v>8</v>
      </c>
      <c r="AI385"/>
      <c r="AJ385"/>
      <c r="AK385"/>
      <c r="AL385"/>
      <c r="AM385"/>
      <c r="AN385"/>
      <c r="AO385"/>
      <c r="AP385"/>
      <c r="AQ385"/>
      <c r="AR385"/>
      <c r="AS385"/>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c r="BS385" t="inlineStr">
        <is>
          <t>#VALUE!</t>
        </is>
      </c>
    </row>
    <row r="386" ht="25.5" customHeight="1">
      <c r="A386" t="inlineStr">
        <is>
          <t>FR</t>
        </is>
      </c>
      <c r="B386" t="inlineStr">
        <is>
          <t>R0001EU</t>
        </is>
      </c>
      <c r="C386" t="inlineStr">
        <is>
          <t>R0013EU</t>
        </is>
      </c>
      <c r="D386" t="inlineStr">
        <is>
          <t>电磨(coupon-10%）</t>
        </is>
      </c>
      <c r="E386">
        <v>31</v>
      </c>
      <c r="F386">
        <v>44.99</v>
      </c>
      <c r="G386"/>
      <c r="H386"/>
      <c r="I386"/>
      <c r="J386"/>
      <c r="K386"/>
      <c r="L386"/>
      <c r="M386"/>
      <c r="N386"/>
      <c r="O386"/>
      <c r="P386">
        <v>30</v>
      </c>
      <c r="Q386">
        <v>8</v>
      </c>
      <c r="R386"/>
      <c r="S386"/>
      <c r="T386"/>
      <c r="U386">
        <v>0.01</v>
      </c>
      <c r="V386"/>
      <c r="W386"/>
      <c r="X386">
        <v>0.188</v>
      </c>
      <c r="Y386">
        <v>5</v>
      </c>
      <c r="Z386"/>
      <c r="AA386"/>
      <c r="AB386"/>
      <c r="AC386">
        <v>90</v>
      </c>
      <c r="AD386"/>
      <c r="AE386"/>
      <c r="AF386"/>
      <c r="AG386"/>
      <c r="AH386">
        <v>8</v>
      </c>
      <c r="AI386"/>
      <c r="AJ386"/>
      <c r="AK386"/>
      <c r="AL386"/>
      <c r="AM386"/>
      <c r="AN386"/>
      <c r="AO386"/>
      <c r="AP386"/>
      <c r="AQ386"/>
      <c r="AR386"/>
      <c r="AS386"/>
      <c r="AT386" t="inlineStr">
        <is>
          <t>☆</t>
        </is>
      </c>
      <c r="AU386" t="inlineStr">
        <is>
          <t>☆</t>
        </is>
      </c>
      <c r="AV386" t="inlineStr">
        <is>
          <t>☆</t>
        </is>
      </c>
      <c r="AW386" t="inlineStr">
        <is>
          <t>☆</t>
        </is>
      </c>
      <c r="AX386" t="inlineStr">
        <is>
          <t>☆</t>
        </is>
      </c>
      <c r="AY386" t="inlineStr">
        <is>
          <t>☆</t>
        </is>
      </c>
      <c r="AZ386" t="inlineStr">
        <is>
          <t>☆</t>
        </is>
      </c>
      <c r="BA386" t="inlineStr">
        <is>
          <t>☆</t>
        </is>
      </c>
      <c r="BB386" t="inlineStr">
        <is>
          <t>☆</t>
        </is>
      </c>
      <c r="BC386" t="inlineStr">
        <is>
          <t>☆</t>
        </is>
      </c>
      <c r="BD386" t="inlineStr">
        <is>
          <t>☆</t>
        </is>
      </c>
      <c r="BE386" t="inlineStr">
        <is>
          <t>☆</t>
        </is>
      </c>
      <c r="BF386" t="inlineStr">
        <is>
          <t>☆</t>
        </is>
      </c>
      <c r="BG386" t="inlineStr">
        <is>
          <t>☆</t>
        </is>
      </c>
      <c r="BH386" t="inlineStr">
        <is>
          <t>☆</t>
        </is>
      </c>
      <c r="BI386" t="inlineStr">
        <is>
          <t>☆</t>
        </is>
      </c>
      <c r="BJ386" t="inlineStr">
        <is>
          <t>☆</t>
        </is>
      </c>
      <c r="BK386" t="inlineStr">
        <is>
          <t>☆</t>
        </is>
      </c>
      <c r="BL386" t="inlineStr">
        <is>
          <t>☆</t>
        </is>
      </c>
      <c r="BM386" t="inlineStr">
        <is>
          <t>☆</t>
        </is>
      </c>
      <c r="BN386" t="inlineStr">
        <is>
          <t>☆</t>
        </is>
      </c>
      <c r="BO386" t="inlineStr">
        <is>
          <t>☆</t>
        </is>
      </c>
      <c r="BP386" t="inlineStr">
        <is>
          <t>☆</t>
        </is>
      </c>
      <c r="BQ386" t="inlineStr">
        <is>
          <t>☆</t>
        </is>
      </c>
      <c r="BR386"/>
      <c r="BS386" t="inlineStr">
        <is>
          <t>#VALUE!</t>
        </is>
      </c>
    </row>
    <row r="387" ht="25.5" customHeight="1">
      <c r="A387" t="inlineStr">
        <is>
          <t>FR</t>
        </is>
      </c>
      <c r="B387" t="inlineStr">
        <is>
          <t>R0001EU</t>
        </is>
      </c>
      <c r="C387" t="inlineStr">
        <is>
          <t>R0013EU</t>
        </is>
      </c>
      <c r="D387" t="inlineStr">
        <is>
          <t>电磨(coupon-15%）</t>
        </is>
      </c>
      <c r="E387">
        <v>31</v>
      </c>
      <c r="F387">
        <v>44.99</v>
      </c>
      <c r="G387"/>
      <c r="H387"/>
      <c r="I387"/>
      <c r="J387"/>
      <c r="K387"/>
      <c r="L387"/>
      <c r="M387"/>
      <c r="N387"/>
      <c r="O387"/>
      <c r="P387">
        <v>30</v>
      </c>
      <c r="Q387">
        <v>8</v>
      </c>
      <c r="R387"/>
      <c r="S387"/>
      <c r="T387"/>
      <c r="U387">
        <v>0.01</v>
      </c>
      <c r="V387"/>
      <c r="W387"/>
      <c r="X387">
        <v>0.188</v>
      </c>
      <c r="Y387">
        <v>5</v>
      </c>
      <c r="Z387"/>
      <c r="AA387"/>
      <c r="AB387"/>
      <c r="AC387">
        <v>90</v>
      </c>
      <c r="AD387"/>
      <c r="AE387"/>
      <c r="AF387"/>
      <c r="AG387"/>
      <c r="AH387">
        <v>8</v>
      </c>
      <c r="AI387"/>
      <c r="AJ387"/>
      <c r="AK387"/>
      <c r="AL387"/>
      <c r="AM387"/>
      <c r="AN387"/>
      <c r="AO387"/>
      <c r="AP387"/>
      <c r="AQ387"/>
      <c r="AR387"/>
      <c r="AS387"/>
      <c r="AT387" t="inlineStr">
        <is>
          <t>☆</t>
        </is>
      </c>
      <c r="AU387" t="inlineStr">
        <is>
          <t>☆</t>
        </is>
      </c>
      <c r="AV387" t="inlineStr">
        <is>
          <t>☆</t>
        </is>
      </c>
      <c r="AW387" t="inlineStr">
        <is>
          <t>☆</t>
        </is>
      </c>
      <c r="AX387" t="inlineStr">
        <is>
          <t>☆</t>
        </is>
      </c>
      <c r="AY387" t="inlineStr">
        <is>
          <t>☆</t>
        </is>
      </c>
      <c r="AZ387" t="inlineStr">
        <is>
          <t>☆</t>
        </is>
      </c>
      <c r="BA387" t="inlineStr">
        <is>
          <t>☆</t>
        </is>
      </c>
      <c r="BB387" t="inlineStr">
        <is>
          <t>☆</t>
        </is>
      </c>
      <c r="BC387" t="inlineStr">
        <is>
          <t>☆</t>
        </is>
      </c>
      <c r="BD387" t="inlineStr">
        <is>
          <t>☆</t>
        </is>
      </c>
      <c r="BE387" t="inlineStr">
        <is>
          <t>☆</t>
        </is>
      </c>
      <c r="BF387" t="inlineStr">
        <is>
          <t>☆</t>
        </is>
      </c>
      <c r="BG387" t="inlineStr">
        <is>
          <t>☆</t>
        </is>
      </c>
      <c r="BH387" t="inlineStr">
        <is>
          <t>☆</t>
        </is>
      </c>
      <c r="BI387" t="inlineStr">
        <is>
          <t>☆</t>
        </is>
      </c>
      <c r="BJ387" t="inlineStr">
        <is>
          <t>☆</t>
        </is>
      </c>
      <c r="BK387" t="inlineStr">
        <is>
          <t>☆</t>
        </is>
      </c>
      <c r="BL387" t="inlineStr">
        <is>
          <t>☆</t>
        </is>
      </c>
      <c r="BM387" t="inlineStr">
        <is>
          <t>☆</t>
        </is>
      </c>
      <c r="BN387" t="inlineStr">
        <is>
          <t>☆</t>
        </is>
      </c>
      <c r="BO387" t="inlineStr">
        <is>
          <t>☆</t>
        </is>
      </c>
      <c r="BP387" t="inlineStr">
        <is>
          <t>☆</t>
        </is>
      </c>
      <c r="BQ387" t="inlineStr">
        <is>
          <t>☆</t>
        </is>
      </c>
      <c r="BR387"/>
      <c r="BS387" t="inlineStr">
        <is>
          <t>#VALUE!</t>
        </is>
      </c>
    </row>
    <row r="388" ht="25.5" customHeight="1">
      <c r="A388" t="inlineStr">
        <is>
          <t>IT</t>
        </is>
      </c>
      <c r="B388" t="inlineStr">
        <is>
          <t>R0001EU</t>
        </is>
      </c>
      <c r="C388" t="inlineStr">
        <is>
          <t>R0013EU</t>
        </is>
      </c>
      <c r="D388" t="inlineStr">
        <is>
          <t>电磨(coupon-0%）</t>
        </is>
      </c>
      <c r="E388">
        <v>31</v>
      </c>
      <c r="F388">
        <v>44.99</v>
      </c>
      <c r="G388"/>
      <c r="H388"/>
      <c r="I388"/>
      <c r="J388"/>
      <c r="K388"/>
      <c r="L388"/>
      <c r="M388"/>
      <c r="N388"/>
      <c r="O388"/>
      <c r="P388">
        <v>30</v>
      </c>
      <c r="Q388">
        <v>8</v>
      </c>
      <c r="R388"/>
      <c r="S388"/>
      <c r="T388"/>
      <c r="U388">
        <v>0.01</v>
      </c>
      <c r="V388"/>
      <c r="W388"/>
      <c r="X388">
        <v>0.188</v>
      </c>
      <c r="Y388">
        <v>5</v>
      </c>
      <c r="Z388">
        <v>0</v>
      </c>
      <c r="AA388"/>
      <c r="AB388"/>
      <c r="AC388">
        <v>90</v>
      </c>
      <c r="AD388"/>
      <c r="AE388"/>
      <c r="AF388"/>
      <c r="AG388"/>
      <c r="AH388">
        <v>8</v>
      </c>
      <c r="AI388"/>
      <c r="AJ388"/>
      <c r="AK388"/>
      <c r="AL388"/>
      <c r="AM388"/>
      <c r="AN388"/>
      <c r="AO388"/>
      <c r="AP388"/>
      <c r="AQ388"/>
      <c r="AR388"/>
      <c r="AS388"/>
      <c r="AT388" t="inlineStr">
        <is>
          <t>☆</t>
        </is>
      </c>
      <c r="AU388" t="inlineStr">
        <is>
          <t>☆</t>
        </is>
      </c>
      <c r="AV388" t="inlineStr">
        <is>
          <t>☆</t>
        </is>
      </c>
      <c r="AW388" t="inlineStr">
        <is>
          <t>☆</t>
        </is>
      </c>
      <c r="AX388" t="inlineStr">
        <is>
          <t>☆</t>
        </is>
      </c>
      <c r="AY388" t="inlineStr">
        <is>
          <t>☆</t>
        </is>
      </c>
      <c r="AZ388" t="inlineStr">
        <is>
          <t>☆</t>
        </is>
      </c>
      <c r="BA388" t="inlineStr">
        <is>
          <t>☆</t>
        </is>
      </c>
      <c r="BB388" t="inlineStr">
        <is>
          <t>☆</t>
        </is>
      </c>
      <c r="BC388" t="inlineStr">
        <is>
          <t>☆</t>
        </is>
      </c>
      <c r="BD388" t="inlineStr">
        <is>
          <t>☆</t>
        </is>
      </c>
      <c r="BE388" t="inlineStr">
        <is>
          <t>☆</t>
        </is>
      </c>
      <c r="BF388" t="inlineStr">
        <is>
          <t>☆</t>
        </is>
      </c>
      <c r="BG388" t="inlineStr">
        <is>
          <t>☆</t>
        </is>
      </c>
      <c r="BH388" t="inlineStr">
        <is>
          <t>☆</t>
        </is>
      </c>
      <c r="BI388" t="inlineStr">
        <is>
          <t>☆</t>
        </is>
      </c>
      <c r="BJ388" t="inlineStr">
        <is>
          <t>☆</t>
        </is>
      </c>
      <c r="BK388" t="inlineStr">
        <is>
          <t>☆</t>
        </is>
      </c>
      <c r="BL388" t="inlineStr">
        <is>
          <t>☆</t>
        </is>
      </c>
      <c r="BM388" t="inlineStr">
        <is>
          <t>☆</t>
        </is>
      </c>
      <c r="BN388" t="inlineStr">
        <is>
          <t>☆</t>
        </is>
      </c>
      <c r="BO388" t="inlineStr">
        <is>
          <t>☆</t>
        </is>
      </c>
      <c r="BP388" t="inlineStr">
        <is>
          <t>☆</t>
        </is>
      </c>
      <c r="BQ388" t="inlineStr">
        <is>
          <t>☆</t>
        </is>
      </c>
      <c r="BR388"/>
      <c r="BS388" t="inlineStr">
        <is>
          <t>#VALUE!</t>
        </is>
      </c>
    </row>
    <row r="389" ht="25.5" customHeight="1">
      <c r="A389" t="inlineStr">
        <is>
          <t>IT</t>
        </is>
      </c>
      <c r="B389" t="inlineStr">
        <is>
          <t>R0001EU</t>
        </is>
      </c>
      <c r="C389" t="inlineStr">
        <is>
          <t>R0013EU</t>
        </is>
      </c>
      <c r="D389" t="inlineStr">
        <is>
          <t>电磨(coupon-10%）</t>
        </is>
      </c>
      <c r="E389">
        <v>31</v>
      </c>
      <c r="F389">
        <v>44.99</v>
      </c>
      <c r="G389"/>
      <c r="H389"/>
      <c r="I389"/>
      <c r="J389"/>
      <c r="K389"/>
      <c r="L389"/>
      <c r="M389"/>
      <c r="N389"/>
      <c r="O389"/>
      <c r="P389">
        <v>30</v>
      </c>
      <c r="Q389">
        <v>8</v>
      </c>
      <c r="R389"/>
      <c r="S389"/>
      <c r="T389"/>
      <c r="U389">
        <v>0.01</v>
      </c>
      <c r="V389"/>
      <c r="W389"/>
      <c r="X389">
        <v>0.188</v>
      </c>
      <c r="Y389">
        <v>5</v>
      </c>
      <c r="Z389"/>
      <c r="AA389"/>
      <c r="AB389"/>
      <c r="AC389">
        <v>90</v>
      </c>
      <c r="AD389"/>
      <c r="AE389"/>
      <c r="AF389"/>
      <c r="AG389"/>
      <c r="AH389">
        <v>8</v>
      </c>
      <c r="AI389"/>
      <c r="AJ389"/>
      <c r="AK389"/>
      <c r="AL389"/>
      <c r="AM389"/>
      <c r="AN389"/>
      <c r="AO389"/>
      <c r="AP389"/>
      <c r="AQ389"/>
      <c r="AR389"/>
      <c r="AS389"/>
      <c r="AT389" t="inlineStr">
        <is>
          <t>☆</t>
        </is>
      </c>
      <c r="AU389" t="inlineStr">
        <is>
          <t>☆</t>
        </is>
      </c>
      <c r="AV389" t="inlineStr">
        <is>
          <t>☆</t>
        </is>
      </c>
      <c r="AW389" t="inlineStr">
        <is>
          <t>☆</t>
        </is>
      </c>
      <c r="AX389" t="inlineStr">
        <is>
          <t>☆</t>
        </is>
      </c>
      <c r="AY389" t="inlineStr">
        <is>
          <t>☆</t>
        </is>
      </c>
      <c r="AZ389" t="inlineStr">
        <is>
          <t>☆</t>
        </is>
      </c>
      <c r="BA389" t="inlineStr">
        <is>
          <t>☆</t>
        </is>
      </c>
      <c r="BB389" t="inlineStr">
        <is>
          <t>☆</t>
        </is>
      </c>
      <c r="BC389" t="inlineStr">
        <is>
          <t>☆</t>
        </is>
      </c>
      <c r="BD389" t="inlineStr">
        <is>
          <t>☆</t>
        </is>
      </c>
      <c r="BE389" t="inlineStr">
        <is>
          <t>☆</t>
        </is>
      </c>
      <c r="BF389" t="inlineStr">
        <is>
          <t>☆</t>
        </is>
      </c>
      <c r="BG389" t="inlineStr">
        <is>
          <t>☆</t>
        </is>
      </c>
      <c r="BH389" t="inlineStr">
        <is>
          <t>☆</t>
        </is>
      </c>
      <c r="BI389" t="inlineStr">
        <is>
          <t>☆</t>
        </is>
      </c>
      <c r="BJ389" t="inlineStr">
        <is>
          <t>☆</t>
        </is>
      </c>
      <c r="BK389" t="inlineStr">
        <is>
          <t>☆</t>
        </is>
      </c>
      <c r="BL389" t="inlineStr">
        <is>
          <t>☆</t>
        </is>
      </c>
      <c r="BM389" t="inlineStr">
        <is>
          <t>☆</t>
        </is>
      </c>
      <c r="BN389" t="inlineStr">
        <is>
          <t>☆</t>
        </is>
      </c>
      <c r="BO389" t="inlineStr">
        <is>
          <t>☆</t>
        </is>
      </c>
      <c r="BP389" t="inlineStr">
        <is>
          <t>☆</t>
        </is>
      </c>
      <c r="BQ389" t="inlineStr">
        <is>
          <t>☆</t>
        </is>
      </c>
      <c r="BR389"/>
      <c r="BS389" t="inlineStr">
        <is>
          <t>#VALUE!</t>
        </is>
      </c>
    </row>
    <row r="390" ht="25.5" customHeight="1">
      <c r="A390" t="inlineStr">
        <is>
          <t>IT</t>
        </is>
      </c>
      <c r="B390" t="inlineStr">
        <is>
          <t>R0001EU</t>
        </is>
      </c>
      <c r="C390" t="inlineStr">
        <is>
          <t>R0013EU</t>
        </is>
      </c>
      <c r="D390" t="inlineStr">
        <is>
          <t>电磨(coupon-15%）</t>
        </is>
      </c>
      <c r="E390">
        <v>31</v>
      </c>
      <c r="F390">
        <v>44.99</v>
      </c>
      <c r="G390"/>
      <c r="H390"/>
      <c r="I390"/>
      <c r="J390"/>
      <c r="K390"/>
      <c r="L390"/>
      <c r="M390"/>
      <c r="N390"/>
      <c r="O390"/>
      <c r="P390">
        <v>30</v>
      </c>
      <c r="Q390">
        <v>8</v>
      </c>
      <c r="R390"/>
      <c r="S390"/>
      <c r="T390"/>
      <c r="U390">
        <v>0.01</v>
      </c>
      <c r="V390"/>
      <c r="W390"/>
      <c r="X390">
        <v>0.188</v>
      </c>
      <c r="Y390">
        <v>5</v>
      </c>
      <c r="Z390"/>
      <c r="AA390"/>
      <c r="AB390"/>
      <c r="AC390">
        <v>90</v>
      </c>
      <c r="AD390"/>
      <c r="AE390"/>
      <c r="AF390"/>
      <c r="AG390"/>
      <c r="AH390">
        <v>8</v>
      </c>
      <c r="AI390"/>
      <c r="AJ390"/>
      <c r="AK390"/>
      <c r="AL390"/>
      <c r="AM390"/>
      <c r="AN390"/>
      <c r="AO390"/>
      <c r="AP390"/>
      <c r="AQ390"/>
      <c r="AR390"/>
      <c r="AS390"/>
      <c r="AT390" t="inlineStr">
        <is>
          <t>☆</t>
        </is>
      </c>
      <c r="AU390" t="inlineStr">
        <is>
          <t>☆</t>
        </is>
      </c>
      <c r="AV390" t="inlineStr">
        <is>
          <t>☆</t>
        </is>
      </c>
      <c r="AW390" t="inlineStr">
        <is>
          <t>☆</t>
        </is>
      </c>
      <c r="AX390" t="inlineStr">
        <is>
          <t>☆</t>
        </is>
      </c>
      <c r="AY390" t="inlineStr">
        <is>
          <t>☆</t>
        </is>
      </c>
      <c r="AZ390" t="inlineStr">
        <is>
          <t>☆</t>
        </is>
      </c>
      <c r="BA390" t="inlineStr">
        <is>
          <t>☆</t>
        </is>
      </c>
      <c r="BB390" t="inlineStr">
        <is>
          <t>☆</t>
        </is>
      </c>
      <c r="BC390" t="inlineStr">
        <is>
          <t>☆</t>
        </is>
      </c>
      <c r="BD390" t="inlineStr">
        <is>
          <t>☆</t>
        </is>
      </c>
      <c r="BE390" t="inlineStr">
        <is>
          <t>☆</t>
        </is>
      </c>
      <c r="BF390" t="inlineStr">
        <is>
          <t>☆</t>
        </is>
      </c>
      <c r="BG390" t="inlineStr">
        <is>
          <t>☆</t>
        </is>
      </c>
      <c r="BH390" t="inlineStr">
        <is>
          <t>☆</t>
        </is>
      </c>
      <c r="BI390" t="inlineStr">
        <is>
          <t>☆</t>
        </is>
      </c>
      <c r="BJ390" t="inlineStr">
        <is>
          <t>☆</t>
        </is>
      </c>
      <c r="BK390" t="inlineStr">
        <is>
          <t>☆</t>
        </is>
      </c>
      <c r="BL390" t="inlineStr">
        <is>
          <t>☆</t>
        </is>
      </c>
      <c r="BM390" t="inlineStr">
        <is>
          <t>☆</t>
        </is>
      </c>
      <c r="BN390" t="inlineStr">
        <is>
          <t>☆</t>
        </is>
      </c>
      <c r="BO390" t="inlineStr">
        <is>
          <t>☆</t>
        </is>
      </c>
      <c r="BP390" t="inlineStr">
        <is>
          <t>☆</t>
        </is>
      </c>
      <c r="BQ390" t="inlineStr">
        <is>
          <t>☆</t>
        </is>
      </c>
      <c r="BR390"/>
      <c r="BS390" t="inlineStr">
        <is>
          <t>#VALUE!</t>
        </is>
      </c>
    </row>
    <row r="391" ht="25.5" customHeight="1">
      <c r="A391" t="inlineStr">
        <is>
          <t>ES</t>
        </is>
      </c>
      <c r="B391" t="inlineStr">
        <is>
          <t>R0001EU</t>
        </is>
      </c>
      <c r="C391" t="inlineStr">
        <is>
          <t>R0013EU</t>
        </is>
      </c>
      <c r="D391" t="inlineStr">
        <is>
          <t>电磨(coupon-0%）</t>
        </is>
      </c>
      <c r="E391">
        <v>31</v>
      </c>
      <c r="F391">
        <v>44.99</v>
      </c>
      <c r="G391"/>
      <c r="H391"/>
      <c r="I391"/>
      <c r="J391"/>
      <c r="K391"/>
      <c r="L391"/>
      <c r="M391"/>
      <c r="N391"/>
      <c r="O391"/>
      <c r="P391">
        <v>30</v>
      </c>
      <c r="Q391">
        <v>8</v>
      </c>
      <c r="R391"/>
      <c r="S391"/>
      <c r="T391"/>
      <c r="U391">
        <v>0.01</v>
      </c>
      <c r="V391"/>
      <c r="W391"/>
      <c r="X391">
        <v>0.188</v>
      </c>
      <c r="Y391">
        <v>5</v>
      </c>
      <c r="Z391">
        <v>0</v>
      </c>
      <c r="AA391"/>
      <c r="AB391"/>
      <c r="AC391">
        <v>90</v>
      </c>
      <c r="AD391"/>
      <c r="AE391"/>
      <c r="AF391"/>
      <c r="AG391"/>
      <c r="AH391">
        <v>8</v>
      </c>
      <c r="AI391"/>
      <c r="AJ391"/>
      <c r="AK391"/>
      <c r="AL391"/>
      <c r="AM391"/>
      <c r="AN391"/>
      <c r="AO391"/>
      <c r="AP391"/>
      <c r="AQ391"/>
      <c r="AR391"/>
      <c r="AS391"/>
      <c r="AT391" t="inlineStr">
        <is>
          <t>☆</t>
        </is>
      </c>
      <c r="AU391" t="inlineStr">
        <is>
          <t>☆</t>
        </is>
      </c>
      <c r="AV391" t="inlineStr">
        <is>
          <t>☆</t>
        </is>
      </c>
      <c r="AW391" t="inlineStr">
        <is>
          <t>☆</t>
        </is>
      </c>
      <c r="AX391" t="inlineStr">
        <is>
          <t>☆</t>
        </is>
      </c>
      <c r="AY391" t="inlineStr">
        <is>
          <t>☆</t>
        </is>
      </c>
      <c r="AZ391" t="inlineStr">
        <is>
          <t>☆</t>
        </is>
      </c>
      <c r="BA391" t="inlineStr">
        <is>
          <t>☆</t>
        </is>
      </c>
      <c r="BB391" t="inlineStr">
        <is>
          <t>☆</t>
        </is>
      </c>
      <c r="BC391" t="inlineStr">
        <is>
          <t>☆</t>
        </is>
      </c>
      <c r="BD391" t="inlineStr">
        <is>
          <t>☆</t>
        </is>
      </c>
      <c r="BE391" t="inlineStr">
        <is>
          <t>☆</t>
        </is>
      </c>
      <c r="BF391" t="inlineStr">
        <is>
          <t>☆</t>
        </is>
      </c>
      <c r="BG391" t="inlineStr">
        <is>
          <t>☆</t>
        </is>
      </c>
      <c r="BH391" t="inlineStr">
        <is>
          <t>☆</t>
        </is>
      </c>
      <c r="BI391" t="inlineStr">
        <is>
          <t>☆</t>
        </is>
      </c>
      <c r="BJ391" t="inlineStr">
        <is>
          <t>☆</t>
        </is>
      </c>
      <c r="BK391" t="inlineStr">
        <is>
          <t>☆</t>
        </is>
      </c>
      <c r="BL391" t="inlineStr">
        <is>
          <t>☆</t>
        </is>
      </c>
      <c r="BM391" t="inlineStr">
        <is>
          <t>☆</t>
        </is>
      </c>
      <c r="BN391" t="inlineStr">
        <is>
          <t>☆</t>
        </is>
      </c>
      <c r="BO391" t="inlineStr">
        <is>
          <t>☆</t>
        </is>
      </c>
      <c r="BP391" t="inlineStr">
        <is>
          <t>☆</t>
        </is>
      </c>
      <c r="BQ391" t="inlineStr">
        <is>
          <t>☆</t>
        </is>
      </c>
      <c r="BR391"/>
      <c r="BS391" t="inlineStr">
        <is>
          <t>#VALUE!</t>
        </is>
      </c>
    </row>
    <row r="392" ht="25.5" customHeight="1">
      <c r="A392" t="inlineStr">
        <is>
          <t>ES</t>
        </is>
      </c>
      <c r="B392" t="inlineStr">
        <is>
          <t>R0001EU</t>
        </is>
      </c>
      <c r="C392" t="inlineStr">
        <is>
          <t>R0013EU</t>
        </is>
      </c>
      <c r="D392" t="inlineStr">
        <is>
          <t>电磨(coupon-10%）</t>
        </is>
      </c>
      <c r="E392">
        <v>31</v>
      </c>
      <c r="F392">
        <v>44.99</v>
      </c>
      <c r="G392"/>
      <c r="H392"/>
      <c r="I392"/>
      <c r="J392"/>
      <c r="K392"/>
      <c r="L392"/>
      <c r="M392"/>
      <c r="N392"/>
      <c r="O392"/>
      <c r="P392">
        <v>30</v>
      </c>
      <c r="Q392">
        <v>8</v>
      </c>
      <c r="R392"/>
      <c r="S392"/>
      <c r="T392"/>
      <c r="U392">
        <v>0.01</v>
      </c>
      <c r="V392"/>
      <c r="W392"/>
      <c r="X392">
        <v>0.188</v>
      </c>
      <c r="Y392">
        <v>5</v>
      </c>
      <c r="Z392"/>
      <c r="AA392"/>
      <c r="AB392"/>
      <c r="AC392">
        <v>90</v>
      </c>
      <c r="AD392"/>
      <c r="AE392"/>
      <c r="AF392"/>
      <c r="AG392"/>
      <c r="AH392">
        <v>8</v>
      </c>
      <c r="AI392"/>
      <c r="AJ392"/>
      <c r="AK392"/>
      <c r="AL392"/>
      <c r="AM392"/>
      <c r="AN392"/>
      <c r="AO392"/>
      <c r="AP392"/>
      <c r="AQ392"/>
      <c r="AR392"/>
      <c r="AS392"/>
      <c r="AT392" t="inlineStr">
        <is>
          <t>☆</t>
        </is>
      </c>
      <c r="AU392" t="inlineStr">
        <is>
          <t>☆</t>
        </is>
      </c>
      <c r="AV392" t="inlineStr">
        <is>
          <t>☆</t>
        </is>
      </c>
      <c r="AW392" t="inlineStr">
        <is>
          <t>☆</t>
        </is>
      </c>
      <c r="AX392" t="inlineStr">
        <is>
          <t>☆</t>
        </is>
      </c>
      <c r="AY392" t="inlineStr">
        <is>
          <t>☆</t>
        </is>
      </c>
      <c r="AZ392" t="inlineStr">
        <is>
          <t>☆</t>
        </is>
      </c>
      <c r="BA392" t="inlineStr">
        <is>
          <t>☆</t>
        </is>
      </c>
      <c r="BB392" t="inlineStr">
        <is>
          <t>☆</t>
        </is>
      </c>
      <c r="BC392" t="inlineStr">
        <is>
          <t>☆</t>
        </is>
      </c>
      <c r="BD392" t="inlineStr">
        <is>
          <t>☆</t>
        </is>
      </c>
      <c r="BE392" t="inlineStr">
        <is>
          <t>☆</t>
        </is>
      </c>
      <c r="BF392" t="inlineStr">
        <is>
          <t>☆</t>
        </is>
      </c>
      <c r="BG392" t="inlineStr">
        <is>
          <t>☆</t>
        </is>
      </c>
      <c r="BH392" t="inlineStr">
        <is>
          <t>☆</t>
        </is>
      </c>
      <c r="BI392" t="inlineStr">
        <is>
          <t>☆</t>
        </is>
      </c>
      <c r="BJ392" t="inlineStr">
        <is>
          <t>☆</t>
        </is>
      </c>
      <c r="BK392" t="inlineStr">
        <is>
          <t>☆</t>
        </is>
      </c>
      <c r="BL392" t="inlineStr">
        <is>
          <t>☆</t>
        </is>
      </c>
      <c r="BM392" t="inlineStr">
        <is>
          <t>☆</t>
        </is>
      </c>
      <c r="BN392" t="inlineStr">
        <is>
          <t>☆</t>
        </is>
      </c>
      <c r="BO392" t="inlineStr">
        <is>
          <t>☆</t>
        </is>
      </c>
      <c r="BP392" t="inlineStr">
        <is>
          <t>☆</t>
        </is>
      </c>
      <c r="BQ392" t="inlineStr">
        <is>
          <t>☆</t>
        </is>
      </c>
      <c r="BR392"/>
      <c r="BS392" t="inlineStr">
        <is>
          <t>#VALUE!</t>
        </is>
      </c>
    </row>
    <row r="393" ht="25.5" customHeight="1">
      <c r="A393" t="inlineStr">
        <is>
          <t>ES</t>
        </is>
      </c>
      <c r="B393" t="inlineStr">
        <is>
          <t>R0001EU</t>
        </is>
      </c>
      <c r="C393" t="inlineStr">
        <is>
          <t>R0013EU</t>
        </is>
      </c>
      <c r="D393" t="inlineStr">
        <is>
          <t>电磨(coupon-15%）</t>
        </is>
      </c>
      <c r="E393">
        <v>31</v>
      </c>
      <c r="F393">
        <v>44.99</v>
      </c>
      <c r="G393"/>
      <c r="H393"/>
      <c r="I393"/>
      <c r="J393"/>
      <c r="K393"/>
      <c r="L393"/>
      <c r="M393"/>
      <c r="N393"/>
      <c r="O393"/>
      <c r="P393">
        <v>30</v>
      </c>
      <c r="Q393">
        <v>8</v>
      </c>
      <c r="R393"/>
      <c r="S393"/>
      <c r="T393"/>
      <c r="U393">
        <v>0.01</v>
      </c>
      <c r="V393"/>
      <c r="W393"/>
      <c r="X393">
        <v>0.188</v>
      </c>
      <c r="Y393">
        <v>5</v>
      </c>
      <c r="Z393"/>
      <c r="AA393"/>
      <c r="AB393"/>
      <c r="AC393">
        <v>90</v>
      </c>
      <c r="AD393"/>
      <c r="AE393"/>
      <c r="AF393"/>
      <c r="AG393"/>
      <c r="AH393">
        <v>8</v>
      </c>
      <c r="AI393"/>
      <c r="AJ393"/>
      <c r="AK393"/>
      <c r="AL393"/>
      <c r="AM393"/>
      <c r="AN393"/>
      <c r="AO393"/>
      <c r="AP393"/>
      <c r="AQ393"/>
      <c r="AR393"/>
      <c r="AS393"/>
      <c r="AT393" t="inlineStr">
        <is>
          <t>☆</t>
        </is>
      </c>
      <c r="AU393" t="inlineStr">
        <is>
          <t>☆</t>
        </is>
      </c>
      <c r="AV393" t="inlineStr">
        <is>
          <t>☆</t>
        </is>
      </c>
      <c r="AW393" t="inlineStr">
        <is>
          <t>☆</t>
        </is>
      </c>
      <c r="AX393" t="inlineStr">
        <is>
          <t>☆</t>
        </is>
      </c>
      <c r="AY393" t="inlineStr">
        <is>
          <t>☆</t>
        </is>
      </c>
      <c r="AZ393" t="inlineStr">
        <is>
          <t>☆</t>
        </is>
      </c>
      <c r="BA393" t="inlineStr">
        <is>
          <t>☆</t>
        </is>
      </c>
      <c r="BB393" t="inlineStr">
        <is>
          <t>☆</t>
        </is>
      </c>
      <c r="BC393" t="inlineStr">
        <is>
          <t>☆</t>
        </is>
      </c>
      <c r="BD393" t="inlineStr">
        <is>
          <t>☆</t>
        </is>
      </c>
      <c r="BE393" t="inlineStr">
        <is>
          <t>☆</t>
        </is>
      </c>
      <c r="BF393" t="inlineStr">
        <is>
          <t>☆</t>
        </is>
      </c>
      <c r="BG393" t="inlineStr">
        <is>
          <t>☆</t>
        </is>
      </c>
      <c r="BH393" t="inlineStr">
        <is>
          <t>☆</t>
        </is>
      </c>
      <c r="BI393" t="inlineStr">
        <is>
          <t>☆</t>
        </is>
      </c>
      <c r="BJ393" t="inlineStr">
        <is>
          <t>☆</t>
        </is>
      </c>
      <c r="BK393" t="inlineStr">
        <is>
          <t>☆</t>
        </is>
      </c>
      <c r="BL393" t="inlineStr">
        <is>
          <t>☆</t>
        </is>
      </c>
      <c r="BM393" t="inlineStr">
        <is>
          <t>☆</t>
        </is>
      </c>
      <c r="BN393" t="inlineStr">
        <is>
          <t>☆</t>
        </is>
      </c>
      <c r="BO393" t="inlineStr">
        <is>
          <t>☆</t>
        </is>
      </c>
      <c r="BP393" t="inlineStr">
        <is>
          <t>☆</t>
        </is>
      </c>
      <c r="BQ393" t="inlineStr">
        <is>
          <t>☆</t>
        </is>
      </c>
      <c r="BR393"/>
      <c r="BS393" t="inlineStr">
        <is>
          <t>#VALUE!</t>
        </is>
      </c>
    </row>
    <row r="394" ht="25.5" customHeight="1">
      <c r="A394" t="inlineStr">
        <is>
          <t>NL</t>
        </is>
      </c>
      <c r="B394" t="inlineStr">
        <is>
          <t>R0001EU</t>
        </is>
      </c>
      <c r="C394" t="inlineStr">
        <is>
          <t>R0013EU</t>
        </is>
      </c>
      <c r="D394" t="inlineStr">
        <is>
          <t>电磨荷兰</t>
        </is>
      </c>
      <c r="E394">
        <v>34.5</v>
      </c>
      <c r="F394">
        <v>49.99</v>
      </c>
      <c r="G394"/>
      <c r="H394"/>
      <c r="I394"/>
      <c r="J394"/>
      <c r="K394"/>
      <c r="L394"/>
      <c r="M394"/>
      <c r="N394"/>
      <c r="O394"/>
      <c r="P394">
        <v>30</v>
      </c>
      <c r="Q394">
        <v>8</v>
      </c>
      <c r="R394"/>
      <c r="S394"/>
      <c r="T394"/>
      <c r="U394">
        <v>0.01</v>
      </c>
      <c r="V394"/>
      <c r="W394"/>
      <c r="X394">
        <v>0.188</v>
      </c>
      <c r="Y394">
        <v>0</v>
      </c>
      <c r="Z394"/>
      <c r="AA394"/>
      <c r="AB394"/>
      <c r="AC394">
        <v>90</v>
      </c>
      <c r="AD394"/>
      <c r="AE394"/>
      <c r="AF394"/>
      <c r="AG394"/>
      <c r="AH394">
        <v>8</v>
      </c>
      <c r="AI394"/>
      <c r="AJ394"/>
      <c r="AK394"/>
      <c r="AL394"/>
      <c r="AM394"/>
      <c r="AN394"/>
      <c r="AO394"/>
      <c r="AP394"/>
      <c r="AQ394"/>
      <c r="AR394"/>
      <c r="AS394"/>
      <c r="AT394" t="inlineStr">
        <is>
          <t>☆</t>
        </is>
      </c>
      <c r="AU394" t="inlineStr">
        <is>
          <t>☆</t>
        </is>
      </c>
      <c r="AV394" t="inlineStr">
        <is>
          <t>☆</t>
        </is>
      </c>
      <c r="AW394" t="inlineStr">
        <is>
          <t>☆</t>
        </is>
      </c>
      <c r="AX394" t="inlineStr">
        <is>
          <t>☆</t>
        </is>
      </c>
      <c r="AY394" t="inlineStr">
        <is>
          <t>☆</t>
        </is>
      </c>
      <c r="AZ394" t="inlineStr">
        <is>
          <t>☆</t>
        </is>
      </c>
      <c r="BA394" t="inlineStr">
        <is>
          <t>☆</t>
        </is>
      </c>
      <c r="BB394" t="inlineStr">
        <is>
          <t>☆</t>
        </is>
      </c>
      <c r="BC394" t="inlineStr">
        <is>
          <t>☆</t>
        </is>
      </c>
      <c r="BD394" t="inlineStr">
        <is>
          <t>☆</t>
        </is>
      </c>
      <c r="BE394" t="inlineStr">
        <is>
          <t>☆</t>
        </is>
      </c>
      <c r="BF394" t="inlineStr">
        <is>
          <t>☆</t>
        </is>
      </c>
      <c r="BG394" t="inlineStr">
        <is>
          <t>☆</t>
        </is>
      </c>
      <c r="BH394" t="inlineStr">
        <is>
          <t>☆</t>
        </is>
      </c>
      <c r="BI394" t="inlineStr">
        <is>
          <t>☆</t>
        </is>
      </c>
      <c r="BJ394" t="inlineStr">
        <is>
          <t>☆</t>
        </is>
      </c>
      <c r="BK394" t="inlineStr">
        <is>
          <t>☆</t>
        </is>
      </c>
      <c r="BL394" t="inlineStr">
        <is>
          <t>☆</t>
        </is>
      </c>
      <c r="BM394" t="inlineStr">
        <is>
          <t>☆</t>
        </is>
      </c>
      <c r="BN394" t="inlineStr">
        <is>
          <t>☆</t>
        </is>
      </c>
      <c r="BO394" t="inlineStr">
        <is>
          <t>☆</t>
        </is>
      </c>
      <c r="BP394" t="inlineStr">
        <is>
          <t>☆</t>
        </is>
      </c>
      <c r="BQ394" t="inlineStr">
        <is>
          <t>☆</t>
        </is>
      </c>
      <c r="BR394"/>
      <c r="BS394" t="inlineStr">
        <is>
          <t>#VALUE!</t>
        </is>
      </c>
    </row>
    <row r="395" ht="25.5" customHeight="1">
      <c r="A395" t="inlineStr">
        <is>
          <t>PL</t>
        </is>
      </c>
      <c r="B395" t="inlineStr">
        <is>
          <t>R0001EU</t>
        </is>
      </c>
      <c r="C395" t="inlineStr">
        <is>
          <t>R0013EU</t>
        </is>
      </c>
      <c r="D395" t="inlineStr">
        <is>
          <t>电磨波兰</t>
        </is>
      </c>
      <c r="E395">
        <v>34.5</v>
      </c>
      <c r="F395">
        <v>49.99</v>
      </c>
      <c r="G395"/>
      <c r="H395"/>
      <c r="I395"/>
      <c r="J395"/>
      <c r="K395"/>
      <c r="L395"/>
      <c r="M395"/>
      <c r="N395"/>
      <c r="O395"/>
      <c r="P395">
        <v>30</v>
      </c>
      <c r="Q395">
        <v>8</v>
      </c>
      <c r="R395"/>
      <c r="S395"/>
      <c r="T395"/>
      <c r="U395">
        <v>0.01</v>
      </c>
      <c r="V395"/>
      <c r="W395"/>
      <c r="X395">
        <v>0.188</v>
      </c>
      <c r="Y395">
        <v>0</v>
      </c>
      <c r="Z395"/>
      <c r="AA395"/>
      <c r="AB395"/>
      <c r="AC395">
        <v>90</v>
      </c>
      <c r="AD395"/>
      <c r="AE395"/>
      <c r="AF395"/>
      <c r="AG395"/>
      <c r="AH395">
        <v>8</v>
      </c>
      <c r="AI395"/>
      <c r="AJ395"/>
      <c r="AK395"/>
      <c r="AL395"/>
      <c r="AM395"/>
      <c r="AN395"/>
      <c r="AO395"/>
      <c r="AP395"/>
      <c r="AQ395"/>
      <c r="AR395"/>
      <c r="AS395"/>
      <c r="AT395" t="inlineStr">
        <is>
          <t>☆</t>
        </is>
      </c>
      <c r="AU395" t="inlineStr">
        <is>
          <t>☆</t>
        </is>
      </c>
      <c r="AV395" t="inlineStr">
        <is>
          <t>☆</t>
        </is>
      </c>
      <c r="AW395" t="inlineStr">
        <is>
          <t>☆</t>
        </is>
      </c>
      <c r="AX395" t="inlineStr">
        <is>
          <t>☆</t>
        </is>
      </c>
      <c r="AY395" t="inlineStr">
        <is>
          <t>☆</t>
        </is>
      </c>
      <c r="AZ395" t="inlineStr">
        <is>
          <t>☆</t>
        </is>
      </c>
      <c r="BA395" t="inlineStr">
        <is>
          <t>☆</t>
        </is>
      </c>
      <c r="BB395" t="inlineStr">
        <is>
          <t>☆</t>
        </is>
      </c>
      <c r="BC395" t="inlineStr">
        <is>
          <t>☆</t>
        </is>
      </c>
      <c r="BD395" t="inlineStr">
        <is>
          <t>☆</t>
        </is>
      </c>
      <c r="BE395" t="inlineStr">
        <is>
          <t>☆</t>
        </is>
      </c>
      <c r="BF395" t="inlineStr">
        <is>
          <t>☆</t>
        </is>
      </c>
      <c r="BG395" t="inlineStr">
        <is>
          <t>☆</t>
        </is>
      </c>
      <c r="BH395" t="inlineStr">
        <is>
          <t>☆</t>
        </is>
      </c>
      <c r="BI395" t="inlineStr">
        <is>
          <t>☆</t>
        </is>
      </c>
      <c r="BJ395" t="inlineStr">
        <is>
          <t>☆</t>
        </is>
      </c>
      <c r="BK395" t="inlineStr">
        <is>
          <t>☆</t>
        </is>
      </c>
      <c r="BL395" t="inlineStr">
        <is>
          <t>☆</t>
        </is>
      </c>
      <c r="BM395" t="inlineStr">
        <is>
          <t>☆</t>
        </is>
      </c>
      <c r="BN395" t="inlineStr">
        <is>
          <t>☆</t>
        </is>
      </c>
      <c r="BO395" t="inlineStr">
        <is>
          <t>☆</t>
        </is>
      </c>
      <c r="BP395" t="inlineStr">
        <is>
          <t>☆</t>
        </is>
      </c>
      <c r="BQ395" t="inlineStr">
        <is>
          <t>☆</t>
        </is>
      </c>
      <c r="BR395"/>
      <c r="BS395" t="inlineStr">
        <is>
          <t>#VALUE!</t>
        </is>
      </c>
    </row>
    <row r="396" ht="25.5" customHeight="1">
      <c r="A396" t="inlineStr">
        <is>
          <t>SE</t>
        </is>
      </c>
      <c r="B396" t="inlineStr">
        <is>
          <t>R0001EU</t>
        </is>
      </c>
      <c r="C396" t="inlineStr">
        <is>
          <t>R0013EU</t>
        </is>
      </c>
      <c r="D396" t="inlineStr">
        <is>
          <t>电磨瑞典</t>
        </is>
      </c>
      <c r="E396">
        <v>34.5</v>
      </c>
      <c r="F396">
        <v>49.99</v>
      </c>
      <c r="G396"/>
      <c r="H396"/>
      <c r="I396"/>
      <c r="J396"/>
      <c r="K396"/>
      <c r="L396"/>
      <c r="M396"/>
      <c r="N396"/>
      <c r="O396"/>
      <c r="P396">
        <v>30</v>
      </c>
      <c r="Q396">
        <v>8</v>
      </c>
      <c r="R396"/>
      <c r="S396"/>
      <c r="T396"/>
      <c r="U396">
        <v>0.01</v>
      </c>
      <c r="V396"/>
      <c r="W396"/>
      <c r="X396">
        <v>0.188</v>
      </c>
      <c r="Y396">
        <v>0</v>
      </c>
      <c r="Z396"/>
      <c r="AA396"/>
      <c r="AB396"/>
      <c r="AC396">
        <v>90</v>
      </c>
      <c r="AD396"/>
      <c r="AE396"/>
      <c r="AF396"/>
      <c r="AG396"/>
      <c r="AH396">
        <v>8</v>
      </c>
      <c r="AI396"/>
      <c r="AJ396"/>
      <c r="AK396"/>
      <c r="AL396"/>
      <c r="AM396"/>
      <c r="AN396"/>
      <c r="AO396"/>
      <c r="AP396"/>
      <c r="AQ396"/>
      <c r="AR396"/>
      <c r="AS396"/>
      <c r="AT396" t="inlineStr">
        <is>
          <t>☆</t>
        </is>
      </c>
      <c r="AU396" t="inlineStr">
        <is>
          <t>☆</t>
        </is>
      </c>
      <c r="AV396" t="inlineStr">
        <is>
          <t>☆</t>
        </is>
      </c>
      <c r="AW396" t="inlineStr">
        <is>
          <t>☆</t>
        </is>
      </c>
      <c r="AX396" t="inlineStr">
        <is>
          <t>☆</t>
        </is>
      </c>
      <c r="AY396" t="inlineStr">
        <is>
          <t>☆</t>
        </is>
      </c>
      <c r="AZ396" t="inlineStr">
        <is>
          <t>☆</t>
        </is>
      </c>
      <c r="BA396" t="inlineStr">
        <is>
          <t>☆</t>
        </is>
      </c>
      <c r="BB396" t="inlineStr">
        <is>
          <t>☆</t>
        </is>
      </c>
      <c r="BC396" t="inlineStr">
        <is>
          <t>☆</t>
        </is>
      </c>
      <c r="BD396" t="inlineStr">
        <is>
          <t>☆</t>
        </is>
      </c>
      <c r="BE396" t="inlineStr">
        <is>
          <t>☆</t>
        </is>
      </c>
      <c r="BF396" t="inlineStr">
        <is>
          <t>☆</t>
        </is>
      </c>
      <c r="BG396" t="inlineStr">
        <is>
          <t>☆</t>
        </is>
      </c>
      <c r="BH396" t="inlineStr">
        <is>
          <t>☆</t>
        </is>
      </c>
      <c r="BI396" t="inlineStr">
        <is>
          <t>☆</t>
        </is>
      </c>
      <c r="BJ396" t="inlineStr">
        <is>
          <t>☆</t>
        </is>
      </c>
      <c r="BK396" t="inlineStr">
        <is>
          <t>☆</t>
        </is>
      </c>
      <c r="BL396" t="inlineStr">
        <is>
          <t>☆</t>
        </is>
      </c>
      <c r="BM396" t="inlineStr">
        <is>
          <t>☆</t>
        </is>
      </c>
      <c r="BN396" t="inlineStr">
        <is>
          <t>☆</t>
        </is>
      </c>
      <c r="BO396" t="inlineStr">
        <is>
          <t>☆</t>
        </is>
      </c>
      <c r="BP396" t="inlineStr">
        <is>
          <t>☆</t>
        </is>
      </c>
      <c r="BQ396" t="inlineStr">
        <is>
          <t>☆</t>
        </is>
      </c>
      <c r="BR396"/>
      <c r="BS396" t="inlineStr">
        <is>
          <t>#VALUE!</t>
        </is>
      </c>
    </row>
    <row r="397" ht="25.5" customHeight="1">
      <c r="A397" t="inlineStr">
        <is>
          <t>BE</t>
        </is>
      </c>
      <c r="B397" t="inlineStr">
        <is>
          <t>R0001EU</t>
        </is>
      </c>
      <c r="C397" t="inlineStr">
        <is>
          <t>R0013EU</t>
        </is>
      </c>
      <c r="D397" t="inlineStr">
        <is>
          <t>电磨比利时</t>
        </is>
      </c>
      <c r="E397">
        <v>34.5</v>
      </c>
      <c r="F397">
        <v>49.99</v>
      </c>
      <c r="G397"/>
      <c r="H397"/>
      <c r="I397"/>
      <c r="J397"/>
      <c r="K397"/>
      <c r="L397"/>
      <c r="M397"/>
      <c r="N397"/>
      <c r="O397"/>
      <c r="P397">
        <v>30</v>
      </c>
      <c r="Q397">
        <v>8</v>
      </c>
      <c r="R397"/>
      <c r="S397"/>
      <c r="T397"/>
      <c r="U397">
        <v>0.01</v>
      </c>
      <c r="V397"/>
      <c r="W397"/>
      <c r="X397">
        <v>0.188</v>
      </c>
      <c r="Y397">
        <v>0</v>
      </c>
      <c r="Z397"/>
      <c r="AA397"/>
      <c r="AB397"/>
      <c r="AC397">
        <v>90</v>
      </c>
      <c r="AD397"/>
      <c r="AE397"/>
      <c r="AF397"/>
      <c r="AG397"/>
      <c r="AH397">
        <v>8</v>
      </c>
      <c r="AI397"/>
      <c r="AJ397"/>
      <c r="AK397"/>
      <c r="AL397"/>
      <c r="AM397"/>
      <c r="AN397"/>
      <c r="AO397"/>
      <c r="AP397"/>
      <c r="AQ397"/>
      <c r="AR397"/>
      <c r="AS397"/>
      <c r="AT397" t="inlineStr">
        <is>
          <t>☆</t>
        </is>
      </c>
      <c r="AU397" t="inlineStr">
        <is>
          <t>☆</t>
        </is>
      </c>
      <c r="AV397" t="inlineStr">
        <is>
          <t>☆</t>
        </is>
      </c>
      <c r="AW397" t="inlineStr">
        <is>
          <t>☆</t>
        </is>
      </c>
      <c r="AX397" t="inlineStr">
        <is>
          <t>☆</t>
        </is>
      </c>
      <c r="AY397" t="inlineStr">
        <is>
          <t>☆</t>
        </is>
      </c>
      <c r="AZ397" t="inlineStr">
        <is>
          <t>☆</t>
        </is>
      </c>
      <c r="BA397" t="inlineStr">
        <is>
          <t>☆</t>
        </is>
      </c>
      <c r="BB397" t="inlineStr">
        <is>
          <t>☆</t>
        </is>
      </c>
      <c r="BC397" t="inlineStr">
        <is>
          <t>☆</t>
        </is>
      </c>
      <c r="BD397" t="inlineStr">
        <is>
          <t>☆</t>
        </is>
      </c>
      <c r="BE397" t="inlineStr">
        <is>
          <t>☆</t>
        </is>
      </c>
      <c r="BF397" t="inlineStr">
        <is>
          <t>☆</t>
        </is>
      </c>
      <c r="BG397" t="inlineStr">
        <is>
          <t>☆</t>
        </is>
      </c>
      <c r="BH397" t="inlineStr">
        <is>
          <t>☆</t>
        </is>
      </c>
      <c r="BI397" t="inlineStr">
        <is>
          <t>☆</t>
        </is>
      </c>
      <c r="BJ397" t="inlineStr">
        <is>
          <t>☆</t>
        </is>
      </c>
      <c r="BK397" t="inlineStr">
        <is>
          <t>☆</t>
        </is>
      </c>
      <c r="BL397" t="inlineStr">
        <is>
          <t>☆</t>
        </is>
      </c>
      <c r="BM397" t="inlineStr">
        <is>
          <t>☆</t>
        </is>
      </c>
      <c r="BN397" t="inlineStr">
        <is>
          <t>☆</t>
        </is>
      </c>
      <c r="BO397" t="inlineStr">
        <is>
          <t>☆</t>
        </is>
      </c>
      <c r="BP397" t="inlineStr">
        <is>
          <t>☆</t>
        </is>
      </c>
      <c r="BQ397" t="inlineStr">
        <is>
          <t>☆</t>
        </is>
      </c>
      <c r="BR397"/>
      <c r="BS397" t="inlineStr">
        <is>
          <t>#VALUE!</t>
        </is>
      </c>
    </row>
    <row r="398" ht="25.5" customHeight="1">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row>
    <row r="399" ht="25.5" customHeight="1">
      <c r="A399" t="inlineStr">
        <is>
          <t>UK</t>
        </is>
      </c>
      <c r="B399" t="inlineStr">
        <is>
          <t>R0001EU</t>
        </is>
      </c>
      <c r="C399" t="inlineStr">
        <is>
          <t>R0014EU</t>
        </is>
      </c>
      <c r="D399" t="inlineStr">
        <is>
          <t>清洁刷(coupon-0%）</t>
        </is>
      </c>
      <c r="E399">
        <v>15.2</v>
      </c>
      <c r="F399">
        <v>21.99</v>
      </c>
      <c r="G399"/>
      <c r="H399"/>
      <c r="I399"/>
      <c r="J399"/>
      <c r="K399"/>
      <c r="L399"/>
      <c r="M399"/>
      <c r="N399"/>
      <c r="O399"/>
      <c r="P399">
        <v>20</v>
      </c>
      <c r="Q399">
        <v>9</v>
      </c>
      <c r="R399"/>
      <c r="S399"/>
      <c r="T399"/>
      <c r="U399">
        <v>0.01</v>
      </c>
      <c r="V399"/>
      <c r="W399"/>
      <c r="X399">
        <v>0.178</v>
      </c>
      <c r="Y399">
        <v>3.5</v>
      </c>
      <c r="Z399">
        <v>0</v>
      </c>
      <c r="AA399"/>
      <c r="AB399"/>
      <c r="AC399">
        <v>40</v>
      </c>
      <c r="AD399"/>
      <c r="AE399"/>
      <c r="AF399"/>
      <c r="AG399"/>
      <c r="AH399">
        <v>6</v>
      </c>
      <c r="AI399"/>
      <c r="AJ399"/>
      <c r="AK399"/>
      <c r="AL399"/>
      <c r="AM399"/>
      <c r="AN399"/>
      <c r="AO399"/>
      <c r="AP399"/>
      <c r="AQ399"/>
      <c r="AR399"/>
      <c r="AS399"/>
      <c r="AT399" t="inlineStr">
        <is>
          <t>☆</t>
        </is>
      </c>
      <c r="AU399" t="inlineStr">
        <is>
          <t>☆</t>
        </is>
      </c>
      <c r="AV399" t="inlineStr">
        <is>
          <t>☆</t>
        </is>
      </c>
      <c r="AW399" t="inlineStr">
        <is>
          <t>☆</t>
        </is>
      </c>
      <c r="AX399" t="inlineStr">
        <is>
          <t>☆</t>
        </is>
      </c>
      <c r="AY399" t="inlineStr">
        <is>
          <t>☆</t>
        </is>
      </c>
      <c r="AZ399" t="inlineStr">
        <is>
          <t>☆</t>
        </is>
      </c>
      <c r="BA399" t="inlineStr">
        <is>
          <t>☆</t>
        </is>
      </c>
      <c r="BB399" t="inlineStr">
        <is>
          <t>☆</t>
        </is>
      </c>
      <c r="BC399" t="inlineStr">
        <is>
          <t>☆</t>
        </is>
      </c>
      <c r="BD399" t="inlineStr">
        <is>
          <t>☆</t>
        </is>
      </c>
      <c r="BE399" t="inlineStr">
        <is>
          <t>☆</t>
        </is>
      </c>
      <c r="BF399" t="inlineStr">
        <is>
          <t>☆</t>
        </is>
      </c>
      <c r="BG399" t="inlineStr">
        <is>
          <t>☆</t>
        </is>
      </c>
      <c r="BH399" t="inlineStr">
        <is>
          <t>☆</t>
        </is>
      </c>
      <c r="BI399" t="inlineStr">
        <is>
          <t>☆</t>
        </is>
      </c>
      <c r="BJ399" t="inlineStr">
        <is>
          <t>☆</t>
        </is>
      </c>
      <c r="BK399" t="inlineStr">
        <is>
          <t>☆</t>
        </is>
      </c>
      <c r="BL399" t="inlineStr">
        <is>
          <t>☆</t>
        </is>
      </c>
      <c r="BM399" t="inlineStr">
        <is>
          <t>☆</t>
        </is>
      </c>
      <c r="BN399" t="inlineStr">
        <is>
          <t>☆</t>
        </is>
      </c>
      <c r="BO399" t="inlineStr">
        <is>
          <t>☆</t>
        </is>
      </c>
      <c r="BP399" t="inlineStr">
        <is>
          <t>☆</t>
        </is>
      </c>
      <c r="BQ399" t="inlineStr">
        <is>
          <t>☆</t>
        </is>
      </c>
      <c r="BR399"/>
      <c r="BS399" t="inlineStr">
        <is>
          <t>#VALUE!</t>
        </is>
      </c>
    </row>
    <row r="400" ht="25.5" customHeight="1">
      <c r="A400" t="inlineStr">
        <is>
          <t>UK</t>
        </is>
      </c>
      <c r="B400" t="inlineStr">
        <is>
          <t>R0001EU</t>
        </is>
      </c>
      <c r="C400" t="inlineStr">
        <is>
          <t>R0014EU</t>
        </is>
      </c>
      <c r="D400" t="inlineStr">
        <is>
          <t>清洁刷(coupon-10%）</t>
        </is>
      </c>
      <c r="E400">
        <v>15.2</v>
      </c>
      <c r="F400">
        <v>21.99</v>
      </c>
      <c r="G400"/>
      <c r="H400"/>
      <c r="I400"/>
      <c r="J400"/>
      <c r="K400"/>
      <c r="L400"/>
      <c r="M400"/>
      <c r="N400"/>
      <c r="O400"/>
      <c r="P400">
        <v>20</v>
      </c>
      <c r="Q400">
        <v>9</v>
      </c>
      <c r="R400"/>
      <c r="S400"/>
      <c r="T400"/>
      <c r="U400">
        <v>0.01</v>
      </c>
      <c r="V400"/>
      <c r="W400"/>
      <c r="X400">
        <v>0.178</v>
      </c>
      <c r="Y400">
        <v>3.5</v>
      </c>
      <c r="Z400"/>
      <c r="AA400"/>
      <c r="AB400"/>
      <c r="AC400">
        <v>40</v>
      </c>
      <c r="AD400"/>
      <c r="AE400"/>
      <c r="AF400"/>
      <c r="AG400"/>
      <c r="AH400">
        <v>6</v>
      </c>
      <c r="AI400"/>
      <c r="AJ400"/>
      <c r="AK400"/>
      <c r="AL400"/>
      <c r="AM400"/>
      <c r="AN400"/>
      <c r="AO400"/>
      <c r="AP400"/>
      <c r="AQ400"/>
      <c r="AR400"/>
      <c r="AS400"/>
      <c r="AT400" t="inlineStr">
        <is>
          <t>☆</t>
        </is>
      </c>
      <c r="AU400" t="inlineStr">
        <is>
          <t>☆</t>
        </is>
      </c>
      <c r="AV400" t="inlineStr">
        <is>
          <t>☆</t>
        </is>
      </c>
      <c r="AW400" t="inlineStr">
        <is>
          <t>☆</t>
        </is>
      </c>
      <c r="AX400" t="inlineStr">
        <is>
          <t>☆</t>
        </is>
      </c>
      <c r="AY400" t="inlineStr">
        <is>
          <t>☆</t>
        </is>
      </c>
      <c r="AZ400" t="inlineStr">
        <is>
          <t>☆</t>
        </is>
      </c>
      <c r="BA400" t="inlineStr">
        <is>
          <t>☆</t>
        </is>
      </c>
      <c r="BB400" t="inlineStr">
        <is>
          <t>☆</t>
        </is>
      </c>
      <c r="BC400" t="inlineStr">
        <is>
          <t>☆</t>
        </is>
      </c>
      <c r="BD400" t="inlineStr">
        <is>
          <t>☆</t>
        </is>
      </c>
      <c r="BE400" t="inlineStr">
        <is>
          <t>☆</t>
        </is>
      </c>
      <c r="BF400" t="inlineStr">
        <is>
          <t>☆</t>
        </is>
      </c>
      <c r="BG400" t="inlineStr">
        <is>
          <t>☆</t>
        </is>
      </c>
      <c r="BH400" t="inlineStr">
        <is>
          <t>☆</t>
        </is>
      </c>
      <c r="BI400" t="inlineStr">
        <is>
          <t>☆</t>
        </is>
      </c>
      <c r="BJ400" t="inlineStr">
        <is>
          <t>☆</t>
        </is>
      </c>
      <c r="BK400" t="inlineStr">
        <is>
          <t>☆</t>
        </is>
      </c>
      <c r="BL400" t="inlineStr">
        <is>
          <t>☆</t>
        </is>
      </c>
      <c r="BM400" t="inlineStr">
        <is>
          <t>☆</t>
        </is>
      </c>
      <c r="BN400" t="inlineStr">
        <is>
          <t>☆</t>
        </is>
      </c>
      <c r="BO400" t="inlineStr">
        <is>
          <t>☆</t>
        </is>
      </c>
      <c r="BP400" t="inlineStr">
        <is>
          <t>☆</t>
        </is>
      </c>
      <c r="BQ400" t="inlineStr">
        <is>
          <t>☆</t>
        </is>
      </c>
      <c r="BR400"/>
      <c r="BS400" t="inlineStr">
        <is>
          <t>#VALUE!</t>
        </is>
      </c>
    </row>
    <row r="401" ht="25.5" customHeight="1">
      <c r="A401" t="inlineStr">
        <is>
          <t>UK</t>
        </is>
      </c>
      <c r="B401" t="inlineStr">
        <is>
          <t>R0001EU</t>
        </is>
      </c>
      <c r="C401" t="inlineStr">
        <is>
          <t>R0014EU</t>
        </is>
      </c>
      <c r="D401" t="inlineStr">
        <is>
          <t>清洁刷(coupon-15%）</t>
        </is>
      </c>
      <c r="E401">
        <v>15.2</v>
      </c>
      <c r="F401">
        <v>21.99</v>
      </c>
      <c r="G401"/>
      <c r="H401"/>
      <c r="I401"/>
      <c r="J401"/>
      <c r="K401"/>
      <c r="L401"/>
      <c r="M401"/>
      <c r="N401"/>
      <c r="O401"/>
      <c r="P401">
        <v>20</v>
      </c>
      <c r="Q401">
        <v>9</v>
      </c>
      <c r="R401"/>
      <c r="S401"/>
      <c r="T401"/>
      <c r="U401">
        <v>0.01</v>
      </c>
      <c r="V401"/>
      <c r="W401"/>
      <c r="X401">
        <v>0.178</v>
      </c>
      <c r="Y401">
        <v>3.5</v>
      </c>
      <c r="Z401"/>
      <c r="AA401"/>
      <c r="AB401"/>
      <c r="AC401">
        <v>40</v>
      </c>
      <c r="AD401"/>
      <c r="AE401"/>
      <c r="AF401"/>
      <c r="AG401"/>
      <c r="AH401">
        <v>6</v>
      </c>
      <c r="AI401"/>
      <c r="AJ401"/>
      <c r="AK401"/>
      <c r="AL401"/>
      <c r="AM401"/>
      <c r="AN401"/>
      <c r="AO401"/>
      <c r="AP401"/>
      <c r="AQ401"/>
      <c r="AR401"/>
      <c r="AS401"/>
      <c r="AT401" t="inlineStr">
        <is>
          <t>☆</t>
        </is>
      </c>
      <c r="AU401" t="inlineStr">
        <is>
          <t>☆</t>
        </is>
      </c>
      <c r="AV401" t="inlineStr">
        <is>
          <t>☆</t>
        </is>
      </c>
      <c r="AW401" t="inlineStr">
        <is>
          <t>☆</t>
        </is>
      </c>
      <c r="AX401" t="inlineStr">
        <is>
          <t>☆</t>
        </is>
      </c>
      <c r="AY401" t="inlineStr">
        <is>
          <t>☆</t>
        </is>
      </c>
      <c r="AZ401" t="inlineStr">
        <is>
          <t>☆</t>
        </is>
      </c>
      <c r="BA401" t="inlineStr">
        <is>
          <t>☆</t>
        </is>
      </c>
      <c r="BB401" t="inlineStr">
        <is>
          <t>☆</t>
        </is>
      </c>
      <c r="BC401" t="inlineStr">
        <is>
          <t>☆</t>
        </is>
      </c>
      <c r="BD401" t="inlineStr">
        <is>
          <t>☆</t>
        </is>
      </c>
      <c r="BE401" t="inlineStr">
        <is>
          <t>☆</t>
        </is>
      </c>
      <c r="BF401" t="inlineStr">
        <is>
          <t>☆</t>
        </is>
      </c>
      <c r="BG401" t="inlineStr">
        <is>
          <t>☆</t>
        </is>
      </c>
      <c r="BH401" t="inlineStr">
        <is>
          <t>☆</t>
        </is>
      </c>
      <c r="BI401" t="inlineStr">
        <is>
          <t>☆</t>
        </is>
      </c>
      <c r="BJ401" t="inlineStr">
        <is>
          <t>☆</t>
        </is>
      </c>
      <c r="BK401" t="inlineStr">
        <is>
          <t>☆</t>
        </is>
      </c>
      <c r="BL401" t="inlineStr">
        <is>
          <t>☆</t>
        </is>
      </c>
      <c r="BM401" t="inlineStr">
        <is>
          <t>☆</t>
        </is>
      </c>
      <c r="BN401" t="inlineStr">
        <is>
          <t>☆</t>
        </is>
      </c>
      <c r="BO401" t="inlineStr">
        <is>
          <t>☆</t>
        </is>
      </c>
      <c r="BP401" t="inlineStr">
        <is>
          <t>☆</t>
        </is>
      </c>
      <c r="BQ401" t="inlineStr">
        <is>
          <t>☆</t>
        </is>
      </c>
      <c r="BR401"/>
      <c r="BS401" t="inlineStr">
        <is>
          <t>#VALUE!</t>
        </is>
      </c>
    </row>
    <row r="402" ht="25.5" customHeight="1">
      <c r="A402" t="inlineStr">
        <is>
          <t>DE</t>
        </is>
      </c>
      <c r="B402" t="inlineStr">
        <is>
          <t>R0001EU</t>
        </is>
      </c>
      <c r="C402" t="inlineStr">
        <is>
          <t>R0014EU</t>
        </is>
      </c>
      <c r="D402" t="inlineStr">
        <is>
          <t>清洁刷(coupon-0%）</t>
        </is>
      </c>
      <c r="E402">
        <v>17.2</v>
      </c>
      <c r="F402">
        <v>24.99</v>
      </c>
      <c r="G402"/>
      <c r="H402"/>
      <c r="I402"/>
      <c r="J402"/>
      <c r="K402"/>
      <c r="L402"/>
      <c r="M402"/>
      <c r="N402"/>
      <c r="O402"/>
      <c r="P402">
        <v>20</v>
      </c>
      <c r="Q402">
        <v>8</v>
      </c>
      <c r="R402"/>
      <c r="S402"/>
      <c r="T402"/>
      <c r="U402">
        <v>0.01</v>
      </c>
      <c r="V402"/>
      <c r="W402"/>
      <c r="X402">
        <v>0.188</v>
      </c>
      <c r="Y402">
        <v>3.5</v>
      </c>
      <c r="Z402">
        <v>0</v>
      </c>
      <c r="AA402"/>
      <c r="AB402"/>
      <c r="AC402">
        <v>40</v>
      </c>
      <c r="AD402"/>
      <c r="AE402"/>
      <c r="AF402"/>
      <c r="AG402"/>
      <c r="AH402">
        <v>6</v>
      </c>
      <c r="AI402"/>
      <c r="AJ402"/>
      <c r="AK402"/>
      <c r="AL402"/>
      <c r="AM402"/>
      <c r="AN402"/>
      <c r="AO402"/>
      <c r="AP402"/>
      <c r="AQ402"/>
      <c r="AR402"/>
      <c r="AS402"/>
      <c r="AT402" t="inlineStr">
        <is>
          <t>☆</t>
        </is>
      </c>
      <c r="AU402" t="inlineStr">
        <is>
          <t>☆</t>
        </is>
      </c>
      <c r="AV402" t="inlineStr">
        <is>
          <t>☆</t>
        </is>
      </c>
      <c r="AW402" t="inlineStr">
        <is>
          <t>☆</t>
        </is>
      </c>
      <c r="AX402" t="inlineStr">
        <is>
          <t>☆</t>
        </is>
      </c>
      <c r="AY402" t="inlineStr">
        <is>
          <t>☆</t>
        </is>
      </c>
      <c r="AZ402" t="inlineStr">
        <is>
          <t>☆</t>
        </is>
      </c>
      <c r="BA402" t="inlineStr">
        <is>
          <t>☆</t>
        </is>
      </c>
      <c r="BB402" t="inlineStr">
        <is>
          <t>☆</t>
        </is>
      </c>
      <c r="BC402" t="inlineStr">
        <is>
          <t>☆</t>
        </is>
      </c>
      <c r="BD402" t="inlineStr">
        <is>
          <t>☆</t>
        </is>
      </c>
      <c r="BE402" t="inlineStr">
        <is>
          <t>☆</t>
        </is>
      </c>
      <c r="BF402" t="inlineStr">
        <is>
          <t>☆</t>
        </is>
      </c>
      <c r="BG402" t="inlineStr">
        <is>
          <t>☆</t>
        </is>
      </c>
      <c r="BH402" t="inlineStr">
        <is>
          <t>☆</t>
        </is>
      </c>
      <c r="BI402" t="inlineStr">
        <is>
          <t>☆</t>
        </is>
      </c>
      <c r="BJ402" t="inlineStr">
        <is>
          <t>☆</t>
        </is>
      </c>
      <c r="BK402" t="inlineStr">
        <is>
          <t>☆</t>
        </is>
      </c>
      <c r="BL402" t="inlineStr">
        <is>
          <t>☆</t>
        </is>
      </c>
      <c r="BM402" t="inlineStr">
        <is>
          <t>☆</t>
        </is>
      </c>
      <c r="BN402" t="inlineStr">
        <is>
          <t>☆</t>
        </is>
      </c>
      <c r="BO402" t="inlineStr">
        <is>
          <t>☆</t>
        </is>
      </c>
      <c r="BP402" t="inlineStr">
        <is>
          <t>☆</t>
        </is>
      </c>
      <c r="BQ402" t="inlineStr">
        <is>
          <t>☆</t>
        </is>
      </c>
      <c r="BR402"/>
      <c r="BS402" t="inlineStr">
        <is>
          <t>#VALUE!</t>
        </is>
      </c>
    </row>
    <row r="403" ht="25.5" customHeight="1">
      <c r="A403" t="inlineStr">
        <is>
          <t>DE</t>
        </is>
      </c>
      <c r="B403" t="inlineStr">
        <is>
          <t>R0001EU</t>
        </is>
      </c>
      <c r="C403" t="inlineStr">
        <is>
          <t>R0014EU</t>
        </is>
      </c>
      <c r="D403" t="inlineStr">
        <is>
          <t>清洁刷(coupon-10%）</t>
        </is>
      </c>
      <c r="E403">
        <v>17.2</v>
      </c>
      <c r="F403">
        <v>24.99</v>
      </c>
      <c r="G403"/>
      <c r="H403"/>
      <c r="I403"/>
      <c r="J403"/>
      <c r="K403"/>
      <c r="L403"/>
      <c r="M403"/>
      <c r="N403"/>
      <c r="O403"/>
      <c r="P403">
        <v>20</v>
      </c>
      <c r="Q403">
        <v>8</v>
      </c>
      <c r="R403"/>
      <c r="S403"/>
      <c r="T403"/>
      <c r="U403">
        <v>0.01</v>
      </c>
      <c r="V403"/>
      <c r="W403"/>
      <c r="X403">
        <v>0.188</v>
      </c>
      <c r="Y403">
        <v>3.5</v>
      </c>
      <c r="Z403"/>
      <c r="AA403"/>
      <c r="AB403"/>
      <c r="AC403">
        <v>40</v>
      </c>
      <c r="AD403"/>
      <c r="AE403"/>
      <c r="AF403"/>
      <c r="AG403"/>
      <c r="AH403">
        <v>6</v>
      </c>
      <c r="AI403"/>
      <c r="AJ403"/>
      <c r="AK403"/>
      <c r="AL403"/>
      <c r="AM403"/>
      <c r="AN403"/>
      <c r="AO403"/>
      <c r="AP403"/>
      <c r="AQ403"/>
      <c r="AR403"/>
      <c r="AS403"/>
      <c r="AT403" t="inlineStr">
        <is>
          <t>☆</t>
        </is>
      </c>
      <c r="AU403" t="inlineStr">
        <is>
          <t>☆</t>
        </is>
      </c>
      <c r="AV403" t="inlineStr">
        <is>
          <t>☆</t>
        </is>
      </c>
      <c r="AW403" t="inlineStr">
        <is>
          <t>☆</t>
        </is>
      </c>
      <c r="AX403" t="inlineStr">
        <is>
          <t>☆</t>
        </is>
      </c>
      <c r="AY403" t="inlineStr">
        <is>
          <t>☆</t>
        </is>
      </c>
      <c r="AZ403" t="inlineStr">
        <is>
          <t>☆</t>
        </is>
      </c>
      <c r="BA403" t="inlineStr">
        <is>
          <t>☆</t>
        </is>
      </c>
      <c r="BB403" t="inlineStr">
        <is>
          <t>☆</t>
        </is>
      </c>
      <c r="BC403" t="inlineStr">
        <is>
          <t>☆</t>
        </is>
      </c>
      <c r="BD403" t="inlineStr">
        <is>
          <t>☆</t>
        </is>
      </c>
      <c r="BE403" t="inlineStr">
        <is>
          <t>☆</t>
        </is>
      </c>
      <c r="BF403" t="inlineStr">
        <is>
          <t>☆</t>
        </is>
      </c>
      <c r="BG403" t="inlineStr">
        <is>
          <t>☆</t>
        </is>
      </c>
      <c r="BH403" t="inlineStr">
        <is>
          <t>☆</t>
        </is>
      </c>
      <c r="BI403" t="inlineStr">
        <is>
          <t>☆</t>
        </is>
      </c>
      <c r="BJ403" t="inlineStr">
        <is>
          <t>☆</t>
        </is>
      </c>
      <c r="BK403" t="inlineStr">
        <is>
          <t>☆</t>
        </is>
      </c>
      <c r="BL403" t="inlineStr">
        <is>
          <t>☆</t>
        </is>
      </c>
      <c r="BM403" t="inlineStr">
        <is>
          <t>☆</t>
        </is>
      </c>
      <c r="BN403" t="inlineStr">
        <is>
          <t>☆</t>
        </is>
      </c>
      <c r="BO403" t="inlineStr">
        <is>
          <t>☆</t>
        </is>
      </c>
      <c r="BP403" t="inlineStr">
        <is>
          <t>☆</t>
        </is>
      </c>
      <c r="BQ403" t="inlineStr">
        <is>
          <t>☆</t>
        </is>
      </c>
      <c r="BR403"/>
      <c r="BS403" t="inlineStr">
        <is>
          <t>#VALUE!</t>
        </is>
      </c>
    </row>
    <row r="404" ht="25.5" customHeight="1">
      <c r="A404" t="inlineStr">
        <is>
          <t>DE</t>
        </is>
      </c>
      <c r="B404" t="inlineStr">
        <is>
          <t>R0001EU</t>
        </is>
      </c>
      <c r="C404" t="inlineStr">
        <is>
          <t>R0014EU</t>
        </is>
      </c>
      <c r="D404" t="inlineStr">
        <is>
          <t>清洁刷(coupon-15%）</t>
        </is>
      </c>
      <c r="E404">
        <v>17.2</v>
      </c>
      <c r="F404">
        <v>24.99</v>
      </c>
      <c r="G404"/>
      <c r="H404"/>
      <c r="I404"/>
      <c r="J404"/>
      <c r="K404"/>
      <c r="L404"/>
      <c r="M404"/>
      <c r="N404"/>
      <c r="O404"/>
      <c r="P404">
        <v>20</v>
      </c>
      <c r="Q404">
        <v>8</v>
      </c>
      <c r="R404"/>
      <c r="S404"/>
      <c r="T404"/>
      <c r="U404">
        <v>0.01</v>
      </c>
      <c r="V404"/>
      <c r="W404"/>
      <c r="X404">
        <v>0.188</v>
      </c>
      <c r="Y404">
        <v>3.5</v>
      </c>
      <c r="Z404"/>
      <c r="AA404"/>
      <c r="AB404"/>
      <c r="AC404">
        <v>40</v>
      </c>
      <c r="AD404"/>
      <c r="AE404"/>
      <c r="AF404"/>
      <c r="AG404"/>
      <c r="AH404">
        <v>6</v>
      </c>
      <c r="AI404"/>
      <c r="AJ404"/>
      <c r="AK404"/>
      <c r="AL404"/>
      <c r="AM404"/>
      <c r="AN404"/>
      <c r="AO404"/>
      <c r="AP404"/>
      <c r="AQ404"/>
      <c r="AR404"/>
      <c r="AS404"/>
      <c r="AT404" t="inlineStr">
        <is>
          <t>☆</t>
        </is>
      </c>
      <c r="AU404" t="inlineStr">
        <is>
          <t>☆</t>
        </is>
      </c>
      <c r="AV404" t="inlineStr">
        <is>
          <t>☆</t>
        </is>
      </c>
      <c r="AW404" t="inlineStr">
        <is>
          <t>☆</t>
        </is>
      </c>
      <c r="AX404" t="inlineStr">
        <is>
          <t>☆</t>
        </is>
      </c>
      <c r="AY404" t="inlineStr">
        <is>
          <t>☆</t>
        </is>
      </c>
      <c r="AZ404" t="inlineStr">
        <is>
          <t>☆</t>
        </is>
      </c>
      <c r="BA404" t="inlineStr">
        <is>
          <t>☆</t>
        </is>
      </c>
      <c r="BB404" t="inlineStr">
        <is>
          <t>☆</t>
        </is>
      </c>
      <c r="BC404" t="inlineStr">
        <is>
          <t>☆</t>
        </is>
      </c>
      <c r="BD404" t="inlineStr">
        <is>
          <t>☆</t>
        </is>
      </c>
      <c r="BE404" t="inlineStr">
        <is>
          <t>☆</t>
        </is>
      </c>
      <c r="BF404" t="inlineStr">
        <is>
          <t>☆</t>
        </is>
      </c>
      <c r="BG404" t="inlineStr">
        <is>
          <t>☆</t>
        </is>
      </c>
      <c r="BH404" t="inlineStr">
        <is>
          <t>☆</t>
        </is>
      </c>
      <c r="BI404" t="inlineStr">
        <is>
          <t>☆</t>
        </is>
      </c>
      <c r="BJ404" t="inlineStr">
        <is>
          <t>☆</t>
        </is>
      </c>
      <c r="BK404" t="inlineStr">
        <is>
          <t>☆</t>
        </is>
      </c>
      <c r="BL404" t="inlineStr">
        <is>
          <t>☆</t>
        </is>
      </c>
      <c r="BM404" t="inlineStr">
        <is>
          <t>☆</t>
        </is>
      </c>
      <c r="BN404" t="inlineStr">
        <is>
          <t>☆</t>
        </is>
      </c>
      <c r="BO404" t="inlineStr">
        <is>
          <t>☆</t>
        </is>
      </c>
      <c r="BP404" t="inlineStr">
        <is>
          <t>☆</t>
        </is>
      </c>
      <c r="BQ404" t="inlineStr">
        <is>
          <t>☆</t>
        </is>
      </c>
      <c r="BR404"/>
      <c r="BS404" t="inlineStr">
        <is>
          <t>#VALUE!</t>
        </is>
      </c>
    </row>
    <row r="405" ht="25.5" customHeight="1">
      <c r="A405" t="inlineStr">
        <is>
          <t>FR</t>
        </is>
      </c>
      <c r="B405" t="inlineStr">
        <is>
          <t>R0001EU</t>
        </is>
      </c>
      <c r="C405" t="inlineStr">
        <is>
          <t>R0014EU</t>
        </is>
      </c>
      <c r="D405" t="inlineStr">
        <is>
          <t>清洁刷(coupon-0%）</t>
        </is>
      </c>
      <c r="E405">
        <v>17.2</v>
      </c>
      <c r="F405">
        <v>24.99</v>
      </c>
      <c r="G405"/>
      <c r="H405"/>
      <c r="I405"/>
      <c r="J405"/>
      <c r="K405"/>
      <c r="L405"/>
      <c r="M405"/>
      <c r="N405"/>
      <c r="O405"/>
      <c r="P405">
        <v>20</v>
      </c>
      <c r="Q405">
        <v>8</v>
      </c>
      <c r="R405"/>
      <c r="S405"/>
      <c r="T405"/>
      <c r="U405">
        <v>0.01</v>
      </c>
      <c r="V405"/>
      <c r="W405"/>
      <c r="X405">
        <v>0.188</v>
      </c>
      <c r="Y405">
        <v>3.5</v>
      </c>
      <c r="Z405">
        <v>0</v>
      </c>
      <c r="AA405"/>
      <c r="AB405"/>
      <c r="AC405">
        <v>40</v>
      </c>
      <c r="AD405"/>
      <c r="AE405"/>
      <c r="AF405"/>
      <c r="AG405"/>
      <c r="AH405">
        <v>6</v>
      </c>
      <c r="AI405"/>
      <c r="AJ405"/>
      <c r="AK405"/>
      <c r="AL405"/>
      <c r="AM405"/>
      <c r="AN405"/>
      <c r="AO405"/>
      <c r="AP405"/>
      <c r="AQ405"/>
      <c r="AR405"/>
      <c r="AS405"/>
      <c r="AT405" t="inlineStr">
        <is>
          <t>☆</t>
        </is>
      </c>
      <c r="AU405" t="inlineStr">
        <is>
          <t>☆</t>
        </is>
      </c>
      <c r="AV405" t="inlineStr">
        <is>
          <t>☆</t>
        </is>
      </c>
      <c r="AW405" t="inlineStr">
        <is>
          <t>☆</t>
        </is>
      </c>
      <c r="AX405" t="inlineStr">
        <is>
          <t>☆</t>
        </is>
      </c>
      <c r="AY405" t="inlineStr">
        <is>
          <t>☆</t>
        </is>
      </c>
      <c r="AZ405" t="inlineStr">
        <is>
          <t>☆</t>
        </is>
      </c>
      <c r="BA405" t="inlineStr">
        <is>
          <t>☆</t>
        </is>
      </c>
      <c r="BB405" t="inlineStr">
        <is>
          <t>☆</t>
        </is>
      </c>
      <c r="BC405" t="inlineStr">
        <is>
          <t>☆</t>
        </is>
      </c>
      <c r="BD405" t="inlineStr">
        <is>
          <t>☆</t>
        </is>
      </c>
      <c r="BE405" t="inlineStr">
        <is>
          <t>☆</t>
        </is>
      </c>
      <c r="BF405" t="inlineStr">
        <is>
          <t>☆</t>
        </is>
      </c>
      <c r="BG405" t="inlineStr">
        <is>
          <t>☆</t>
        </is>
      </c>
      <c r="BH405" t="inlineStr">
        <is>
          <t>☆</t>
        </is>
      </c>
      <c r="BI405" t="inlineStr">
        <is>
          <t>☆</t>
        </is>
      </c>
      <c r="BJ405" t="inlineStr">
        <is>
          <t>☆</t>
        </is>
      </c>
      <c r="BK405" t="inlineStr">
        <is>
          <t>☆</t>
        </is>
      </c>
      <c r="BL405" t="inlineStr">
        <is>
          <t>☆</t>
        </is>
      </c>
      <c r="BM405" t="inlineStr">
        <is>
          <t>☆</t>
        </is>
      </c>
      <c r="BN405" t="inlineStr">
        <is>
          <t>☆</t>
        </is>
      </c>
      <c r="BO405" t="inlineStr">
        <is>
          <t>☆</t>
        </is>
      </c>
      <c r="BP405" t="inlineStr">
        <is>
          <t>☆</t>
        </is>
      </c>
      <c r="BQ405" t="inlineStr">
        <is>
          <t>☆</t>
        </is>
      </c>
      <c r="BR405"/>
      <c r="BS405" t="inlineStr">
        <is>
          <t>#VALUE!</t>
        </is>
      </c>
    </row>
    <row r="406" ht="25.5" customHeight="1">
      <c r="A406" t="inlineStr">
        <is>
          <t>FR</t>
        </is>
      </c>
      <c r="B406" t="inlineStr">
        <is>
          <t>R0001EU</t>
        </is>
      </c>
      <c r="C406" t="inlineStr">
        <is>
          <t>R0014EU</t>
        </is>
      </c>
      <c r="D406" t="inlineStr">
        <is>
          <t>清洁刷(coupon-10%）</t>
        </is>
      </c>
      <c r="E406">
        <v>17.2</v>
      </c>
      <c r="F406">
        <v>24.99</v>
      </c>
      <c r="G406"/>
      <c r="H406"/>
      <c r="I406"/>
      <c r="J406"/>
      <c r="K406"/>
      <c r="L406"/>
      <c r="M406"/>
      <c r="N406"/>
      <c r="O406"/>
      <c r="P406">
        <v>20</v>
      </c>
      <c r="Q406">
        <v>8</v>
      </c>
      <c r="R406"/>
      <c r="S406"/>
      <c r="T406"/>
      <c r="U406">
        <v>0.01</v>
      </c>
      <c r="V406"/>
      <c r="W406"/>
      <c r="X406">
        <v>0.188</v>
      </c>
      <c r="Y406">
        <v>3.5</v>
      </c>
      <c r="Z406"/>
      <c r="AA406"/>
      <c r="AB406"/>
      <c r="AC406">
        <v>40</v>
      </c>
      <c r="AD406"/>
      <c r="AE406"/>
      <c r="AF406"/>
      <c r="AG406"/>
      <c r="AH406">
        <v>6</v>
      </c>
      <c r="AI406"/>
      <c r="AJ406"/>
      <c r="AK406"/>
      <c r="AL406"/>
      <c r="AM406"/>
      <c r="AN406"/>
      <c r="AO406"/>
      <c r="AP406"/>
      <c r="AQ406"/>
      <c r="AR406"/>
      <c r="AS406"/>
      <c r="AT406" t="inlineStr">
        <is>
          <t>☆</t>
        </is>
      </c>
      <c r="AU406" t="inlineStr">
        <is>
          <t>☆</t>
        </is>
      </c>
      <c r="AV406" t="inlineStr">
        <is>
          <t>☆</t>
        </is>
      </c>
      <c r="AW406" t="inlineStr">
        <is>
          <t>☆</t>
        </is>
      </c>
      <c r="AX406" t="inlineStr">
        <is>
          <t>☆</t>
        </is>
      </c>
      <c r="AY406" t="inlineStr">
        <is>
          <t>☆</t>
        </is>
      </c>
      <c r="AZ406" t="inlineStr">
        <is>
          <t>☆</t>
        </is>
      </c>
      <c r="BA406" t="inlineStr">
        <is>
          <t>☆</t>
        </is>
      </c>
      <c r="BB406" t="inlineStr">
        <is>
          <t>☆</t>
        </is>
      </c>
      <c r="BC406" t="inlineStr">
        <is>
          <t>☆</t>
        </is>
      </c>
      <c r="BD406" t="inlineStr">
        <is>
          <t>☆</t>
        </is>
      </c>
      <c r="BE406" t="inlineStr">
        <is>
          <t>☆</t>
        </is>
      </c>
      <c r="BF406" t="inlineStr">
        <is>
          <t>☆</t>
        </is>
      </c>
      <c r="BG406" t="inlineStr">
        <is>
          <t>☆</t>
        </is>
      </c>
      <c r="BH406" t="inlineStr">
        <is>
          <t>☆</t>
        </is>
      </c>
      <c r="BI406" t="inlineStr">
        <is>
          <t>☆</t>
        </is>
      </c>
      <c r="BJ406" t="inlineStr">
        <is>
          <t>☆</t>
        </is>
      </c>
      <c r="BK406" t="inlineStr">
        <is>
          <t>☆</t>
        </is>
      </c>
      <c r="BL406" t="inlineStr">
        <is>
          <t>☆</t>
        </is>
      </c>
      <c r="BM406" t="inlineStr">
        <is>
          <t>☆</t>
        </is>
      </c>
      <c r="BN406" t="inlineStr">
        <is>
          <t>☆</t>
        </is>
      </c>
      <c r="BO406" t="inlineStr">
        <is>
          <t>☆</t>
        </is>
      </c>
      <c r="BP406" t="inlineStr">
        <is>
          <t>☆</t>
        </is>
      </c>
      <c r="BQ406" t="inlineStr">
        <is>
          <t>☆</t>
        </is>
      </c>
      <c r="BR406"/>
      <c r="BS406" t="inlineStr">
        <is>
          <t>#VALUE!</t>
        </is>
      </c>
    </row>
    <row r="407" ht="25.5" customHeight="1">
      <c r="A407" t="inlineStr">
        <is>
          <t>FR</t>
        </is>
      </c>
      <c r="B407" t="inlineStr">
        <is>
          <t>R0001EU</t>
        </is>
      </c>
      <c r="C407" t="inlineStr">
        <is>
          <t>R0014EU</t>
        </is>
      </c>
      <c r="D407" t="inlineStr">
        <is>
          <t>清洁刷(coupon-15%）</t>
        </is>
      </c>
      <c r="E407">
        <v>17.2</v>
      </c>
      <c r="F407">
        <v>24.99</v>
      </c>
      <c r="G407"/>
      <c r="H407"/>
      <c r="I407"/>
      <c r="J407"/>
      <c r="K407"/>
      <c r="L407"/>
      <c r="M407"/>
      <c r="N407"/>
      <c r="O407"/>
      <c r="P407">
        <v>20</v>
      </c>
      <c r="Q407">
        <v>8</v>
      </c>
      <c r="R407"/>
      <c r="S407"/>
      <c r="T407"/>
      <c r="U407">
        <v>0.01</v>
      </c>
      <c r="V407"/>
      <c r="W407"/>
      <c r="X407">
        <v>0.188</v>
      </c>
      <c r="Y407">
        <v>3.5</v>
      </c>
      <c r="Z407"/>
      <c r="AA407"/>
      <c r="AB407"/>
      <c r="AC407">
        <v>40</v>
      </c>
      <c r="AD407"/>
      <c r="AE407"/>
      <c r="AF407"/>
      <c r="AG407"/>
      <c r="AH407">
        <v>6</v>
      </c>
      <c r="AI407"/>
      <c r="AJ407"/>
      <c r="AK407"/>
      <c r="AL407"/>
      <c r="AM407"/>
      <c r="AN407"/>
      <c r="AO407"/>
      <c r="AP407"/>
      <c r="AQ407"/>
      <c r="AR407"/>
      <c r="AS407"/>
      <c r="AT407" t="inlineStr">
        <is>
          <t>☆</t>
        </is>
      </c>
      <c r="AU407" t="inlineStr">
        <is>
          <t>☆</t>
        </is>
      </c>
      <c r="AV407" t="inlineStr">
        <is>
          <t>☆</t>
        </is>
      </c>
      <c r="AW407" t="inlineStr">
        <is>
          <t>☆</t>
        </is>
      </c>
      <c r="AX407" t="inlineStr">
        <is>
          <t>☆</t>
        </is>
      </c>
      <c r="AY407" t="inlineStr">
        <is>
          <t>☆</t>
        </is>
      </c>
      <c r="AZ407" t="inlineStr">
        <is>
          <t>☆</t>
        </is>
      </c>
      <c r="BA407" t="inlineStr">
        <is>
          <t>☆</t>
        </is>
      </c>
      <c r="BB407" t="inlineStr">
        <is>
          <t>☆</t>
        </is>
      </c>
      <c r="BC407" t="inlineStr">
        <is>
          <t>☆</t>
        </is>
      </c>
      <c r="BD407" t="inlineStr">
        <is>
          <t>☆</t>
        </is>
      </c>
      <c r="BE407" t="inlineStr">
        <is>
          <t>☆</t>
        </is>
      </c>
      <c r="BF407" t="inlineStr">
        <is>
          <t>☆</t>
        </is>
      </c>
      <c r="BG407" t="inlineStr">
        <is>
          <t>☆</t>
        </is>
      </c>
      <c r="BH407" t="inlineStr">
        <is>
          <t>☆</t>
        </is>
      </c>
      <c r="BI407" t="inlineStr">
        <is>
          <t>☆</t>
        </is>
      </c>
      <c r="BJ407" t="inlineStr">
        <is>
          <t>☆</t>
        </is>
      </c>
      <c r="BK407" t="inlineStr">
        <is>
          <t>☆</t>
        </is>
      </c>
      <c r="BL407" t="inlineStr">
        <is>
          <t>☆</t>
        </is>
      </c>
      <c r="BM407" t="inlineStr">
        <is>
          <t>☆</t>
        </is>
      </c>
      <c r="BN407" t="inlineStr">
        <is>
          <t>☆</t>
        </is>
      </c>
      <c r="BO407" t="inlineStr">
        <is>
          <t>☆</t>
        </is>
      </c>
      <c r="BP407" t="inlineStr">
        <is>
          <t>☆</t>
        </is>
      </c>
      <c r="BQ407" t="inlineStr">
        <is>
          <t>☆</t>
        </is>
      </c>
      <c r="BR407"/>
      <c r="BS407" t="inlineStr">
        <is>
          <t>#VALUE!</t>
        </is>
      </c>
    </row>
    <row r="408" ht="25.5" customHeight="1">
      <c r="A408" t="inlineStr">
        <is>
          <t>IT</t>
        </is>
      </c>
      <c r="B408" t="inlineStr">
        <is>
          <t>R0001EU</t>
        </is>
      </c>
      <c r="C408" t="inlineStr">
        <is>
          <t>R0014EU</t>
        </is>
      </c>
      <c r="D408" t="inlineStr">
        <is>
          <t>清洁刷(coupon-0%）</t>
        </is>
      </c>
      <c r="E408">
        <v>17.2</v>
      </c>
      <c r="F408">
        <v>24.99</v>
      </c>
      <c r="G408"/>
      <c r="H408"/>
      <c r="I408"/>
      <c r="J408"/>
      <c r="K408"/>
      <c r="L408"/>
      <c r="M408"/>
      <c r="N408"/>
      <c r="O408"/>
      <c r="P408">
        <v>20</v>
      </c>
      <c r="Q408">
        <v>8</v>
      </c>
      <c r="R408"/>
      <c r="S408"/>
      <c r="T408"/>
      <c r="U408">
        <v>0.01</v>
      </c>
      <c r="V408"/>
      <c r="W408"/>
      <c r="X408">
        <v>0.188</v>
      </c>
      <c r="Y408">
        <v>3.5</v>
      </c>
      <c r="Z408">
        <v>0</v>
      </c>
      <c r="AA408"/>
      <c r="AB408"/>
      <c r="AC408">
        <v>40</v>
      </c>
      <c r="AD408"/>
      <c r="AE408"/>
      <c r="AF408"/>
      <c r="AG408"/>
      <c r="AH408">
        <v>6</v>
      </c>
      <c r="AI408"/>
      <c r="AJ408"/>
      <c r="AK408"/>
      <c r="AL408"/>
      <c r="AM408"/>
      <c r="AN408"/>
      <c r="AO408"/>
      <c r="AP408"/>
      <c r="AQ408"/>
      <c r="AR408"/>
      <c r="AS408"/>
      <c r="AT408" t="inlineStr">
        <is>
          <t>☆</t>
        </is>
      </c>
      <c r="AU408" t="inlineStr">
        <is>
          <t>☆</t>
        </is>
      </c>
      <c r="AV408" t="inlineStr">
        <is>
          <t>☆</t>
        </is>
      </c>
      <c r="AW408" t="inlineStr">
        <is>
          <t>☆</t>
        </is>
      </c>
      <c r="AX408" t="inlineStr">
        <is>
          <t>☆</t>
        </is>
      </c>
      <c r="AY408" t="inlineStr">
        <is>
          <t>☆</t>
        </is>
      </c>
      <c r="AZ408" t="inlineStr">
        <is>
          <t>☆</t>
        </is>
      </c>
      <c r="BA408" t="inlineStr">
        <is>
          <t>☆</t>
        </is>
      </c>
      <c r="BB408" t="inlineStr">
        <is>
          <t>☆</t>
        </is>
      </c>
      <c r="BC408" t="inlineStr">
        <is>
          <t>☆</t>
        </is>
      </c>
      <c r="BD408" t="inlineStr">
        <is>
          <t>☆</t>
        </is>
      </c>
      <c r="BE408" t="inlineStr">
        <is>
          <t>☆</t>
        </is>
      </c>
      <c r="BF408" t="inlineStr">
        <is>
          <t>☆</t>
        </is>
      </c>
      <c r="BG408" t="inlineStr">
        <is>
          <t>☆</t>
        </is>
      </c>
      <c r="BH408" t="inlineStr">
        <is>
          <t>☆</t>
        </is>
      </c>
      <c r="BI408" t="inlineStr">
        <is>
          <t>☆</t>
        </is>
      </c>
      <c r="BJ408" t="inlineStr">
        <is>
          <t>☆</t>
        </is>
      </c>
      <c r="BK408" t="inlineStr">
        <is>
          <t>☆</t>
        </is>
      </c>
      <c r="BL408" t="inlineStr">
        <is>
          <t>☆</t>
        </is>
      </c>
      <c r="BM408" t="inlineStr">
        <is>
          <t>☆</t>
        </is>
      </c>
      <c r="BN408" t="inlineStr">
        <is>
          <t>☆</t>
        </is>
      </c>
      <c r="BO408" t="inlineStr">
        <is>
          <t>☆</t>
        </is>
      </c>
      <c r="BP408" t="inlineStr">
        <is>
          <t>☆</t>
        </is>
      </c>
      <c r="BQ408" t="inlineStr">
        <is>
          <t>☆</t>
        </is>
      </c>
      <c r="BR408"/>
      <c r="BS408" t="inlineStr">
        <is>
          <t>#VALUE!</t>
        </is>
      </c>
    </row>
    <row r="409" ht="25.5" customHeight="1">
      <c r="A409" t="inlineStr">
        <is>
          <t>IT</t>
        </is>
      </c>
      <c r="B409" t="inlineStr">
        <is>
          <t>R0001EU</t>
        </is>
      </c>
      <c r="C409" t="inlineStr">
        <is>
          <t>R0014EU</t>
        </is>
      </c>
      <c r="D409" t="inlineStr">
        <is>
          <t>清洁刷(coupon-10%）</t>
        </is>
      </c>
      <c r="E409">
        <v>17.2</v>
      </c>
      <c r="F409">
        <v>24.99</v>
      </c>
      <c r="G409"/>
      <c r="H409"/>
      <c r="I409"/>
      <c r="J409"/>
      <c r="K409"/>
      <c r="L409"/>
      <c r="M409"/>
      <c r="N409"/>
      <c r="O409"/>
      <c r="P409">
        <v>20</v>
      </c>
      <c r="Q409">
        <v>8</v>
      </c>
      <c r="R409"/>
      <c r="S409"/>
      <c r="T409"/>
      <c r="U409">
        <v>0.01</v>
      </c>
      <c r="V409"/>
      <c r="W409"/>
      <c r="X409">
        <v>0.188</v>
      </c>
      <c r="Y409">
        <v>3.5</v>
      </c>
      <c r="Z409"/>
      <c r="AA409"/>
      <c r="AB409"/>
      <c r="AC409">
        <v>40</v>
      </c>
      <c r="AD409"/>
      <c r="AE409"/>
      <c r="AF409"/>
      <c r="AG409"/>
      <c r="AH409">
        <v>6</v>
      </c>
      <c r="AI409"/>
      <c r="AJ409"/>
      <c r="AK409"/>
      <c r="AL409"/>
      <c r="AM409"/>
      <c r="AN409"/>
      <c r="AO409"/>
      <c r="AP409"/>
      <c r="AQ409"/>
      <c r="AR409"/>
      <c r="AS409"/>
      <c r="AT409" t="inlineStr">
        <is>
          <t>☆</t>
        </is>
      </c>
      <c r="AU409" t="inlineStr">
        <is>
          <t>☆</t>
        </is>
      </c>
      <c r="AV409" t="inlineStr">
        <is>
          <t>☆</t>
        </is>
      </c>
      <c r="AW409" t="inlineStr">
        <is>
          <t>☆</t>
        </is>
      </c>
      <c r="AX409" t="inlineStr">
        <is>
          <t>☆</t>
        </is>
      </c>
      <c r="AY409" t="inlineStr">
        <is>
          <t>☆</t>
        </is>
      </c>
      <c r="AZ409" t="inlineStr">
        <is>
          <t>☆</t>
        </is>
      </c>
      <c r="BA409" t="inlineStr">
        <is>
          <t>☆</t>
        </is>
      </c>
      <c r="BB409" t="inlineStr">
        <is>
          <t>☆</t>
        </is>
      </c>
      <c r="BC409" t="inlineStr">
        <is>
          <t>☆</t>
        </is>
      </c>
      <c r="BD409" t="inlineStr">
        <is>
          <t>☆</t>
        </is>
      </c>
      <c r="BE409" t="inlineStr">
        <is>
          <t>☆</t>
        </is>
      </c>
      <c r="BF409" t="inlineStr">
        <is>
          <t>☆</t>
        </is>
      </c>
      <c r="BG409" t="inlineStr">
        <is>
          <t>☆</t>
        </is>
      </c>
      <c r="BH409" t="inlineStr">
        <is>
          <t>☆</t>
        </is>
      </c>
      <c r="BI409" t="inlineStr">
        <is>
          <t>☆</t>
        </is>
      </c>
      <c r="BJ409" t="inlineStr">
        <is>
          <t>☆</t>
        </is>
      </c>
      <c r="BK409" t="inlineStr">
        <is>
          <t>☆</t>
        </is>
      </c>
      <c r="BL409" t="inlineStr">
        <is>
          <t>☆</t>
        </is>
      </c>
      <c r="BM409" t="inlineStr">
        <is>
          <t>☆</t>
        </is>
      </c>
      <c r="BN409" t="inlineStr">
        <is>
          <t>☆</t>
        </is>
      </c>
      <c r="BO409" t="inlineStr">
        <is>
          <t>☆</t>
        </is>
      </c>
      <c r="BP409" t="inlineStr">
        <is>
          <t>☆</t>
        </is>
      </c>
      <c r="BQ409" t="inlineStr">
        <is>
          <t>☆</t>
        </is>
      </c>
      <c r="BR409"/>
      <c r="BS409" t="inlineStr">
        <is>
          <t>#VALUE!</t>
        </is>
      </c>
    </row>
    <row r="410" ht="25.5" customHeight="1">
      <c r="A410" t="inlineStr">
        <is>
          <t>IT</t>
        </is>
      </c>
      <c r="B410" t="inlineStr">
        <is>
          <t>R0001EU</t>
        </is>
      </c>
      <c r="C410" t="inlineStr">
        <is>
          <t>R0014EU</t>
        </is>
      </c>
      <c r="D410" t="inlineStr">
        <is>
          <t>清洁刷(coupon-15%）</t>
        </is>
      </c>
      <c r="E410">
        <v>17.2</v>
      </c>
      <c r="F410">
        <v>24.99</v>
      </c>
      <c r="G410"/>
      <c r="H410"/>
      <c r="I410"/>
      <c r="J410"/>
      <c r="K410"/>
      <c r="L410"/>
      <c r="M410"/>
      <c r="N410"/>
      <c r="O410"/>
      <c r="P410">
        <v>20</v>
      </c>
      <c r="Q410">
        <v>8</v>
      </c>
      <c r="R410"/>
      <c r="S410"/>
      <c r="T410"/>
      <c r="U410">
        <v>0.01</v>
      </c>
      <c r="V410"/>
      <c r="W410"/>
      <c r="X410">
        <v>0.188</v>
      </c>
      <c r="Y410">
        <v>3.5</v>
      </c>
      <c r="Z410"/>
      <c r="AA410"/>
      <c r="AB410"/>
      <c r="AC410">
        <v>40</v>
      </c>
      <c r="AD410"/>
      <c r="AE410"/>
      <c r="AF410"/>
      <c r="AG410"/>
      <c r="AH410">
        <v>6</v>
      </c>
      <c r="AI410"/>
      <c r="AJ410"/>
      <c r="AK410"/>
      <c r="AL410"/>
      <c r="AM410"/>
      <c r="AN410"/>
      <c r="AO410"/>
      <c r="AP410"/>
      <c r="AQ410"/>
      <c r="AR410"/>
      <c r="AS410"/>
      <c r="AT410" t="inlineStr">
        <is>
          <t>☆</t>
        </is>
      </c>
      <c r="AU410" t="inlineStr">
        <is>
          <t>☆</t>
        </is>
      </c>
      <c r="AV410" t="inlineStr">
        <is>
          <t>☆</t>
        </is>
      </c>
      <c r="AW410" t="inlineStr">
        <is>
          <t>☆</t>
        </is>
      </c>
      <c r="AX410" t="inlineStr">
        <is>
          <t>☆</t>
        </is>
      </c>
      <c r="AY410" t="inlineStr">
        <is>
          <t>☆</t>
        </is>
      </c>
      <c r="AZ410" t="inlineStr">
        <is>
          <t>☆</t>
        </is>
      </c>
      <c r="BA410" t="inlineStr">
        <is>
          <t>☆</t>
        </is>
      </c>
      <c r="BB410" t="inlineStr">
        <is>
          <t>☆</t>
        </is>
      </c>
      <c r="BC410" t="inlineStr">
        <is>
          <t>☆</t>
        </is>
      </c>
      <c r="BD410" t="inlineStr">
        <is>
          <t>☆</t>
        </is>
      </c>
      <c r="BE410" t="inlineStr">
        <is>
          <t>☆</t>
        </is>
      </c>
      <c r="BF410" t="inlineStr">
        <is>
          <t>☆</t>
        </is>
      </c>
      <c r="BG410" t="inlineStr">
        <is>
          <t>☆</t>
        </is>
      </c>
      <c r="BH410" t="inlineStr">
        <is>
          <t>☆</t>
        </is>
      </c>
      <c r="BI410" t="inlineStr">
        <is>
          <t>☆</t>
        </is>
      </c>
      <c r="BJ410" t="inlineStr">
        <is>
          <t>☆</t>
        </is>
      </c>
      <c r="BK410" t="inlineStr">
        <is>
          <t>☆</t>
        </is>
      </c>
      <c r="BL410" t="inlineStr">
        <is>
          <t>☆</t>
        </is>
      </c>
      <c r="BM410" t="inlineStr">
        <is>
          <t>☆</t>
        </is>
      </c>
      <c r="BN410" t="inlineStr">
        <is>
          <t>☆</t>
        </is>
      </c>
      <c r="BO410" t="inlineStr">
        <is>
          <t>☆</t>
        </is>
      </c>
      <c r="BP410" t="inlineStr">
        <is>
          <t>☆</t>
        </is>
      </c>
      <c r="BQ410" t="inlineStr">
        <is>
          <t>☆</t>
        </is>
      </c>
      <c r="BR410"/>
      <c r="BS410" t="inlineStr">
        <is>
          <t>#VALUE!</t>
        </is>
      </c>
    </row>
    <row r="411" ht="25.5" customHeight="1">
      <c r="A411" t="inlineStr">
        <is>
          <t>ES</t>
        </is>
      </c>
      <c r="B411" t="inlineStr">
        <is>
          <t>R0001EU</t>
        </is>
      </c>
      <c r="C411" t="inlineStr">
        <is>
          <t>R0014EU</t>
        </is>
      </c>
      <c r="D411" t="inlineStr">
        <is>
          <t>清洁刷(coupon-0%）</t>
        </is>
      </c>
      <c r="E411">
        <v>17.2</v>
      </c>
      <c r="F411">
        <v>24.99</v>
      </c>
      <c r="G411"/>
      <c r="H411"/>
      <c r="I411"/>
      <c r="J411"/>
      <c r="K411"/>
      <c r="L411"/>
      <c r="M411"/>
      <c r="N411"/>
      <c r="O411"/>
      <c r="P411">
        <v>20</v>
      </c>
      <c r="Q411">
        <v>8</v>
      </c>
      <c r="R411"/>
      <c r="S411"/>
      <c r="T411"/>
      <c r="U411">
        <v>0.01</v>
      </c>
      <c r="V411"/>
      <c r="W411"/>
      <c r="X411">
        <v>0.188</v>
      </c>
      <c r="Y411">
        <v>3.5</v>
      </c>
      <c r="Z411">
        <v>0</v>
      </c>
      <c r="AA411"/>
      <c r="AB411"/>
      <c r="AC411">
        <v>40</v>
      </c>
      <c r="AD411"/>
      <c r="AE411"/>
      <c r="AF411"/>
      <c r="AG411"/>
      <c r="AH411">
        <v>6</v>
      </c>
      <c r="AI411"/>
      <c r="AJ411"/>
      <c r="AK411"/>
      <c r="AL411"/>
      <c r="AM411"/>
      <c r="AN411"/>
      <c r="AO411"/>
      <c r="AP411"/>
      <c r="AQ411"/>
      <c r="AR411"/>
      <c r="AS411"/>
      <c r="AT411" t="inlineStr">
        <is>
          <t>☆</t>
        </is>
      </c>
      <c r="AU411" t="inlineStr">
        <is>
          <t>☆</t>
        </is>
      </c>
      <c r="AV411" t="inlineStr">
        <is>
          <t>☆</t>
        </is>
      </c>
      <c r="AW411" t="inlineStr">
        <is>
          <t>☆</t>
        </is>
      </c>
      <c r="AX411" t="inlineStr">
        <is>
          <t>☆</t>
        </is>
      </c>
      <c r="AY411" t="inlineStr">
        <is>
          <t>☆</t>
        </is>
      </c>
      <c r="AZ411" t="inlineStr">
        <is>
          <t>☆</t>
        </is>
      </c>
      <c r="BA411" t="inlineStr">
        <is>
          <t>☆</t>
        </is>
      </c>
      <c r="BB411" t="inlineStr">
        <is>
          <t>☆</t>
        </is>
      </c>
      <c r="BC411" t="inlineStr">
        <is>
          <t>☆</t>
        </is>
      </c>
      <c r="BD411" t="inlineStr">
        <is>
          <t>☆</t>
        </is>
      </c>
      <c r="BE411" t="inlineStr">
        <is>
          <t>☆</t>
        </is>
      </c>
      <c r="BF411" t="inlineStr">
        <is>
          <t>☆</t>
        </is>
      </c>
      <c r="BG411" t="inlineStr">
        <is>
          <t>☆</t>
        </is>
      </c>
      <c r="BH411" t="inlineStr">
        <is>
          <t>☆</t>
        </is>
      </c>
      <c r="BI411" t="inlineStr">
        <is>
          <t>☆</t>
        </is>
      </c>
      <c r="BJ411" t="inlineStr">
        <is>
          <t>☆</t>
        </is>
      </c>
      <c r="BK411" t="inlineStr">
        <is>
          <t>☆</t>
        </is>
      </c>
      <c r="BL411" t="inlineStr">
        <is>
          <t>☆</t>
        </is>
      </c>
      <c r="BM411" t="inlineStr">
        <is>
          <t>☆</t>
        </is>
      </c>
      <c r="BN411" t="inlineStr">
        <is>
          <t>☆</t>
        </is>
      </c>
      <c r="BO411" t="inlineStr">
        <is>
          <t>☆</t>
        </is>
      </c>
      <c r="BP411" t="inlineStr">
        <is>
          <t>☆</t>
        </is>
      </c>
      <c r="BQ411" t="inlineStr">
        <is>
          <t>☆</t>
        </is>
      </c>
      <c r="BR411"/>
      <c r="BS411" t="inlineStr">
        <is>
          <t>#VALUE!</t>
        </is>
      </c>
    </row>
    <row r="412" ht="25.5" customHeight="1">
      <c r="A412" t="inlineStr">
        <is>
          <t>ES</t>
        </is>
      </c>
      <c r="B412" t="inlineStr">
        <is>
          <t>R0001EU</t>
        </is>
      </c>
      <c r="C412" t="inlineStr">
        <is>
          <t>R0014EU</t>
        </is>
      </c>
      <c r="D412" t="inlineStr">
        <is>
          <t>清洁刷(coupon-10%）</t>
        </is>
      </c>
      <c r="E412">
        <v>17.2</v>
      </c>
      <c r="F412">
        <v>24.99</v>
      </c>
      <c r="G412"/>
      <c r="H412"/>
      <c r="I412"/>
      <c r="J412"/>
      <c r="K412"/>
      <c r="L412"/>
      <c r="M412"/>
      <c r="N412"/>
      <c r="O412"/>
      <c r="P412">
        <v>20</v>
      </c>
      <c r="Q412">
        <v>8</v>
      </c>
      <c r="R412"/>
      <c r="S412"/>
      <c r="T412"/>
      <c r="U412">
        <v>0.01</v>
      </c>
      <c r="V412"/>
      <c r="W412"/>
      <c r="X412">
        <v>0.188</v>
      </c>
      <c r="Y412">
        <v>3.5</v>
      </c>
      <c r="Z412"/>
      <c r="AA412"/>
      <c r="AB412"/>
      <c r="AC412">
        <v>40</v>
      </c>
      <c r="AD412"/>
      <c r="AE412"/>
      <c r="AF412"/>
      <c r="AG412"/>
      <c r="AH412">
        <v>6</v>
      </c>
      <c r="AI412"/>
      <c r="AJ412"/>
      <c r="AK412"/>
      <c r="AL412"/>
      <c r="AM412"/>
      <c r="AN412"/>
      <c r="AO412"/>
      <c r="AP412"/>
      <c r="AQ412"/>
      <c r="AR412"/>
      <c r="AS412"/>
      <c r="AT412" t="inlineStr">
        <is>
          <t>☆</t>
        </is>
      </c>
      <c r="AU412" t="inlineStr">
        <is>
          <t>☆</t>
        </is>
      </c>
      <c r="AV412" t="inlineStr">
        <is>
          <t>☆</t>
        </is>
      </c>
      <c r="AW412" t="inlineStr">
        <is>
          <t>☆</t>
        </is>
      </c>
      <c r="AX412" t="inlineStr">
        <is>
          <t>☆</t>
        </is>
      </c>
      <c r="AY412" t="inlineStr">
        <is>
          <t>☆</t>
        </is>
      </c>
      <c r="AZ412" t="inlineStr">
        <is>
          <t>☆</t>
        </is>
      </c>
      <c r="BA412" t="inlineStr">
        <is>
          <t>☆</t>
        </is>
      </c>
      <c r="BB412" t="inlineStr">
        <is>
          <t>☆</t>
        </is>
      </c>
      <c r="BC412" t="inlineStr">
        <is>
          <t>☆</t>
        </is>
      </c>
      <c r="BD412" t="inlineStr">
        <is>
          <t>☆</t>
        </is>
      </c>
      <c r="BE412" t="inlineStr">
        <is>
          <t>☆</t>
        </is>
      </c>
      <c r="BF412" t="inlineStr">
        <is>
          <t>☆</t>
        </is>
      </c>
      <c r="BG412" t="inlineStr">
        <is>
          <t>☆</t>
        </is>
      </c>
      <c r="BH412" t="inlineStr">
        <is>
          <t>☆</t>
        </is>
      </c>
      <c r="BI412" t="inlineStr">
        <is>
          <t>☆</t>
        </is>
      </c>
      <c r="BJ412" t="inlineStr">
        <is>
          <t>☆</t>
        </is>
      </c>
      <c r="BK412" t="inlineStr">
        <is>
          <t>☆</t>
        </is>
      </c>
      <c r="BL412" t="inlineStr">
        <is>
          <t>☆</t>
        </is>
      </c>
      <c r="BM412" t="inlineStr">
        <is>
          <t>☆</t>
        </is>
      </c>
      <c r="BN412" t="inlineStr">
        <is>
          <t>☆</t>
        </is>
      </c>
      <c r="BO412" t="inlineStr">
        <is>
          <t>☆</t>
        </is>
      </c>
      <c r="BP412" t="inlineStr">
        <is>
          <t>☆</t>
        </is>
      </c>
      <c r="BQ412" t="inlineStr">
        <is>
          <t>☆</t>
        </is>
      </c>
      <c r="BR412"/>
      <c r="BS412" t="inlineStr">
        <is>
          <t>#VALUE!</t>
        </is>
      </c>
    </row>
    <row r="413" ht="25.5" customHeight="1">
      <c r="A413" t="inlineStr">
        <is>
          <t>ES</t>
        </is>
      </c>
      <c r="B413" t="inlineStr">
        <is>
          <t>R0001EU</t>
        </is>
      </c>
      <c r="C413" t="inlineStr">
        <is>
          <t>R0014EU</t>
        </is>
      </c>
      <c r="D413" t="inlineStr">
        <is>
          <t>清洁刷(coupon-15%）</t>
        </is>
      </c>
      <c r="E413">
        <v>17.2</v>
      </c>
      <c r="F413">
        <v>24.99</v>
      </c>
      <c r="G413"/>
      <c r="H413"/>
      <c r="I413"/>
      <c r="J413"/>
      <c r="K413"/>
      <c r="L413"/>
      <c r="M413"/>
      <c r="N413"/>
      <c r="O413"/>
      <c r="P413">
        <v>20</v>
      </c>
      <c r="Q413">
        <v>8</v>
      </c>
      <c r="R413"/>
      <c r="S413"/>
      <c r="T413"/>
      <c r="U413">
        <v>0.01</v>
      </c>
      <c r="V413"/>
      <c r="W413"/>
      <c r="X413">
        <v>0.188</v>
      </c>
      <c r="Y413">
        <v>3.5</v>
      </c>
      <c r="Z413"/>
      <c r="AA413"/>
      <c r="AB413"/>
      <c r="AC413">
        <v>40</v>
      </c>
      <c r="AD413"/>
      <c r="AE413"/>
      <c r="AF413"/>
      <c r="AG413"/>
      <c r="AH413">
        <v>6</v>
      </c>
      <c r="AI413"/>
      <c r="AJ413"/>
      <c r="AK413"/>
      <c r="AL413"/>
      <c r="AM413"/>
      <c r="AN413"/>
      <c r="AO413"/>
      <c r="AP413"/>
      <c r="AQ413"/>
      <c r="AR413"/>
      <c r="AS413"/>
      <c r="AT413" t="inlineStr">
        <is>
          <t>☆</t>
        </is>
      </c>
      <c r="AU413" t="inlineStr">
        <is>
          <t>☆</t>
        </is>
      </c>
      <c r="AV413" t="inlineStr">
        <is>
          <t>☆</t>
        </is>
      </c>
      <c r="AW413" t="inlineStr">
        <is>
          <t>☆</t>
        </is>
      </c>
      <c r="AX413" t="inlineStr">
        <is>
          <t>☆</t>
        </is>
      </c>
      <c r="AY413" t="inlineStr">
        <is>
          <t>☆</t>
        </is>
      </c>
      <c r="AZ413" t="inlineStr">
        <is>
          <t>☆</t>
        </is>
      </c>
      <c r="BA413" t="inlineStr">
        <is>
          <t>☆</t>
        </is>
      </c>
      <c r="BB413" t="inlineStr">
        <is>
          <t>☆</t>
        </is>
      </c>
      <c r="BC413" t="inlineStr">
        <is>
          <t>☆</t>
        </is>
      </c>
      <c r="BD413" t="inlineStr">
        <is>
          <t>☆</t>
        </is>
      </c>
      <c r="BE413" t="inlineStr">
        <is>
          <t>☆</t>
        </is>
      </c>
      <c r="BF413" t="inlineStr">
        <is>
          <t>☆</t>
        </is>
      </c>
      <c r="BG413" t="inlineStr">
        <is>
          <t>☆</t>
        </is>
      </c>
      <c r="BH413" t="inlineStr">
        <is>
          <t>☆</t>
        </is>
      </c>
      <c r="BI413" t="inlineStr">
        <is>
          <t>☆</t>
        </is>
      </c>
      <c r="BJ413" t="inlineStr">
        <is>
          <t>☆</t>
        </is>
      </c>
      <c r="BK413" t="inlineStr">
        <is>
          <t>☆</t>
        </is>
      </c>
      <c r="BL413" t="inlineStr">
        <is>
          <t>☆</t>
        </is>
      </c>
      <c r="BM413" t="inlineStr">
        <is>
          <t>☆</t>
        </is>
      </c>
      <c r="BN413" t="inlineStr">
        <is>
          <t>☆</t>
        </is>
      </c>
      <c r="BO413" t="inlineStr">
        <is>
          <t>☆</t>
        </is>
      </c>
      <c r="BP413" t="inlineStr">
        <is>
          <t>☆</t>
        </is>
      </c>
      <c r="BQ413" t="inlineStr">
        <is>
          <t>☆</t>
        </is>
      </c>
      <c r="BR413"/>
      <c r="BS413" t="inlineStr">
        <is>
          <t>#VALUE!</t>
        </is>
      </c>
    </row>
    <row r="414" ht="25.5" customHeight="1">
      <c r="A414" t="inlineStr">
        <is>
          <t>NL</t>
        </is>
      </c>
      <c r="B414" t="inlineStr">
        <is>
          <t>R0001EU</t>
        </is>
      </c>
      <c r="C414" t="inlineStr">
        <is>
          <t>R0014EU</t>
        </is>
      </c>
      <c r="D414" t="inlineStr">
        <is>
          <t>清洁刷荷兰</t>
        </is>
      </c>
      <c r="E414">
        <v>17.2</v>
      </c>
      <c r="F414">
        <v>24.99</v>
      </c>
      <c r="G414"/>
      <c r="H414"/>
      <c r="I414"/>
      <c r="J414"/>
      <c r="K414"/>
      <c r="L414"/>
      <c r="M414"/>
      <c r="N414"/>
      <c r="O414"/>
      <c r="P414">
        <v>20</v>
      </c>
      <c r="Q414">
        <v>8</v>
      </c>
      <c r="R414"/>
      <c r="S414"/>
      <c r="T414"/>
      <c r="U414">
        <v>0.01</v>
      </c>
      <c r="V414"/>
      <c r="W414"/>
      <c r="X414">
        <v>0.188</v>
      </c>
      <c r="Y414">
        <v>3.5</v>
      </c>
      <c r="Z414"/>
      <c r="AA414"/>
      <c r="AB414"/>
      <c r="AC414">
        <v>40</v>
      </c>
      <c r="AD414"/>
      <c r="AE414"/>
      <c r="AF414"/>
      <c r="AG414"/>
      <c r="AH414">
        <v>6</v>
      </c>
      <c r="AI414"/>
      <c r="AJ414"/>
      <c r="AK414"/>
      <c r="AL414"/>
      <c r="AM414"/>
      <c r="AN414"/>
      <c r="AO414"/>
      <c r="AP414"/>
      <c r="AQ414"/>
      <c r="AR414"/>
      <c r="AS414"/>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c r="BS414" t="inlineStr">
        <is>
          <t>#VALUE!</t>
        </is>
      </c>
    </row>
    <row r="415" ht="25.5" customHeight="1">
      <c r="A415" t="inlineStr">
        <is>
          <t>PL</t>
        </is>
      </c>
      <c r="B415" t="inlineStr">
        <is>
          <t>R0001EU</t>
        </is>
      </c>
      <c r="C415" t="inlineStr">
        <is>
          <t>R0014EU</t>
        </is>
      </c>
      <c r="D415" t="inlineStr">
        <is>
          <t>清洁刷波兰</t>
        </is>
      </c>
      <c r="E415">
        <v>17.2</v>
      </c>
      <c r="F415">
        <v>24.99</v>
      </c>
      <c r="G415"/>
      <c r="H415"/>
      <c r="I415"/>
      <c r="J415"/>
      <c r="K415"/>
      <c r="L415"/>
      <c r="M415"/>
      <c r="N415"/>
      <c r="O415"/>
      <c r="P415">
        <v>20</v>
      </c>
      <c r="Q415">
        <v>8</v>
      </c>
      <c r="R415"/>
      <c r="S415"/>
      <c r="T415"/>
      <c r="U415">
        <v>0.01</v>
      </c>
      <c r="V415"/>
      <c r="W415"/>
      <c r="X415">
        <v>0.188</v>
      </c>
      <c r="Y415">
        <v>3.5</v>
      </c>
      <c r="Z415"/>
      <c r="AA415"/>
      <c r="AB415"/>
      <c r="AC415">
        <v>40</v>
      </c>
      <c r="AD415"/>
      <c r="AE415"/>
      <c r="AF415"/>
      <c r="AG415"/>
      <c r="AH415">
        <v>6</v>
      </c>
      <c r="AI415"/>
      <c r="AJ415"/>
      <c r="AK415"/>
      <c r="AL415"/>
      <c r="AM415"/>
      <c r="AN415"/>
      <c r="AO415"/>
      <c r="AP415"/>
      <c r="AQ415"/>
      <c r="AR415"/>
      <c r="AS415"/>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c r="BS415" t="inlineStr">
        <is>
          <t>#VALUE!</t>
        </is>
      </c>
    </row>
    <row r="416" ht="25.5" customHeight="1">
      <c r="A416" t="inlineStr">
        <is>
          <t>SE</t>
        </is>
      </c>
      <c r="B416" t="inlineStr">
        <is>
          <t>R0001EU</t>
        </is>
      </c>
      <c r="C416" t="inlineStr">
        <is>
          <t>R0014EU</t>
        </is>
      </c>
      <c r="D416" t="inlineStr">
        <is>
          <t>清洁刷瑞典</t>
        </is>
      </c>
      <c r="E416">
        <v>17.2</v>
      </c>
      <c r="F416">
        <v>24.99</v>
      </c>
      <c r="G416"/>
      <c r="H416"/>
      <c r="I416"/>
      <c r="J416"/>
      <c r="K416"/>
      <c r="L416"/>
      <c r="M416"/>
      <c r="N416"/>
      <c r="O416"/>
      <c r="P416">
        <v>20</v>
      </c>
      <c r="Q416">
        <v>8</v>
      </c>
      <c r="R416"/>
      <c r="S416"/>
      <c r="T416"/>
      <c r="U416">
        <v>0.01</v>
      </c>
      <c r="V416"/>
      <c r="W416"/>
      <c r="X416">
        <v>0.188</v>
      </c>
      <c r="Y416">
        <v>3.5</v>
      </c>
      <c r="Z416"/>
      <c r="AA416"/>
      <c r="AB416"/>
      <c r="AC416">
        <v>40</v>
      </c>
      <c r="AD416"/>
      <c r="AE416"/>
      <c r="AF416"/>
      <c r="AG416"/>
      <c r="AH416">
        <v>6</v>
      </c>
      <c r="AI416"/>
      <c r="AJ416"/>
      <c r="AK416"/>
      <c r="AL416"/>
      <c r="AM416"/>
      <c r="AN416"/>
      <c r="AO416"/>
      <c r="AP416"/>
      <c r="AQ416"/>
      <c r="AR416"/>
      <c r="AS416"/>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c r="BS416" t="inlineStr">
        <is>
          <t>#VALUE!</t>
        </is>
      </c>
    </row>
    <row r="417" ht="25.5" customHeight="1">
      <c r="A417" t="inlineStr">
        <is>
          <t>BE</t>
        </is>
      </c>
      <c r="B417" t="inlineStr">
        <is>
          <t>R0001EU</t>
        </is>
      </c>
      <c r="C417" t="inlineStr">
        <is>
          <t>R0014EU</t>
        </is>
      </c>
      <c r="D417" t="inlineStr">
        <is>
          <t>清洁刷比利时</t>
        </is>
      </c>
      <c r="E417">
        <v>17.2</v>
      </c>
      <c r="F417">
        <v>24.99</v>
      </c>
      <c r="G417"/>
      <c r="H417"/>
      <c r="I417"/>
      <c r="J417"/>
      <c r="K417"/>
      <c r="L417"/>
      <c r="M417"/>
      <c r="N417"/>
      <c r="O417"/>
      <c r="P417">
        <v>20</v>
      </c>
      <c r="Q417">
        <v>8</v>
      </c>
      <c r="R417"/>
      <c r="S417"/>
      <c r="T417"/>
      <c r="U417">
        <v>0.01</v>
      </c>
      <c r="V417"/>
      <c r="W417"/>
      <c r="X417">
        <v>0.188</v>
      </c>
      <c r="Y417">
        <v>3.5</v>
      </c>
      <c r="Z417"/>
      <c r="AA417"/>
      <c r="AB417"/>
      <c r="AC417">
        <v>40</v>
      </c>
      <c r="AD417"/>
      <c r="AE417"/>
      <c r="AF417"/>
      <c r="AG417"/>
      <c r="AH417">
        <v>6</v>
      </c>
      <c r="AI417"/>
      <c r="AJ417"/>
      <c r="AK417"/>
      <c r="AL417"/>
      <c r="AM417"/>
      <c r="AN417"/>
      <c r="AO417"/>
      <c r="AP417"/>
      <c r="AQ417"/>
      <c r="AR417"/>
      <c r="AS417"/>
      <c r="AT417" t="inlineStr">
        <is>
          <t>☆</t>
        </is>
      </c>
      <c r="AU417" t="inlineStr">
        <is>
          <t>☆</t>
        </is>
      </c>
      <c r="AV417" t="inlineStr">
        <is>
          <t>☆</t>
        </is>
      </c>
      <c r="AW417" t="inlineStr">
        <is>
          <t>☆</t>
        </is>
      </c>
      <c r="AX417" t="inlineStr">
        <is>
          <t>☆</t>
        </is>
      </c>
      <c r="AY417" t="inlineStr">
        <is>
          <t>☆</t>
        </is>
      </c>
      <c r="AZ417" t="inlineStr">
        <is>
          <t>☆</t>
        </is>
      </c>
      <c r="BA417" t="inlineStr">
        <is>
          <t>☆</t>
        </is>
      </c>
      <c r="BB417" t="inlineStr">
        <is>
          <t>☆</t>
        </is>
      </c>
      <c r="BC417" t="inlineStr">
        <is>
          <t>☆</t>
        </is>
      </c>
      <c r="BD417" t="inlineStr">
        <is>
          <t>☆</t>
        </is>
      </c>
      <c r="BE417" t="inlineStr">
        <is>
          <t>☆</t>
        </is>
      </c>
      <c r="BF417" t="inlineStr">
        <is>
          <t>☆</t>
        </is>
      </c>
      <c r="BG417" t="inlineStr">
        <is>
          <t>☆</t>
        </is>
      </c>
      <c r="BH417" t="inlineStr">
        <is>
          <t>☆</t>
        </is>
      </c>
      <c r="BI417" t="inlineStr">
        <is>
          <t>☆</t>
        </is>
      </c>
      <c r="BJ417" t="inlineStr">
        <is>
          <t>☆</t>
        </is>
      </c>
      <c r="BK417" t="inlineStr">
        <is>
          <t>☆</t>
        </is>
      </c>
      <c r="BL417" t="inlineStr">
        <is>
          <t>☆</t>
        </is>
      </c>
      <c r="BM417" t="inlineStr">
        <is>
          <t>☆</t>
        </is>
      </c>
      <c r="BN417" t="inlineStr">
        <is>
          <t>☆</t>
        </is>
      </c>
      <c r="BO417" t="inlineStr">
        <is>
          <t>☆</t>
        </is>
      </c>
      <c r="BP417" t="inlineStr">
        <is>
          <t>☆</t>
        </is>
      </c>
      <c r="BQ417" t="inlineStr">
        <is>
          <t>☆</t>
        </is>
      </c>
      <c r="BR417"/>
      <c r="BS417" t="inlineStr">
        <is>
          <t>#VALUE!</t>
        </is>
      </c>
    </row>
    <row r="418" ht="25.5" customHeight="1">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row>
    <row r="419" ht="25.5" customHeight="1">
      <c r="A419" t="inlineStr">
        <is>
          <t>UK</t>
        </is>
      </c>
      <c r="B419"/>
      <c r="C419" t="inlineStr">
        <is>
          <t>R0015EU</t>
        </is>
      </c>
      <c r="D419" t="inlineStr">
        <is>
          <t>空净AP300A（coupon-0%）</t>
        </is>
      </c>
      <c r="E419">
        <v>69</v>
      </c>
      <c r="F419">
        <v>99.99</v>
      </c>
      <c r="G419"/>
      <c r="H419"/>
      <c r="I419"/>
      <c r="J419"/>
      <c r="K419"/>
      <c r="L419"/>
      <c r="M419"/>
      <c r="N419"/>
      <c r="O419"/>
      <c r="P419">
        <v>3</v>
      </c>
      <c r="Q419">
        <v>9</v>
      </c>
      <c r="R419"/>
      <c r="S419"/>
      <c r="T419"/>
      <c r="U419">
        <v>0.01</v>
      </c>
      <c r="V419"/>
      <c r="W419"/>
      <c r="X419">
        <v>0.178</v>
      </c>
      <c r="Y419">
        <v>10</v>
      </c>
      <c r="Z419">
        <v>0</v>
      </c>
      <c r="AA419"/>
      <c r="AB419"/>
      <c r="AC419">
        <v>240</v>
      </c>
      <c r="AD419"/>
      <c r="AE419"/>
      <c r="AF419"/>
      <c r="AG419"/>
      <c r="AH419">
        <v>25</v>
      </c>
      <c r="AI419"/>
      <c r="AJ419"/>
      <c r="AK419"/>
      <c r="AL419"/>
      <c r="AM419"/>
      <c r="AN419"/>
      <c r="AO419"/>
      <c r="AP419"/>
      <c r="AQ419"/>
      <c r="AR419"/>
      <c r="AS419"/>
      <c r="AT419" t="inlineStr">
        <is>
          <t>☆</t>
        </is>
      </c>
      <c r="AU419" t="inlineStr">
        <is>
          <t>☆</t>
        </is>
      </c>
      <c r="AV419" t="inlineStr">
        <is>
          <t>☆</t>
        </is>
      </c>
      <c r="AW419" t="inlineStr">
        <is>
          <t>☆</t>
        </is>
      </c>
      <c r="AX419" t="inlineStr">
        <is>
          <t>☆</t>
        </is>
      </c>
      <c r="AY419" t="inlineStr">
        <is>
          <t>☆</t>
        </is>
      </c>
      <c r="AZ419" t="inlineStr">
        <is>
          <t>☆</t>
        </is>
      </c>
      <c r="BA419" t="inlineStr">
        <is>
          <t>☆</t>
        </is>
      </c>
      <c r="BB419" t="inlineStr">
        <is>
          <t>☆</t>
        </is>
      </c>
      <c r="BC419" t="inlineStr">
        <is>
          <t>☆</t>
        </is>
      </c>
      <c r="BD419" t="inlineStr">
        <is>
          <t>☆</t>
        </is>
      </c>
      <c r="BE419" t="inlineStr">
        <is>
          <t>☆</t>
        </is>
      </c>
      <c r="BF419" t="inlineStr">
        <is>
          <t>☆</t>
        </is>
      </c>
      <c r="BG419" t="inlineStr">
        <is>
          <t>☆</t>
        </is>
      </c>
      <c r="BH419" t="inlineStr">
        <is>
          <t>☆</t>
        </is>
      </c>
      <c r="BI419" t="inlineStr">
        <is>
          <t>☆</t>
        </is>
      </c>
      <c r="BJ419" t="inlineStr">
        <is>
          <t>☆</t>
        </is>
      </c>
      <c r="BK419" t="inlineStr">
        <is>
          <t>☆</t>
        </is>
      </c>
      <c r="BL419" t="inlineStr">
        <is>
          <t>☆</t>
        </is>
      </c>
      <c r="BM419" t="inlineStr">
        <is>
          <t>☆</t>
        </is>
      </c>
      <c r="BN419" t="inlineStr">
        <is>
          <t>☆</t>
        </is>
      </c>
      <c r="BO419" t="inlineStr">
        <is>
          <t>☆</t>
        </is>
      </c>
      <c r="BP419" t="inlineStr">
        <is>
          <t>☆</t>
        </is>
      </c>
      <c r="BQ419" t="inlineStr">
        <is>
          <t>☆</t>
        </is>
      </c>
      <c r="BR419"/>
      <c r="BS419" t="inlineStr">
        <is>
          <t>#VALUE!</t>
        </is>
      </c>
    </row>
    <row r="420" ht="25.5" customHeight="1">
      <c r="A420" t="inlineStr">
        <is>
          <t>UK</t>
        </is>
      </c>
      <c r="B420"/>
      <c r="C420" t="inlineStr">
        <is>
          <t>R0015EU</t>
        </is>
      </c>
      <c r="D420" t="inlineStr">
        <is>
          <t>空净AP300A（coupon-10%）</t>
        </is>
      </c>
      <c r="E420">
        <v>69</v>
      </c>
      <c r="F420">
        <v>99.99</v>
      </c>
      <c r="G420"/>
      <c r="H420"/>
      <c r="I420"/>
      <c r="J420"/>
      <c r="K420"/>
      <c r="L420"/>
      <c r="M420"/>
      <c r="N420"/>
      <c r="O420"/>
      <c r="P420">
        <v>3</v>
      </c>
      <c r="Q420">
        <v>9</v>
      </c>
      <c r="R420"/>
      <c r="S420"/>
      <c r="T420"/>
      <c r="U420">
        <v>0.01</v>
      </c>
      <c r="V420"/>
      <c r="W420"/>
      <c r="X420">
        <v>0.178</v>
      </c>
      <c r="Y420">
        <v>10</v>
      </c>
      <c r="Z420"/>
      <c r="AA420"/>
      <c r="AB420"/>
      <c r="AC420">
        <v>240</v>
      </c>
      <c r="AD420"/>
      <c r="AE420"/>
      <c r="AF420"/>
      <c r="AG420"/>
      <c r="AH420">
        <v>25</v>
      </c>
      <c r="AI420"/>
      <c r="AJ420"/>
      <c r="AK420"/>
      <c r="AL420"/>
      <c r="AM420"/>
      <c r="AN420"/>
      <c r="AO420"/>
      <c r="AP420"/>
      <c r="AQ420"/>
      <c r="AR420"/>
      <c r="AS420"/>
      <c r="AT420" t="inlineStr">
        <is>
          <t>☆</t>
        </is>
      </c>
      <c r="AU420" t="inlineStr">
        <is>
          <t>☆</t>
        </is>
      </c>
      <c r="AV420" t="inlineStr">
        <is>
          <t>☆</t>
        </is>
      </c>
      <c r="AW420" t="inlineStr">
        <is>
          <t>☆</t>
        </is>
      </c>
      <c r="AX420" t="inlineStr">
        <is>
          <t>☆</t>
        </is>
      </c>
      <c r="AY420" t="inlineStr">
        <is>
          <t>☆</t>
        </is>
      </c>
      <c r="AZ420" t="inlineStr">
        <is>
          <t>☆</t>
        </is>
      </c>
      <c r="BA420" t="inlineStr">
        <is>
          <t>☆</t>
        </is>
      </c>
      <c r="BB420" t="inlineStr">
        <is>
          <t>☆</t>
        </is>
      </c>
      <c r="BC420" t="inlineStr">
        <is>
          <t>☆</t>
        </is>
      </c>
      <c r="BD420" t="inlineStr">
        <is>
          <t>☆</t>
        </is>
      </c>
      <c r="BE420" t="inlineStr">
        <is>
          <t>☆</t>
        </is>
      </c>
      <c r="BF420" t="inlineStr">
        <is>
          <t>☆</t>
        </is>
      </c>
      <c r="BG420" t="inlineStr">
        <is>
          <t>☆</t>
        </is>
      </c>
      <c r="BH420" t="inlineStr">
        <is>
          <t>☆</t>
        </is>
      </c>
      <c r="BI420" t="inlineStr">
        <is>
          <t>☆</t>
        </is>
      </c>
      <c r="BJ420" t="inlineStr">
        <is>
          <t>☆</t>
        </is>
      </c>
      <c r="BK420" t="inlineStr">
        <is>
          <t>☆</t>
        </is>
      </c>
      <c r="BL420" t="inlineStr">
        <is>
          <t>☆</t>
        </is>
      </c>
      <c r="BM420" t="inlineStr">
        <is>
          <t>☆</t>
        </is>
      </c>
      <c r="BN420" t="inlineStr">
        <is>
          <t>☆</t>
        </is>
      </c>
      <c r="BO420" t="inlineStr">
        <is>
          <t>☆</t>
        </is>
      </c>
      <c r="BP420" t="inlineStr">
        <is>
          <t>☆</t>
        </is>
      </c>
      <c r="BQ420" t="inlineStr">
        <is>
          <t>☆</t>
        </is>
      </c>
      <c r="BR420"/>
      <c r="BS420" t="inlineStr">
        <is>
          <t>#VALUE!</t>
        </is>
      </c>
    </row>
    <row r="421" ht="25.5" customHeight="1">
      <c r="A421" t="inlineStr">
        <is>
          <t>UK</t>
        </is>
      </c>
      <c r="B421"/>
      <c r="C421" t="inlineStr">
        <is>
          <t>R0015EU</t>
        </is>
      </c>
      <c r="D421" t="inlineStr">
        <is>
          <t>空净AP300A（coupon-15%）</t>
        </is>
      </c>
      <c r="E421">
        <v>69</v>
      </c>
      <c r="F421">
        <v>99.99</v>
      </c>
      <c r="G421"/>
      <c r="H421"/>
      <c r="I421"/>
      <c r="J421"/>
      <c r="K421"/>
      <c r="L421"/>
      <c r="M421"/>
      <c r="N421"/>
      <c r="O421"/>
      <c r="P421">
        <v>3</v>
      </c>
      <c r="Q421">
        <v>9</v>
      </c>
      <c r="R421"/>
      <c r="S421"/>
      <c r="T421"/>
      <c r="U421">
        <v>0.01</v>
      </c>
      <c r="V421"/>
      <c r="W421"/>
      <c r="X421">
        <v>0.178</v>
      </c>
      <c r="Y421">
        <v>10</v>
      </c>
      <c r="Z421"/>
      <c r="AA421"/>
      <c r="AB421"/>
      <c r="AC421">
        <v>240</v>
      </c>
      <c r="AD421"/>
      <c r="AE421"/>
      <c r="AF421"/>
      <c r="AG421"/>
      <c r="AH421">
        <v>25</v>
      </c>
      <c r="AI421"/>
      <c r="AJ421"/>
      <c r="AK421"/>
      <c r="AL421"/>
      <c r="AM421"/>
      <c r="AN421"/>
      <c r="AO421"/>
      <c r="AP421"/>
      <c r="AQ421"/>
      <c r="AR421"/>
      <c r="AS421"/>
      <c r="AT421" t="inlineStr">
        <is>
          <t>☆</t>
        </is>
      </c>
      <c r="AU421" t="inlineStr">
        <is>
          <t>☆</t>
        </is>
      </c>
      <c r="AV421" t="inlineStr">
        <is>
          <t>☆</t>
        </is>
      </c>
      <c r="AW421" t="inlineStr">
        <is>
          <t>☆</t>
        </is>
      </c>
      <c r="AX421" t="inlineStr">
        <is>
          <t>☆</t>
        </is>
      </c>
      <c r="AY421" t="inlineStr">
        <is>
          <t>☆</t>
        </is>
      </c>
      <c r="AZ421" t="inlineStr">
        <is>
          <t>☆</t>
        </is>
      </c>
      <c r="BA421" t="inlineStr">
        <is>
          <t>☆</t>
        </is>
      </c>
      <c r="BB421" t="inlineStr">
        <is>
          <t>☆</t>
        </is>
      </c>
      <c r="BC421" t="inlineStr">
        <is>
          <t>☆</t>
        </is>
      </c>
      <c r="BD421" t="inlineStr">
        <is>
          <t>☆</t>
        </is>
      </c>
      <c r="BE421" t="inlineStr">
        <is>
          <t>☆</t>
        </is>
      </c>
      <c r="BF421" t="inlineStr">
        <is>
          <t>☆</t>
        </is>
      </c>
      <c r="BG421" t="inlineStr">
        <is>
          <t>☆</t>
        </is>
      </c>
      <c r="BH421" t="inlineStr">
        <is>
          <t>☆</t>
        </is>
      </c>
      <c r="BI421" t="inlineStr">
        <is>
          <t>☆</t>
        </is>
      </c>
      <c r="BJ421" t="inlineStr">
        <is>
          <t>☆</t>
        </is>
      </c>
      <c r="BK421" t="inlineStr">
        <is>
          <t>☆</t>
        </is>
      </c>
      <c r="BL421" t="inlineStr">
        <is>
          <t>☆</t>
        </is>
      </c>
      <c r="BM421" t="inlineStr">
        <is>
          <t>☆</t>
        </is>
      </c>
      <c r="BN421" t="inlineStr">
        <is>
          <t>☆</t>
        </is>
      </c>
      <c r="BO421" t="inlineStr">
        <is>
          <t>☆</t>
        </is>
      </c>
      <c r="BP421" t="inlineStr">
        <is>
          <t>☆</t>
        </is>
      </c>
      <c r="BQ421" t="inlineStr">
        <is>
          <t>☆</t>
        </is>
      </c>
      <c r="BR421"/>
      <c r="BS421" t="inlineStr">
        <is>
          <t>#VALUE!</t>
        </is>
      </c>
    </row>
    <row r="422" ht="25.5" customHeight="1">
      <c r="A422" t="inlineStr">
        <is>
          <t>DE</t>
        </is>
      </c>
      <c r="B422"/>
      <c r="C422" t="inlineStr">
        <is>
          <t>R0015EU</t>
        </is>
      </c>
      <c r="D422" t="inlineStr">
        <is>
          <t>空净AP300A（coupon-0%）</t>
        </is>
      </c>
      <c r="E422">
        <v>76</v>
      </c>
      <c r="F422">
        <v>109.99</v>
      </c>
      <c r="G422"/>
      <c r="H422"/>
      <c r="I422"/>
      <c r="J422"/>
      <c r="K422"/>
      <c r="L422"/>
      <c r="M422"/>
      <c r="N422"/>
      <c r="O422"/>
      <c r="P422">
        <v>3</v>
      </c>
      <c r="Q422">
        <v>8</v>
      </c>
      <c r="R422"/>
      <c r="S422"/>
      <c r="T422"/>
      <c r="U422">
        <v>0.01</v>
      </c>
      <c r="V422"/>
      <c r="W422"/>
      <c r="X422">
        <v>0.188</v>
      </c>
      <c r="Y422">
        <v>10</v>
      </c>
      <c r="Z422">
        <v>0</v>
      </c>
      <c r="AA422"/>
      <c r="AB422"/>
      <c r="AC422">
        <v>240</v>
      </c>
      <c r="AD422"/>
      <c r="AE422"/>
      <c r="AF422"/>
      <c r="AG422"/>
      <c r="AH422">
        <v>25</v>
      </c>
      <c r="AI422"/>
      <c r="AJ422"/>
      <c r="AK422"/>
      <c r="AL422"/>
      <c r="AM422"/>
      <c r="AN422"/>
      <c r="AO422"/>
      <c r="AP422"/>
      <c r="AQ422"/>
      <c r="AR422"/>
      <c r="AS422"/>
      <c r="AT422" t="inlineStr">
        <is>
          <t>☆</t>
        </is>
      </c>
      <c r="AU422" t="inlineStr">
        <is>
          <t>☆</t>
        </is>
      </c>
      <c r="AV422" t="inlineStr">
        <is>
          <t>☆</t>
        </is>
      </c>
      <c r="AW422" t="inlineStr">
        <is>
          <t>☆</t>
        </is>
      </c>
      <c r="AX422" t="inlineStr">
        <is>
          <t>☆</t>
        </is>
      </c>
      <c r="AY422" t="inlineStr">
        <is>
          <t>☆</t>
        </is>
      </c>
      <c r="AZ422" t="inlineStr">
        <is>
          <t>☆</t>
        </is>
      </c>
      <c r="BA422" t="inlineStr">
        <is>
          <t>☆</t>
        </is>
      </c>
      <c r="BB422" t="inlineStr">
        <is>
          <t>☆</t>
        </is>
      </c>
      <c r="BC422" t="inlineStr">
        <is>
          <t>☆</t>
        </is>
      </c>
      <c r="BD422" t="inlineStr">
        <is>
          <t>☆</t>
        </is>
      </c>
      <c r="BE422" t="inlineStr">
        <is>
          <t>☆</t>
        </is>
      </c>
      <c r="BF422" t="inlineStr">
        <is>
          <t>☆</t>
        </is>
      </c>
      <c r="BG422" t="inlineStr">
        <is>
          <t>☆</t>
        </is>
      </c>
      <c r="BH422" t="inlineStr">
        <is>
          <t>☆</t>
        </is>
      </c>
      <c r="BI422" t="inlineStr">
        <is>
          <t>☆</t>
        </is>
      </c>
      <c r="BJ422" t="inlineStr">
        <is>
          <t>☆</t>
        </is>
      </c>
      <c r="BK422" t="inlineStr">
        <is>
          <t>☆</t>
        </is>
      </c>
      <c r="BL422" t="inlineStr">
        <is>
          <t>☆</t>
        </is>
      </c>
      <c r="BM422" t="inlineStr">
        <is>
          <t>☆</t>
        </is>
      </c>
      <c r="BN422" t="inlineStr">
        <is>
          <t>☆</t>
        </is>
      </c>
      <c r="BO422" t="inlineStr">
        <is>
          <t>☆</t>
        </is>
      </c>
      <c r="BP422" t="inlineStr">
        <is>
          <t>☆</t>
        </is>
      </c>
      <c r="BQ422" t="inlineStr">
        <is>
          <t>☆</t>
        </is>
      </c>
      <c r="BR422"/>
      <c r="BS422" t="inlineStr">
        <is>
          <t>#VALUE!</t>
        </is>
      </c>
    </row>
    <row r="423" ht="25.5" customHeight="1">
      <c r="A423" t="inlineStr">
        <is>
          <t>DE</t>
        </is>
      </c>
      <c r="B423"/>
      <c r="C423" t="inlineStr">
        <is>
          <t>R0015EU</t>
        </is>
      </c>
      <c r="D423" t="inlineStr">
        <is>
          <t>空净AP300A（coupon-10%）</t>
        </is>
      </c>
      <c r="E423">
        <v>76</v>
      </c>
      <c r="F423">
        <v>109.99</v>
      </c>
      <c r="G423"/>
      <c r="H423"/>
      <c r="I423"/>
      <c r="J423"/>
      <c r="K423"/>
      <c r="L423"/>
      <c r="M423"/>
      <c r="N423"/>
      <c r="O423"/>
      <c r="P423">
        <v>3</v>
      </c>
      <c r="Q423">
        <v>8</v>
      </c>
      <c r="R423"/>
      <c r="S423"/>
      <c r="T423"/>
      <c r="U423">
        <v>0.01</v>
      </c>
      <c r="V423"/>
      <c r="W423"/>
      <c r="X423">
        <v>0.188</v>
      </c>
      <c r="Y423">
        <v>10</v>
      </c>
      <c r="Z423"/>
      <c r="AA423"/>
      <c r="AB423"/>
      <c r="AC423">
        <v>240</v>
      </c>
      <c r="AD423"/>
      <c r="AE423"/>
      <c r="AF423"/>
      <c r="AG423"/>
      <c r="AH423">
        <v>25</v>
      </c>
      <c r="AI423"/>
      <c r="AJ423"/>
      <c r="AK423"/>
      <c r="AL423"/>
      <c r="AM423"/>
      <c r="AN423"/>
      <c r="AO423"/>
      <c r="AP423"/>
      <c r="AQ423"/>
      <c r="AR423"/>
      <c r="AS423"/>
      <c r="AT423" t="inlineStr">
        <is>
          <t>☆</t>
        </is>
      </c>
      <c r="AU423" t="inlineStr">
        <is>
          <t>☆</t>
        </is>
      </c>
      <c r="AV423" t="inlineStr">
        <is>
          <t>☆</t>
        </is>
      </c>
      <c r="AW423" t="inlineStr">
        <is>
          <t>☆</t>
        </is>
      </c>
      <c r="AX423" t="inlineStr">
        <is>
          <t>☆</t>
        </is>
      </c>
      <c r="AY423" t="inlineStr">
        <is>
          <t>☆</t>
        </is>
      </c>
      <c r="AZ423" t="inlineStr">
        <is>
          <t>☆</t>
        </is>
      </c>
      <c r="BA423" t="inlineStr">
        <is>
          <t>☆</t>
        </is>
      </c>
      <c r="BB423" t="inlineStr">
        <is>
          <t>☆</t>
        </is>
      </c>
      <c r="BC423" t="inlineStr">
        <is>
          <t>☆</t>
        </is>
      </c>
      <c r="BD423" t="inlineStr">
        <is>
          <t>☆</t>
        </is>
      </c>
      <c r="BE423" t="inlineStr">
        <is>
          <t>☆</t>
        </is>
      </c>
      <c r="BF423" t="inlineStr">
        <is>
          <t>☆</t>
        </is>
      </c>
      <c r="BG423" t="inlineStr">
        <is>
          <t>☆</t>
        </is>
      </c>
      <c r="BH423" t="inlineStr">
        <is>
          <t>☆</t>
        </is>
      </c>
      <c r="BI423" t="inlineStr">
        <is>
          <t>☆</t>
        </is>
      </c>
      <c r="BJ423" t="inlineStr">
        <is>
          <t>☆</t>
        </is>
      </c>
      <c r="BK423" t="inlineStr">
        <is>
          <t>☆</t>
        </is>
      </c>
      <c r="BL423" t="inlineStr">
        <is>
          <t>☆</t>
        </is>
      </c>
      <c r="BM423" t="inlineStr">
        <is>
          <t>☆</t>
        </is>
      </c>
      <c r="BN423" t="inlineStr">
        <is>
          <t>☆</t>
        </is>
      </c>
      <c r="BO423" t="inlineStr">
        <is>
          <t>☆</t>
        </is>
      </c>
      <c r="BP423" t="inlineStr">
        <is>
          <t>☆</t>
        </is>
      </c>
      <c r="BQ423" t="inlineStr">
        <is>
          <t>☆</t>
        </is>
      </c>
      <c r="BR423"/>
      <c r="BS423" t="inlineStr">
        <is>
          <t>#VALUE!</t>
        </is>
      </c>
    </row>
    <row r="424" ht="25.5" customHeight="1">
      <c r="A424" t="inlineStr">
        <is>
          <t>DE</t>
        </is>
      </c>
      <c r="B424"/>
      <c r="C424" t="inlineStr">
        <is>
          <t>R0015EU</t>
        </is>
      </c>
      <c r="D424" t="inlineStr">
        <is>
          <t>空净AP300A（coupon-15%）</t>
        </is>
      </c>
      <c r="E424">
        <v>76</v>
      </c>
      <c r="F424">
        <v>109.99</v>
      </c>
      <c r="G424"/>
      <c r="H424"/>
      <c r="I424"/>
      <c r="J424"/>
      <c r="K424"/>
      <c r="L424"/>
      <c r="M424"/>
      <c r="N424"/>
      <c r="O424"/>
      <c r="P424">
        <v>3</v>
      </c>
      <c r="Q424">
        <v>8</v>
      </c>
      <c r="R424"/>
      <c r="S424"/>
      <c r="T424"/>
      <c r="U424">
        <v>0.01</v>
      </c>
      <c r="V424"/>
      <c r="W424"/>
      <c r="X424">
        <v>0.188</v>
      </c>
      <c r="Y424">
        <v>10</v>
      </c>
      <c r="Z424"/>
      <c r="AA424"/>
      <c r="AB424"/>
      <c r="AC424">
        <v>240</v>
      </c>
      <c r="AD424"/>
      <c r="AE424"/>
      <c r="AF424"/>
      <c r="AG424"/>
      <c r="AH424">
        <v>25</v>
      </c>
      <c r="AI424"/>
      <c r="AJ424"/>
      <c r="AK424"/>
      <c r="AL424"/>
      <c r="AM424"/>
      <c r="AN424"/>
      <c r="AO424"/>
      <c r="AP424"/>
      <c r="AQ424"/>
      <c r="AR424"/>
      <c r="AS424"/>
      <c r="AT424" t="inlineStr">
        <is>
          <t>☆</t>
        </is>
      </c>
      <c r="AU424" t="inlineStr">
        <is>
          <t>☆</t>
        </is>
      </c>
      <c r="AV424" t="inlineStr">
        <is>
          <t>☆</t>
        </is>
      </c>
      <c r="AW424" t="inlineStr">
        <is>
          <t>☆</t>
        </is>
      </c>
      <c r="AX424" t="inlineStr">
        <is>
          <t>☆</t>
        </is>
      </c>
      <c r="AY424" t="inlineStr">
        <is>
          <t>☆</t>
        </is>
      </c>
      <c r="AZ424" t="inlineStr">
        <is>
          <t>☆</t>
        </is>
      </c>
      <c r="BA424" t="inlineStr">
        <is>
          <t>☆</t>
        </is>
      </c>
      <c r="BB424" t="inlineStr">
        <is>
          <t>☆</t>
        </is>
      </c>
      <c r="BC424" t="inlineStr">
        <is>
          <t>☆</t>
        </is>
      </c>
      <c r="BD424" t="inlineStr">
        <is>
          <t>☆</t>
        </is>
      </c>
      <c r="BE424" t="inlineStr">
        <is>
          <t>☆</t>
        </is>
      </c>
      <c r="BF424" t="inlineStr">
        <is>
          <t>☆</t>
        </is>
      </c>
      <c r="BG424" t="inlineStr">
        <is>
          <t>☆</t>
        </is>
      </c>
      <c r="BH424" t="inlineStr">
        <is>
          <t>☆</t>
        </is>
      </c>
      <c r="BI424" t="inlineStr">
        <is>
          <t>☆</t>
        </is>
      </c>
      <c r="BJ424" t="inlineStr">
        <is>
          <t>☆</t>
        </is>
      </c>
      <c r="BK424" t="inlineStr">
        <is>
          <t>☆</t>
        </is>
      </c>
      <c r="BL424" t="inlineStr">
        <is>
          <t>☆</t>
        </is>
      </c>
      <c r="BM424" t="inlineStr">
        <is>
          <t>☆</t>
        </is>
      </c>
      <c r="BN424" t="inlineStr">
        <is>
          <t>☆</t>
        </is>
      </c>
      <c r="BO424" t="inlineStr">
        <is>
          <t>☆</t>
        </is>
      </c>
      <c r="BP424" t="inlineStr">
        <is>
          <t>☆</t>
        </is>
      </c>
      <c r="BQ424" t="inlineStr">
        <is>
          <t>☆</t>
        </is>
      </c>
      <c r="BR424"/>
      <c r="BS424" t="inlineStr">
        <is>
          <t>#VALUE!</t>
        </is>
      </c>
    </row>
    <row r="425" ht="25.5" customHeight="1">
      <c r="A425" t="inlineStr">
        <is>
          <t>FR</t>
        </is>
      </c>
      <c r="B425"/>
      <c r="C425" t="inlineStr">
        <is>
          <t>R0015EU</t>
        </is>
      </c>
      <c r="D425" t="inlineStr">
        <is>
          <t>空净AP300A（coupon-0%）</t>
        </is>
      </c>
      <c r="E425">
        <v>79</v>
      </c>
      <c r="F425">
        <v>114.99</v>
      </c>
      <c r="G425"/>
      <c r="H425"/>
      <c r="I425"/>
      <c r="J425"/>
      <c r="K425"/>
      <c r="L425"/>
      <c r="M425"/>
      <c r="N425"/>
      <c r="O425"/>
      <c r="P425">
        <v>3</v>
      </c>
      <c r="Q425">
        <v>8</v>
      </c>
      <c r="R425"/>
      <c r="S425"/>
      <c r="T425"/>
      <c r="U425">
        <v>0.01</v>
      </c>
      <c r="V425"/>
      <c r="W425"/>
      <c r="X425">
        <v>0.188</v>
      </c>
      <c r="Y425">
        <v>10</v>
      </c>
      <c r="Z425">
        <v>0</v>
      </c>
      <c r="AA425"/>
      <c r="AB425"/>
      <c r="AC425">
        <v>240</v>
      </c>
      <c r="AD425"/>
      <c r="AE425"/>
      <c r="AF425"/>
      <c r="AG425"/>
      <c r="AH425">
        <v>25</v>
      </c>
      <c r="AI425"/>
      <c r="AJ425"/>
      <c r="AK425"/>
      <c r="AL425"/>
      <c r="AM425"/>
      <c r="AN425"/>
      <c r="AO425"/>
      <c r="AP425"/>
      <c r="AQ425"/>
      <c r="AR425"/>
      <c r="AS425"/>
      <c r="AT425" t="inlineStr">
        <is>
          <t>☆</t>
        </is>
      </c>
      <c r="AU425" t="inlineStr">
        <is>
          <t>☆</t>
        </is>
      </c>
      <c r="AV425" t="inlineStr">
        <is>
          <t>☆</t>
        </is>
      </c>
      <c r="AW425" t="inlineStr">
        <is>
          <t>☆</t>
        </is>
      </c>
      <c r="AX425" t="inlineStr">
        <is>
          <t>☆</t>
        </is>
      </c>
      <c r="AY425" t="inlineStr">
        <is>
          <t>☆</t>
        </is>
      </c>
      <c r="AZ425" t="inlineStr">
        <is>
          <t>☆</t>
        </is>
      </c>
      <c r="BA425" t="inlineStr">
        <is>
          <t>☆</t>
        </is>
      </c>
      <c r="BB425" t="inlineStr">
        <is>
          <t>☆</t>
        </is>
      </c>
      <c r="BC425" t="inlineStr">
        <is>
          <t>☆</t>
        </is>
      </c>
      <c r="BD425" t="inlineStr">
        <is>
          <t>☆</t>
        </is>
      </c>
      <c r="BE425" t="inlineStr">
        <is>
          <t>☆</t>
        </is>
      </c>
      <c r="BF425" t="inlineStr">
        <is>
          <t>☆</t>
        </is>
      </c>
      <c r="BG425" t="inlineStr">
        <is>
          <t>☆</t>
        </is>
      </c>
      <c r="BH425" t="inlineStr">
        <is>
          <t>☆</t>
        </is>
      </c>
      <c r="BI425" t="inlineStr">
        <is>
          <t>☆</t>
        </is>
      </c>
      <c r="BJ425" t="inlineStr">
        <is>
          <t>☆</t>
        </is>
      </c>
      <c r="BK425" t="inlineStr">
        <is>
          <t>☆</t>
        </is>
      </c>
      <c r="BL425" t="inlineStr">
        <is>
          <t>☆</t>
        </is>
      </c>
      <c r="BM425" t="inlineStr">
        <is>
          <t>☆</t>
        </is>
      </c>
      <c r="BN425" t="inlineStr">
        <is>
          <t>☆</t>
        </is>
      </c>
      <c r="BO425" t="inlineStr">
        <is>
          <t>☆</t>
        </is>
      </c>
      <c r="BP425" t="inlineStr">
        <is>
          <t>☆</t>
        </is>
      </c>
      <c r="BQ425" t="inlineStr">
        <is>
          <t>☆</t>
        </is>
      </c>
      <c r="BR425"/>
      <c r="BS425" t="inlineStr">
        <is>
          <t>#VALUE!</t>
        </is>
      </c>
    </row>
    <row r="426" ht="25.5" customHeight="1">
      <c r="A426" t="inlineStr">
        <is>
          <t>FR</t>
        </is>
      </c>
      <c r="B426"/>
      <c r="C426" t="inlineStr">
        <is>
          <t>R0015EU</t>
        </is>
      </c>
      <c r="D426" t="inlineStr">
        <is>
          <t>空净AP300A（coupon-10%）</t>
        </is>
      </c>
      <c r="E426">
        <v>79</v>
      </c>
      <c r="F426">
        <v>114.99</v>
      </c>
      <c r="G426"/>
      <c r="H426"/>
      <c r="I426"/>
      <c r="J426"/>
      <c r="K426"/>
      <c r="L426"/>
      <c r="M426"/>
      <c r="N426"/>
      <c r="O426"/>
      <c r="P426">
        <v>3</v>
      </c>
      <c r="Q426">
        <v>8</v>
      </c>
      <c r="R426"/>
      <c r="S426"/>
      <c r="T426"/>
      <c r="U426">
        <v>0.01</v>
      </c>
      <c r="V426"/>
      <c r="W426"/>
      <c r="X426">
        <v>0.188</v>
      </c>
      <c r="Y426">
        <v>10</v>
      </c>
      <c r="Z426"/>
      <c r="AA426"/>
      <c r="AB426"/>
      <c r="AC426">
        <v>240</v>
      </c>
      <c r="AD426"/>
      <c r="AE426"/>
      <c r="AF426"/>
      <c r="AG426"/>
      <c r="AH426">
        <v>25</v>
      </c>
      <c r="AI426"/>
      <c r="AJ426"/>
      <c r="AK426"/>
      <c r="AL426"/>
      <c r="AM426"/>
      <c r="AN426"/>
      <c r="AO426"/>
      <c r="AP426"/>
      <c r="AQ426"/>
      <c r="AR426"/>
      <c r="AS426"/>
      <c r="AT426" t="inlineStr">
        <is>
          <t>☆</t>
        </is>
      </c>
      <c r="AU426" t="inlineStr">
        <is>
          <t>☆</t>
        </is>
      </c>
      <c r="AV426" t="inlineStr">
        <is>
          <t>☆</t>
        </is>
      </c>
      <c r="AW426" t="inlineStr">
        <is>
          <t>☆</t>
        </is>
      </c>
      <c r="AX426" t="inlineStr">
        <is>
          <t>☆</t>
        </is>
      </c>
      <c r="AY426" t="inlineStr">
        <is>
          <t>☆</t>
        </is>
      </c>
      <c r="AZ426" t="inlineStr">
        <is>
          <t>☆</t>
        </is>
      </c>
      <c r="BA426" t="inlineStr">
        <is>
          <t>☆</t>
        </is>
      </c>
      <c r="BB426" t="inlineStr">
        <is>
          <t>☆</t>
        </is>
      </c>
      <c r="BC426" t="inlineStr">
        <is>
          <t>☆</t>
        </is>
      </c>
      <c r="BD426" t="inlineStr">
        <is>
          <t>☆</t>
        </is>
      </c>
      <c r="BE426" t="inlineStr">
        <is>
          <t>☆</t>
        </is>
      </c>
      <c r="BF426" t="inlineStr">
        <is>
          <t>☆</t>
        </is>
      </c>
      <c r="BG426" t="inlineStr">
        <is>
          <t>☆</t>
        </is>
      </c>
      <c r="BH426" t="inlineStr">
        <is>
          <t>☆</t>
        </is>
      </c>
      <c r="BI426" t="inlineStr">
        <is>
          <t>☆</t>
        </is>
      </c>
      <c r="BJ426" t="inlineStr">
        <is>
          <t>☆</t>
        </is>
      </c>
      <c r="BK426" t="inlineStr">
        <is>
          <t>☆</t>
        </is>
      </c>
      <c r="BL426" t="inlineStr">
        <is>
          <t>☆</t>
        </is>
      </c>
      <c r="BM426" t="inlineStr">
        <is>
          <t>☆</t>
        </is>
      </c>
      <c r="BN426" t="inlineStr">
        <is>
          <t>☆</t>
        </is>
      </c>
      <c r="BO426" t="inlineStr">
        <is>
          <t>☆</t>
        </is>
      </c>
      <c r="BP426" t="inlineStr">
        <is>
          <t>☆</t>
        </is>
      </c>
      <c r="BQ426" t="inlineStr">
        <is>
          <t>☆</t>
        </is>
      </c>
      <c r="BR426"/>
      <c r="BS426" t="inlineStr">
        <is>
          <t>#VALUE!</t>
        </is>
      </c>
    </row>
    <row r="427" ht="25.5" customHeight="1">
      <c r="A427" t="inlineStr">
        <is>
          <t>FR</t>
        </is>
      </c>
      <c r="B427"/>
      <c r="C427" t="inlineStr">
        <is>
          <t>R0015EU</t>
        </is>
      </c>
      <c r="D427" t="inlineStr">
        <is>
          <t>空净AP300A（coupon-15%）</t>
        </is>
      </c>
      <c r="E427">
        <v>79</v>
      </c>
      <c r="F427">
        <v>114.99</v>
      </c>
      <c r="G427"/>
      <c r="H427"/>
      <c r="I427"/>
      <c r="J427"/>
      <c r="K427"/>
      <c r="L427"/>
      <c r="M427"/>
      <c r="N427"/>
      <c r="O427"/>
      <c r="P427">
        <v>3</v>
      </c>
      <c r="Q427">
        <v>8</v>
      </c>
      <c r="R427"/>
      <c r="S427"/>
      <c r="T427"/>
      <c r="U427">
        <v>0.01</v>
      </c>
      <c r="V427"/>
      <c r="W427"/>
      <c r="X427">
        <v>0.188</v>
      </c>
      <c r="Y427">
        <v>10</v>
      </c>
      <c r="Z427"/>
      <c r="AA427"/>
      <c r="AB427"/>
      <c r="AC427">
        <v>240</v>
      </c>
      <c r="AD427"/>
      <c r="AE427"/>
      <c r="AF427"/>
      <c r="AG427"/>
      <c r="AH427">
        <v>25</v>
      </c>
      <c r="AI427"/>
      <c r="AJ427"/>
      <c r="AK427"/>
      <c r="AL427"/>
      <c r="AM427"/>
      <c r="AN427"/>
      <c r="AO427"/>
      <c r="AP427"/>
      <c r="AQ427"/>
      <c r="AR427"/>
      <c r="AS427"/>
      <c r="AT427" t="inlineStr">
        <is>
          <t>☆</t>
        </is>
      </c>
      <c r="AU427" t="inlineStr">
        <is>
          <t>☆</t>
        </is>
      </c>
      <c r="AV427" t="inlineStr">
        <is>
          <t>☆</t>
        </is>
      </c>
      <c r="AW427" t="inlineStr">
        <is>
          <t>☆</t>
        </is>
      </c>
      <c r="AX427" t="inlineStr">
        <is>
          <t>☆</t>
        </is>
      </c>
      <c r="AY427" t="inlineStr">
        <is>
          <t>☆</t>
        </is>
      </c>
      <c r="AZ427" t="inlineStr">
        <is>
          <t>☆</t>
        </is>
      </c>
      <c r="BA427" t="inlineStr">
        <is>
          <t>☆</t>
        </is>
      </c>
      <c r="BB427" t="inlineStr">
        <is>
          <t>☆</t>
        </is>
      </c>
      <c r="BC427" t="inlineStr">
        <is>
          <t>☆</t>
        </is>
      </c>
      <c r="BD427" t="inlineStr">
        <is>
          <t>☆</t>
        </is>
      </c>
      <c r="BE427" t="inlineStr">
        <is>
          <t>☆</t>
        </is>
      </c>
      <c r="BF427" t="inlineStr">
        <is>
          <t>☆</t>
        </is>
      </c>
      <c r="BG427" t="inlineStr">
        <is>
          <t>☆</t>
        </is>
      </c>
      <c r="BH427" t="inlineStr">
        <is>
          <t>☆</t>
        </is>
      </c>
      <c r="BI427" t="inlineStr">
        <is>
          <t>☆</t>
        </is>
      </c>
      <c r="BJ427" t="inlineStr">
        <is>
          <t>☆</t>
        </is>
      </c>
      <c r="BK427" t="inlineStr">
        <is>
          <t>☆</t>
        </is>
      </c>
      <c r="BL427" t="inlineStr">
        <is>
          <t>☆</t>
        </is>
      </c>
      <c r="BM427" t="inlineStr">
        <is>
          <t>☆</t>
        </is>
      </c>
      <c r="BN427" t="inlineStr">
        <is>
          <t>☆</t>
        </is>
      </c>
      <c r="BO427" t="inlineStr">
        <is>
          <t>☆</t>
        </is>
      </c>
      <c r="BP427" t="inlineStr">
        <is>
          <t>☆</t>
        </is>
      </c>
      <c r="BQ427" t="inlineStr">
        <is>
          <t>☆</t>
        </is>
      </c>
      <c r="BR427"/>
      <c r="BS427" t="inlineStr">
        <is>
          <t>#VALUE!</t>
        </is>
      </c>
    </row>
    <row r="428" ht="25.5" customHeight="1">
      <c r="A428" t="inlineStr">
        <is>
          <t>IT</t>
        </is>
      </c>
      <c r="B428"/>
      <c r="C428" t="inlineStr">
        <is>
          <t>R0015EU</t>
        </is>
      </c>
      <c r="D428" t="inlineStr">
        <is>
          <t>空净AP300A（coupon-0%）</t>
        </is>
      </c>
      <c r="E428">
        <v>79</v>
      </c>
      <c r="F428">
        <v>114.99</v>
      </c>
      <c r="G428"/>
      <c r="H428"/>
      <c r="I428"/>
      <c r="J428"/>
      <c r="K428"/>
      <c r="L428"/>
      <c r="M428"/>
      <c r="N428"/>
      <c r="O428"/>
      <c r="P428">
        <v>3</v>
      </c>
      <c r="Q428">
        <v>8</v>
      </c>
      <c r="R428"/>
      <c r="S428"/>
      <c r="T428"/>
      <c r="U428">
        <v>0.01</v>
      </c>
      <c r="V428"/>
      <c r="W428"/>
      <c r="X428">
        <v>0.188</v>
      </c>
      <c r="Y428">
        <v>10</v>
      </c>
      <c r="Z428">
        <v>0</v>
      </c>
      <c r="AA428"/>
      <c r="AB428"/>
      <c r="AC428">
        <v>240</v>
      </c>
      <c r="AD428"/>
      <c r="AE428"/>
      <c r="AF428"/>
      <c r="AG428"/>
      <c r="AH428">
        <v>25</v>
      </c>
      <c r="AI428"/>
      <c r="AJ428"/>
      <c r="AK428"/>
      <c r="AL428"/>
      <c r="AM428"/>
      <c r="AN428"/>
      <c r="AO428"/>
      <c r="AP428"/>
      <c r="AQ428"/>
      <c r="AR428"/>
      <c r="AS428"/>
      <c r="AT428" t="inlineStr">
        <is>
          <t>☆</t>
        </is>
      </c>
      <c r="AU428" t="inlineStr">
        <is>
          <t>☆</t>
        </is>
      </c>
      <c r="AV428" t="inlineStr">
        <is>
          <t>☆</t>
        </is>
      </c>
      <c r="AW428" t="inlineStr">
        <is>
          <t>☆</t>
        </is>
      </c>
      <c r="AX428" t="inlineStr">
        <is>
          <t>☆</t>
        </is>
      </c>
      <c r="AY428" t="inlineStr">
        <is>
          <t>☆</t>
        </is>
      </c>
      <c r="AZ428" t="inlineStr">
        <is>
          <t>☆</t>
        </is>
      </c>
      <c r="BA428" t="inlineStr">
        <is>
          <t>☆</t>
        </is>
      </c>
      <c r="BB428" t="inlineStr">
        <is>
          <t>☆</t>
        </is>
      </c>
      <c r="BC428" t="inlineStr">
        <is>
          <t>☆</t>
        </is>
      </c>
      <c r="BD428" t="inlineStr">
        <is>
          <t>☆</t>
        </is>
      </c>
      <c r="BE428" t="inlineStr">
        <is>
          <t>☆</t>
        </is>
      </c>
      <c r="BF428" t="inlineStr">
        <is>
          <t>☆</t>
        </is>
      </c>
      <c r="BG428" t="inlineStr">
        <is>
          <t>☆</t>
        </is>
      </c>
      <c r="BH428" t="inlineStr">
        <is>
          <t>☆</t>
        </is>
      </c>
      <c r="BI428" t="inlineStr">
        <is>
          <t>☆</t>
        </is>
      </c>
      <c r="BJ428" t="inlineStr">
        <is>
          <t>☆</t>
        </is>
      </c>
      <c r="BK428" t="inlineStr">
        <is>
          <t>☆</t>
        </is>
      </c>
      <c r="BL428" t="inlineStr">
        <is>
          <t>☆</t>
        </is>
      </c>
      <c r="BM428" t="inlineStr">
        <is>
          <t>☆</t>
        </is>
      </c>
      <c r="BN428" t="inlineStr">
        <is>
          <t>☆</t>
        </is>
      </c>
      <c r="BO428" t="inlineStr">
        <is>
          <t>☆</t>
        </is>
      </c>
      <c r="BP428" t="inlineStr">
        <is>
          <t>☆</t>
        </is>
      </c>
      <c r="BQ428" t="inlineStr">
        <is>
          <t>☆</t>
        </is>
      </c>
      <c r="BR428"/>
      <c r="BS428" t="inlineStr">
        <is>
          <t>#VALUE!</t>
        </is>
      </c>
    </row>
    <row r="429" ht="25.5" customHeight="1">
      <c r="A429" t="inlineStr">
        <is>
          <t>IT</t>
        </is>
      </c>
      <c r="B429"/>
      <c r="C429" t="inlineStr">
        <is>
          <t>R0015EU</t>
        </is>
      </c>
      <c r="D429" t="inlineStr">
        <is>
          <t>空净AP300A（coupon-10%）</t>
        </is>
      </c>
      <c r="E429">
        <v>79</v>
      </c>
      <c r="F429">
        <v>114.99</v>
      </c>
      <c r="G429"/>
      <c r="H429"/>
      <c r="I429"/>
      <c r="J429"/>
      <c r="K429"/>
      <c r="L429"/>
      <c r="M429"/>
      <c r="N429"/>
      <c r="O429"/>
      <c r="P429">
        <v>3</v>
      </c>
      <c r="Q429">
        <v>8</v>
      </c>
      <c r="R429"/>
      <c r="S429"/>
      <c r="T429"/>
      <c r="U429">
        <v>0.01</v>
      </c>
      <c r="V429"/>
      <c r="W429"/>
      <c r="X429">
        <v>0.188</v>
      </c>
      <c r="Y429">
        <v>10</v>
      </c>
      <c r="Z429"/>
      <c r="AA429"/>
      <c r="AB429"/>
      <c r="AC429">
        <v>240</v>
      </c>
      <c r="AD429"/>
      <c r="AE429"/>
      <c r="AF429"/>
      <c r="AG429"/>
      <c r="AH429">
        <v>25</v>
      </c>
      <c r="AI429"/>
      <c r="AJ429"/>
      <c r="AK429"/>
      <c r="AL429"/>
      <c r="AM429"/>
      <c r="AN429"/>
      <c r="AO429"/>
      <c r="AP429"/>
      <c r="AQ429"/>
      <c r="AR429"/>
      <c r="AS429"/>
      <c r="AT429" t="inlineStr">
        <is>
          <t>☆</t>
        </is>
      </c>
      <c r="AU429" t="inlineStr">
        <is>
          <t>☆</t>
        </is>
      </c>
      <c r="AV429" t="inlineStr">
        <is>
          <t>☆</t>
        </is>
      </c>
      <c r="AW429" t="inlineStr">
        <is>
          <t>☆</t>
        </is>
      </c>
      <c r="AX429" t="inlineStr">
        <is>
          <t>☆</t>
        </is>
      </c>
      <c r="AY429" t="inlineStr">
        <is>
          <t>☆</t>
        </is>
      </c>
      <c r="AZ429" t="inlineStr">
        <is>
          <t>☆</t>
        </is>
      </c>
      <c r="BA429" t="inlineStr">
        <is>
          <t>☆</t>
        </is>
      </c>
      <c r="BB429" t="inlineStr">
        <is>
          <t>☆</t>
        </is>
      </c>
      <c r="BC429" t="inlineStr">
        <is>
          <t>☆</t>
        </is>
      </c>
      <c r="BD429" t="inlineStr">
        <is>
          <t>☆</t>
        </is>
      </c>
      <c r="BE429" t="inlineStr">
        <is>
          <t>☆</t>
        </is>
      </c>
      <c r="BF429" t="inlineStr">
        <is>
          <t>☆</t>
        </is>
      </c>
      <c r="BG429" t="inlineStr">
        <is>
          <t>☆</t>
        </is>
      </c>
      <c r="BH429" t="inlineStr">
        <is>
          <t>☆</t>
        </is>
      </c>
      <c r="BI429" t="inlineStr">
        <is>
          <t>☆</t>
        </is>
      </c>
      <c r="BJ429" t="inlineStr">
        <is>
          <t>☆</t>
        </is>
      </c>
      <c r="BK429" t="inlineStr">
        <is>
          <t>☆</t>
        </is>
      </c>
      <c r="BL429" t="inlineStr">
        <is>
          <t>☆</t>
        </is>
      </c>
      <c r="BM429" t="inlineStr">
        <is>
          <t>☆</t>
        </is>
      </c>
      <c r="BN429" t="inlineStr">
        <is>
          <t>☆</t>
        </is>
      </c>
      <c r="BO429" t="inlineStr">
        <is>
          <t>☆</t>
        </is>
      </c>
      <c r="BP429" t="inlineStr">
        <is>
          <t>☆</t>
        </is>
      </c>
      <c r="BQ429" t="inlineStr">
        <is>
          <t>☆</t>
        </is>
      </c>
      <c r="BR429"/>
      <c r="BS429" t="inlineStr">
        <is>
          <t>#VALUE!</t>
        </is>
      </c>
    </row>
    <row r="430" ht="25.5" customHeight="1">
      <c r="A430" t="inlineStr">
        <is>
          <t>IT</t>
        </is>
      </c>
      <c r="B430"/>
      <c r="C430" t="inlineStr">
        <is>
          <t>R0015EU</t>
        </is>
      </c>
      <c r="D430" t="inlineStr">
        <is>
          <t>空净AP300A（coupon-15%）</t>
        </is>
      </c>
      <c r="E430">
        <v>79</v>
      </c>
      <c r="F430">
        <v>114.99</v>
      </c>
      <c r="G430"/>
      <c r="H430"/>
      <c r="I430"/>
      <c r="J430"/>
      <c r="K430"/>
      <c r="L430"/>
      <c r="M430"/>
      <c r="N430"/>
      <c r="O430"/>
      <c r="P430">
        <v>3</v>
      </c>
      <c r="Q430">
        <v>8</v>
      </c>
      <c r="R430"/>
      <c r="S430"/>
      <c r="T430"/>
      <c r="U430">
        <v>0.01</v>
      </c>
      <c r="V430"/>
      <c r="W430"/>
      <c r="X430">
        <v>0.188</v>
      </c>
      <c r="Y430">
        <v>10</v>
      </c>
      <c r="Z430"/>
      <c r="AA430"/>
      <c r="AB430"/>
      <c r="AC430">
        <v>240</v>
      </c>
      <c r="AD430"/>
      <c r="AE430"/>
      <c r="AF430"/>
      <c r="AG430"/>
      <c r="AH430">
        <v>25</v>
      </c>
      <c r="AI430"/>
      <c r="AJ430"/>
      <c r="AK430"/>
      <c r="AL430"/>
      <c r="AM430"/>
      <c r="AN430"/>
      <c r="AO430"/>
      <c r="AP430"/>
      <c r="AQ430"/>
      <c r="AR430"/>
      <c r="AS430"/>
      <c r="AT430" t="inlineStr">
        <is>
          <t>☆</t>
        </is>
      </c>
      <c r="AU430" t="inlineStr">
        <is>
          <t>☆</t>
        </is>
      </c>
      <c r="AV430" t="inlineStr">
        <is>
          <t>☆</t>
        </is>
      </c>
      <c r="AW430" t="inlineStr">
        <is>
          <t>☆</t>
        </is>
      </c>
      <c r="AX430" t="inlineStr">
        <is>
          <t>☆</t>
        </is>
      </c>
      <c r="AY430" t="inlineStr">
        <is>
          <t>☆</t>
        </is>
      </c>
      <c r="AZ430" t="inlineStr">
        <is>
          <t>☆</t>
        </is>
      </c>
      <c r="BA430" t="inlineStr">
        <is>
          <t>☆</t>
        </is>
      </c>
      <c r="BB430" t="inlineStr">
        <is>
          <t>☆</t>
        </is>
      </c>
      <c r="BC430" t="inlineStr">
        <is>
          <t>☆</t>
        </is>
      </c>
      <c r="BD430" t="inlineStr">
        <is>
          <t>☆</t>
        </is>
      </c>
      <c r="BE430" t="inlineStr">
        <is>
          <t>☆</t>
        </is>
      </c>
      <c r="BF430" t="inlineStr">
        <is>
          <t>☆</t>
        </is>
      </c>
      <c r="BG430" t="inlineStr">
        <is>
          <t>☆</t>
        </is>
      </c>
      <c r="BH430" t="inlineStr">
        <is>
          <t>☆</t>
        </is>
      </c>
      <c r="BI430" t="inlineStr">
        <is>
          <t>☆</t>
        </is>
      </c>
      <c r="BJ430" t="inlineStr">
        <is>
          <t>☆</t>
        </is>
      </c>
      <c r="BK430" t="inlineStr">
        <is>
          <t>☆</t>
        </is>
      </c>
      <c r="BL430" t="inlineStr">
        <is>
          <t>☆</t>
        </is>
      </c>
      <c r="BM430" t="inlineStr">
        <is>
          <t>☆</t>
        </is>
      </c>
      <c r="BN430" t="inlineStr">
        <is>
          <t>☆</t>
        </is>
      </c>
      <c r="BO430" t="inlineStr">
        <is>
          <t>☆</t>
        </is>
      </c>
      <c r="BP430" t="inlineStr">
        <is>
          <t>☆</t>
        </is>
      </c>
      <c r="BQ430" t="inlineStr">
        <is>
          <t>☆</t>
        </is>
      </c>
      <c r="BR430"/>
      <c r="BS430" t="inlineStr">
        <is>
          <t>#VALUE!</t>
        </is>
      </c>
    </row>
    <row r="431" ht="25.5" customHeight="1">
      <c r="A431" t="inlineStr">
        <is>
          <t>ES</t>
        </is>
      </c>
      <c r="B431"/>
      <c r="C431" t="inlineStr">
        <is>
          <t>R0015EU</t>
        </is>
      </c>
      <c r="D431" t="inlineStr">
        <is>
          <t>空净AP300A（coupon-0%）</t>
        </is>
      </c>
      <c r="E431">
        <v>79</v>
      </c>
      <c r="F431">
        <v>114.99</v>
      </c>
      <c r="G431"/>
      <c r="H431"/>
      <c r="I431"/>
      <c r="J431"/>
      <c r="K431"/>
      <c r="L431"/>
      <c r="M431"/>
      <c r="N431"/>
      <c r="O431"/>
      <c r="P431">
        <v>3</v>
      </c>
      <c r="Q431">
        <v>8</v>
      </c>
      <c r="R431"/>
      <c r="S431"/>
      <c r="T431"/>
      <c r="U431">
        <v>0.01</v>
      </c>
      <c r="V431"/>
      <c r="W431"/>
      <c r="X431">
        <v>0.188</v>
      </c>
      <c r="Y431">
        <v>10</v>
      </c>
      <c r="Z431">
        <v>0</v>
      </c>
      <c r="AA431"/>
      <c r="AB431"/>
      <c r="AC431">
        <v>240</v>
      </c>
      <c r="AD431"/>
      <c r="AE431"/>
      <c r="AF431"/>
      <c r="AG431"/>
      <c r="AH431">
        <v>25</v>
      </c>
      <c r="AI431"/>
      <c r="AJ431"/>
      <c r="AK431"/>
      <c r="AL431"/>
      <c r="AM431"/>
      <c r="AN431"/>
      <c r="AO431"/>
      <c r="AP431"/>
      <c r="AQ431"/>
      <c r="AR431"/>
      <c r="AS431"/>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c r="BS431" t="inlineStr">
        <is>
          <t>#VALUE!</t>
        </is>
      </c>
    </row>
    <row r="432" ht="25.5" customHeight="1">
      <c r="A432" t="inlineStr">
        <is>
          <t>ES</t>
        </is>
      </c>
      <c r="B432"/>
      <c r="C432" t="inlineStr">
        <is>
          <t>R0015EU</t>
        </is>
      </c>
      <c r="D432" t="inlineStr">
        <is>
          <t>空净AP300A（coupon-10%）</t>
        </is>
      </c>
      <c r="E432">
        <v>79</v>
      </c>
      <c r="F432">
        <v>114.99</v>
      </c>
      <c r="G432"/>
      <c r="H432"/>
      <c r="I432"/>
      <c r="J432"/>
      <c r="K432"/>
      <c r="L432"/>
      <c r="M432"/>
      <c r="N432"/>
      <c r="O432"/>
      <c r="P432">
        <v>3</v>
      </c>
      <c r="Q432">
        <v>8</v>
      </c>
      <c r="R432"/>
      <c r="S432"/>
      <c r="T432"/>
      <c r="U432">
        <v>0.01</v>
      </c>
      <c r="V432"/>
      <c r="W432"/>
      <c r="X432">
        <v>0.188</v>
      </c>
      <c r="Y432">
        <v>10</v>
      </c>
      <c r="Z432"/>
      <c r="AA432"/>
      <c r="AB432"/>
      <c r="AC432">
        <v>240</v>
      </c>
      <c r="AD432"/>
      <c r="AE432"/>
      <c r="AF432"/>
      <c r="AG432"/>
      <c r="AH432">
        <v>25</v>
      </c>
      <c r="AI432"/>
      <c r="AJ432"/>
      <c r="AK432"/>
      <c r="AL432"/>
      <c r="AM432"/>
      <c r="AN432"/>
      <c r="AO432"/>
      <c r="AP432"/>
      <c r="AQ432"/>
      <c r="AR432"/>
      <c r="AS432"/>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c r="BS432" t="inlineStr">
        <is>
          <t>#VALUE!</t>
        </is>
      </c>
    </row>
    <row r="433" ht="25.5" customHeight="1">
      <c r="A433" t="inlineStr">
        <is>
          <t>ES</t>
        </is>
      </c>
      <c r="B433"/>
      <c r="C433" t="inlineStr">
        <is>
          <t>R0015EU</t>
        </is>
      </c>
      <c r="D433" t="inlineStr">
        <is>
          <t>空净AP300A（coupon-15%）</t>
        </is>
      </c>
      <c r="E433">
        <v>79</v>
      </c>
      <c r="F433">
        <v>114.99</v>
      </c>
      <c r="G433"/>
      <c r="H433"/>
      <c r="I433"/>
      <c r="J433"/>
      <c r="K433"/>
      <c r="L433"/>
      <c r="M433"/>
      <c r="N433"/>
      <c r="O433"/>
      <c r="P433">
        <v>3</v>
      </c>
      <c r="Q433">
        <v>8</v>
      </c>
      <c r="R433"/>
      <c r="S433"/>
      <c r="T433"/>
      <c r="U433">
        <v>0.01</v>
      </c>
      <c r="V433"/>
      <c r="W433"/>
      <c r="X433">
        <v>0.188</v>
      </c>
      <c r="Y433">
        <v>10</v>
      </c>
      <c r="Z433"/>
      <c r="AA433"/>
      <c r="AB433"/>
      <c r="AC433">
        <v>240</v>
      </c>
      <c r="AD433"/>
      <c r="AE433"/>
      <c r="AF433"/>
      <c r="AG433"/>
      <c r="AH433">
        <v>25</v>
      </c>
      <c r="AI433"/>
      <c r="AJ433"/>
      <c r="AK433"/>
      <c r="AL433"/>
      <c r="AM433"/>
      <c r="AN433"/>
      <c r="AO433"/>
      <c r="AP433"/>
      <c r="AQ433"/>
      <c r="AR433"/>
      <c r="AS433"/>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c r="BS433" t="inlineStr">
        <is>
          <t>#VALUE!</t>
        </is>
      </c>
    </row>
    <row r="434" ht="25.5" customHeight="1">
      <c r="A434" t="inlineStr">
        <is>
          <t>NL</t>
        </is>
      </c>
      <c r="B434"/>
      <c r="C434" t="inlineStr">
        <is>
          <t>R0015EU</t>
        </is>
      </c>
      <c r="D434" t="inlineStr">
        <is>
          <t>空净AP300A</t>
        </is>
      </c>
      <c r="E434">
        <v>82</v>
      </c>
      <c r="F434">
        <v>119.99</v>
      </c>
      <c r="G434"/>
      <c r="H434"/>
      <c r="I434"/>
      <c r="J434"/>
      <c r="K434"/>
      <c r="L434"/>
      <c r="M434"/>
      <c r="N434"/>
      <c r="O434"/>
      <c r="P434">
        <v>3</v>
      </c>
      <c r="Q434">
        <v>8</v>
      </c>
      <c r="R434"/>
      <c r="S434"/>
      <c r="T434"/>
      <c r="U434">
        <v>0.01</v>
      </c>
      <c r="V434"/>
      <c r="W434"/>
      <c r="X434">
        <v>0.188</v>
      </c>
      <c r="Y434">
        <v>10</v>
      </c>
      <c r="Z434">
        <v>0</v>
      </c>
      <c r="AA434"/>
      <c r="AB434"/>
      <c r="AC434">
        <v>240</v>
      </c>
      <c r="AD434"/>
      <c r="AE434"/>
      <c r="AF434"/>
      <c r="AG434"/>
      <c r="AH434">
        <v>25</v>
      </c>
      <c r="AI434"/>
      <c r="AJ434"/>
      <c r="AK434"/>
      <c r="AL434"/>
      <c r="AM434"/>
      <c r="AN434"/>
      <c r="AO434"/>
      <c r="AP434"/>
      <c r="AQ434"/>
      <c r="AR434"/>
      <c r="AS434"/>
      <c r="AT434" t="inlineStr">
        <is>
          <t>☆</t>
        </is>
      </c>
      <c r="AU434" t="inlineStr">
        <is>
          <t>☆</t>
        </is>
      </c>
      <c r="AV434" t="inlineStr">
        <is>
          <t>☆</t>
        </is>
      </c>
      <c r="AW434" t="inlineStr">
        <is>
          <t>☆</t>
        </is>
      </c>
      <c r="AX434" t="inlineStr">
        <is>
          <t>☆</t>
        </is>
      </c>
      <c r="AY434" t="inlineStr">
        <is>
          <t>☆</t>
        </is>
      </c>
      <c r="AZ434" t="inlineStr">
        <is>
          <t>☆</t>
        </is>
      </c>
      <c r="BA434" t="inlineStr">
        <is>
          <t>☆</t>
        </is>
      </c>
      <c r="BB434" t="inlineStr">
        <is>
          <t>☆</t>
        </is>
      </c>
      <c r="BC434" t="inlineStr">
        <is>
          <t>☆</t>
        </is>
      </c>
      <c r="BD434" t="inlineStr">
        <is>
          <t>☆</t>
        </is>
      </c>
      <c r="BE434" t="inlineStr">
        <is>
          <t>☆</t>
        </is>
      </c>
      <c r="BF434" t="inlineStr">
        <is>
          <t>☆</t>
        </is>
      </c>
      <c r="BG434" t="inlineStr">
        <is>
          <t>☆</t>
        </is>
      </c>
      <c r="BH434" t="inlineStr">
        <is>
          <t>☆</t>
        </is>
      </c>
      <c r="BI434" t="inlineStr">
        <is>
          <t>☆</t>
        </is>
      </c>
      <c r="BJ434" t="inlineStr">
        <is>
          <t>☆</t>
        </is>
      </c>
      <c r="BK434" t="inlineStr">
        <is>
          <t>☆</t>
        </is>
      </c>
      <c r="BL434" t="inlineStr">
        <is>
          <t>☆</t>
        </is>
      </c>
      <c r="BM434" t="inlineStr">
        <is>
          <t>☆</t>
        </is>
      </c>
      <c r="BN434" t="inlineStr">
        <is>
          <t>☆</t>
        </is>
      </c>
      <c r="BO434" t="inlineStr">
        <is>
          <t>☆</t>
        </is>
      </c>
      <c r="BP434" t="inlineStr">
        <is>
          <t>☆</t>
        </is>
      </c>
      <c r="BQ434" t="inlineStr">
        <is>
          <t>☆</t>
        </is>
      </c>
      <c r="BR434"/>
      <c r="BS434" t="inlineStr">
        <is>
          <t>#VALUE!</t>
        </is>
      </c>
    </row>
    <row r="435" ht="25.5" customHeight="1">
      <c r="A435" t="inlineStr">
        <is>
          <t>PL</t>
        </is>
      </c>
      <c r="B435"/>
      <c r="C435" t="inlineStr">
        <is>
          <t>R0015EU</t>
        </is>
      </c>
      <c r="D435" t="inlineStr">
        <is>
          <t>空净AP300A</t>
        </is>
      </c>
      <c r="E435">
        <v>82</v>
      </c>
      <c r="F435">
        <v>119.99</v>
      </c>
      <c r="G435"/>
      <c r="H435"/>
      <c r="I435"/>
      <c r="J435"/>
      <c r="K435"/>
      <c r="L435"/>
      <c r="M435"/>
      <c r="N435"/>
      <c r="O435"/>
      <c r="P435">
        <v>3</v>
      </c>
      <c r="Q435">
        <v>8</v>
      </c>
      <c r="R435"/>
      <c r="S435"/>
      <c r="T435"/>
      <c r="U435">
        <v>0.01</v>
      </c>
      <c r="V435"/>
      <c r="W435"/>
      <c r="X435">
        <v>0.188</v>
      </c>
      <c r="Y435">
        <v>10</v>
      </c>
      <c r="Z435">
        <v>0</v>
      </c>
      <c r="AA435"/>
      <c r="AB435"/>
      <c r="AC435">
        <v>240</v>
      </c>
      <c r="AD435"/>
      <c r="AE435"/>
      <c r="AF435"/>
      <c r="AG435"/>
      <c r="AH435">
        <v>25</v>
      </c>
      <c r="AI435"/>
      <c r="AJ435"/>
      <c r="AK435"/>
      <c r="AL435"/>
      <c r="AM435"/>
      <c r="AN435"/>
      <c r="AO435"/>
      <c r="AP435"/>
      <c r="AQ435"/>
      <c r="AR435"/>
      <c r="AS435"/>
      <c r="AT435" t="inlineStr">
        <is>
          <t>☆</t>
        </is>
      </c>
      <c r="AU435" t="inlineStr">
        <is>
          <t>☆</t>
        </is>
      </c>
      <c r="AV435" t="inlineStr">
        <is>
          <t>☆</t>
        </is>
      </c>
      <c r="AW435" t="inlineStr">
        <is>
          <t>☆</t>
        </is>
      </c>
      <c r="AX435" t="inlineStr">
        <is>
          <t>☆</t>
        </is>
      </c>
      <c r="AY435" t="inlineStr">
        <is>
          <t>☆</t>
        </is>
      </c>
      <c r="AZ435" t="inlineStr">
        <is>
          <t>☆</t>
        </is>
      </c>
      <c r="BA435" t="inlineStr">
        <is>
          <t>☆</t>
        </is>
      </c>
      <c r="BB435" t="inlineStr">
        <is>
          <t>☆</t>
        </is>
      </c>
      <c r="BC435" t="inlineStr">
        <is>
          <t>☆</t>
        </is>
      </c>
      <c r="BD435" t="inlineStr">
        <is>
          <t>☆</t>
        </is>
      </c>
      <c r="BE435" t="inlineStr">
        <is>
          <t>☆</t>
        </is>
      </c>
      <c r="BF435" t="inlineStr">
        <is>
          <t>☆</t>
        </is>
      </c>
      <c r="BG435" t="inlineStr">
        <is>
          <t>☆</t>
        </is>
      </c>
      <c r="BH435" t="inlineStr">
        <is>
          <t>☆</t>
        </is>
      </c>
      <c r="BI435" t="inlineStr">
        <is>
          <t>☆</t>
        </is>
      </c>
      <c r="BJ435" t="inlineStr">
        <is>
          <t>☆</t>
        </is>
      </c>
      <c r="BK435" t="inlineStr">
        <is>
          <t>☆</t>
        </is>
      </c>
      <c r="BL435" t="inlineStr">
        <is>
          <t>☆</t>
        </is>
      </c>
      <c r="BM435" t="inlineStr">
        <is>
          <t>☆</t>
        </is>
      </c>
      <c r="BN435" t="inlineStr">
        <is>
          <t>☆</t>
        </is>
      </c>
      <c r="BO435" t="inlineStr">
        <is>
          <t>☆</t>
        </is>
      </c>
      <c r="BP435" t="inlineStr">
        <is>
          <t>☆</t>
        </is>
      </c>
      <c r="BQ435" t="inlineStr">
        <is>
          <t>☆</t>
        </is>
      </c>
      <c r="BR435"/>
      <c r="BS435" t="inlineStr">
        <is>
          <t>#VALUE!</t>
        </is>
      </c>
    </row>
    <row r="436" ht="25.5" customHeight="1">
      <c r="A436" t="inlineStr">
        <is>
          <t>SE</t>
        </is>
      </c>
      <c r="B436"/>
      <c r="C436" t="inlineStr">
        <is>
          <t>R0015EU</t>
        </is>
      </c>
      <c r="D436" t="inlineStr">
        <is>
          <t>空净AP300A</t>
        </is>
      </c>
      <c r="E436">
        <v>82</v>
      </c>
      <c r="F436">
        <v>119.99</v>
      </c>
      <c r="G436"/>
      <c r="H436"/>
      <c r="I436"/>
      <c r="J436"/>
      <c r="K436"/>
      <c r="L436"/>
      <c r="M436"/>
      <c r="N436"/>
      <c r="O436"/>
      <c r="P436">
        <v>3</v>
      </c>
      <c r="Q436">
        <v>8</v>
      </c>
      <c r="R436"/>
      <c r="S436"/>
      <c r="T436"/>
      <c r="U436">
        <v>0.01</v>
      </c>
      <c r="V436"/>
      <c r="W436"/>
      <c r="X436">
        <v>0.188</v>
      </c>
      <c r="Y436">
        <v>10</v>
      </c>
      <c r="Z436">
        <v>0</v>
      </c>
      <c r="AA436"/>
      <c r="AB436"/>
      <c r="AC436">
        <v>240</v>
      </c>
      <c r="AD436"/>
      <c r="AE436"/>
      <c r="AF436"/>
      <c r="AG436"/>
      <c r="AH436">
        <v>25</v>
      </c>
      <c r="AI436"/>
      <c r="AJ436"/>
      <c r="AK436"/>
      <c r="AL436"/>
      <c r="AM436"/>
      <c r="AN436"/>
      <c r="AO436"/>
      <c r="AP436"/>
      <c r="AQ436"/>
      <c r="AR436"/>
      <c r="AS436"/>
      <c r="AT436" t="inlineStr">
        <is>
          <t>☆</t>
        </is>
      </c>
      <c r="AU436" t="inlineStr">
        <is>
          <t>☆</t>
        </is>
      </c>
      <c r="AV436" t="inlineStr">
        <is>
          <t>☆</t>
        </is>
      </c>
      <c r="AW436" t="inlineStr">
        <is>
          <t>☆</t>
        </is>
      </c>
      <c r="AX436" t="inlineStr">
        <is>
          <t>☆</t>
        </is>
      </c>
      <c r="AY436" t="inlineStr">
        <is>
          <t>☆</t>
        </is>
      </c>
      <c r="AZ436" t="inlineStr">
        <is>
          <t>☆</t>
        </is>
      </c>
      <c r="BA436" t="inlineStr">
        <is>
          <t>☆</t>
        </is>
      </c>
      <c r="BB436" t="inlineStr">
        <is>
          <t>☆</t>
        </is>
      </c>
      <c r="BC436" t="inlineStr">
        <is>
          <t>☆</t>
        </is>
      </c>
      <c r="BD436" t="inlineStr">
        <is>
          <t>☆</t>
        </is>
      </c>
      <c r="BE436" t="inlineStr">
        <is>
          <t>☆</t>
        </is>
      </c>
      <c r="BF436" t="inlineStr">
        <is>
          <t>☆</t>
        </is>
      </c>
      <c r="BG436" t="inlineStr">
        <is>
          <t>☆</t>
        </is>
      </c>
      <c r="BH436" t="inlineStr">
        <is>
          <t>☆</t>
        </is>
      </c>
      <c r="BI436" t="inlineStr">
        <is>
          <t>☆</t>
        </is>
      </c>
      <c r="BJ436" t="inlineStr">
        <is>
          <t>☆</t>
        </is>
      </c>
      <c r="BK436" t="inlineStr">
        <is>
          <t>☆</t>
        </is>
      </c>
      <c r="BL436" t="inlineStr">
        <is>
          <t>☆</t>
        </is>
      </c>
      <c r="BM436" t="inlineStr">
        <is>
          <t>☆</t>
        </is>
      </c>
      <c r="BN436" t="inlineStr">
        <is>
          <t>☆</t>
        </is>
      </c>
      <c r="BO436" t="inlineStr">
        <is>
          <t>☆</t>
        </is>
      </c>
      <c r="BP436" t="inlineStr">
        <is>
          <t>☆</t>
        </is>
      </c>
      <c r="BQ436" t="inlineStr">
        <is>
          <t>☆</t>
        </is>
      </c>
      <c r="BR436"/>
      <c r="BS436" t="inlineStr">
        <is>
          <t>#VALUE!</t>
        </is>
      </c>
    </row>
    <row r="437" ht="25.5" customHeight="1">
      <c r="A437" t="inlineStr">
        <is>
          <t>BE</t>
        </is>
      </c>
      <c r="B437"/>
      <c r="C437" t="inlineStr">
        <is>
          <t>R0015EU</t>
        </is>
      </c>
      <c r="D437" t="inlineStr">
        <is>
          <t>空净AP300A</t>
        </is>
      </c>
      <c r="E437">
        <v>82</v>
      </c>
      <c r="F437">
        <v>119.99</v>
      </c>
      <c r="G437"/>
      <c r="H437"/>
      <c r="I437"/>
      <c r="J437"/>
      <c r="K437"/>
      <c r="L437"/>
      <c r="M437"/>
      <c r="N437"/>
      <c r="O437"/>
      <c r="P437">
        <v>3</v>
      </c>
      <c r="Q437">
        <v>8</v>
      </c>
      <c r="R437"/>
      <c r="S437"/>
      <c r="T437"/>
      <c r="U437">
        <v>0.01</v>
      </c>
      <c r="V437"/>
      <c r="W437"/>
      <c r="X437">
        <v>0.188</v>
      </c>
      <c r="Y437">
        <v>10</v>
      </c>
      <c r="Z437">
        <v>0</v>
      </c>
      <c r="AA437"/>
      <c r="AB437"/>
      <c r="AC437">
        <v>240</v>
      </c>
      <c r="AD437"/>
      <c r="AE437"/>
      <c r="AF437"/>
      <c r="AG437"/>
      <c r="AH437">
        <v>25</v>
      </c>
      <c r="AI437"/>
      <c r="AJ437"/>
      <c r="AK437"/>
      <c r="AL437"/>
      <c r="AM437"/>
      <c r="AN437"/>
      <c r="AO437"/>
      <c r="AP437"/>
      <c r="AQ437"/>
      <c r="AR437"/>
      <c r="AS437"/>
      <c r="AT437" t="inlineStr">
        <is>
          <t>☆</t>
        </is>
      </c>
      <c r="AU437" t="inlineStr">
        <is>
          <t>☆</t>
        </is>
      </c>
      <c r="AV437" t="inlineStr">
        <is>
          <t>☆</t>
        </is>
      </c>
      <c r="AW437" t="inlineStr">
        <is>
          <t>☆</t>
        </is>
      </c>
      <c r="AX437" t="inlineStr">
        <is>
          <t>☆</t>
        </is>
      </c>
      <c r="AY437" t="inlineStr">
        <is>
          <t>☆</t>
        </is>
      </c>
      <c r="AZ437" t="inlineStr">
        <is>
          <t>☆</t>
        </is>
      </c>
      <c r="BA437" t="inlineStr">
        <is>
          <t>☆</t>
        </is>
      </c>
      <c r="BB437" t="inlineStr">
        <is>
          <t>☆</t>
        </is>
      </c>
      <c r="BC437" t="inlineStr">
        <is>
          <t>☆</t>
        </is>
      </c>
      <c r="BD437" t="inlineStr">
        <is>
          <t>☆</t>
        </is>
      </c>
      <c r="BE437" t="inlineStr">
        <is>
          <t>☆</t>
        </is>
      </c>
      <c r="BF437" t="inlineStr">
        <is>
          <t>☆</t>
        </is>
      </c>
      <c r="BG437" t="inlineStr">
        <is>
          <t>☆</t>
        </is>
      </c>
      <c r="BH437" t="inlineStr">
        <is>
          <t>☆</t>
        </is>
      </c>
      <c r="BI437" t="inlineStr">
        <is>
          <t>☆</t>
        </is>
      </c>
      <c r="BJ437" t="inlineStr">
        <is>
          <t>☆</t>
        </is>
      </c>
      <c r="BK437" t="inlineStr">
        <is>
          <t>☆</t>
        </is>
      </c>
      <c r="BL437" t="inlineStr">
        <is>
          <t>☆</t>
        </is>
      </c>
      <c r="BM437" t="inlineStr">
        <is>
          <t>☆</t>
        </is>
      </c>
      <c r="BN437" t="inlineStr">
        <is>
          <t>☆</t>
        </is>
      </c>
      <c r="BO437" t="inlineStr">
        <is>
          <t>☆</t>
        </is>
      </c>
      <c r="BP437" t="inlineStr">
        <is>
          <t>☆</t>
        </is>
      </c>
      <c r="BQ437" t="inlineStr">
        <is>
          <t>☆</t>
        </is>
      </c>
      <c r="BR437"/>
      <c r="BS437" t="inlineStr">
        <is>
          <t>#VALUE!</t>
        </is>
      </c>
    </row>
    <row r="438" ht="25.5" customHeight="1">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row>
  </sheetData>
  <conditionalFormatting sqref="Y2:Y1048576">
    <cfRule type="cellIs" dxfId="0" priority="1" operator="lessThanOrEqual">
      <formula>0</formula>
    </cfRule>
  </conditionalFormatting>
  <conditionalFormatting sqref="Z2:Z1048576">
    <cfRule type="cellIs" dxfId="1" priority="2" operator="lessThanOrEqual">
      <formula>0</formula>
    </cfRule>
  </conditionalFormatting>
  <conditionalFormatting sqref="Y2:Y1048576">
    <cfRule type="cellIs" dxfId="2" priority="3" operator="lessThanOrEqual">
      <formula>0</formula>
    </cfRule>
  </conditionalFormatting>
  <dataValidations count="1">
    <dataValidation allowBlank="false" sqref="B2:B437" type="list">
      <formula1>"R0001UK,R0001EU"</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s>
  <sheetData>
    <row r="1" ht="13" customHeight="1">
      <c r="A1" s="1" t="inlineStr">
        <is>
          <t>产品</t>
        </is>
      </c>
      <c r="B1" s="1" t="inlineStr">
        <is>
          <t>站点</t>
        </is>
      </c>
      <c r="C1" s="1" t="inlineStr">
        <is>
          <t>类型</t>
        </is>
      </c>
      <c r="D1" s="1" t="inlineStr">
        <is>
          <t>活动</t>
        </is>
      </c>
      <c r="E1" s="1" t="inlineStr">
        <is>
          <t>2025|11|17</t>
        </is>
      </c>
      <c r="F1" s="1" t="inlineStr">
        <is>
          <t>2025|11|18</t>
        </is>
      </c>
      <c r="G1" s="1" t="inlineStr">
        <is>
          <t>2025|11|19</t>
        </is>
      </c>
      <c r="H1" s="1" t="inlineStr">
        <is>
          <t>2025|11|20</t>
        </is>
      </c>
      <c r="I1" s="1" t="inlineStr">
        <is>
          <t>2025|11|21</t>
        </is>
      </c>
      <c r="J1" s="1" t="inlineStr">
        <is>
          <t>2025|11|22</t>
        </is>
      </c>
      <c r="K1" s="1" t="inlineStr">
        <is>
          <t>2025|11|23</t>
        </is>
      </c>
      <c r="L1" s="1" t="inlineStr">
        <is>
          <t>2025|11|24</t>
        </is>
      </c>
      <c r="M1" s="1" t="inlineStr">
        <is>
          <t>2025|11|25</t>
        </is>
      </c>
      <c r="N1" s="1" t="inlineStr">
        <is>
          <t>2025|11|26</t>
        </is>
      </c>
      <c r="O1" s="1" t="inlineStr">
        <is>
          <t>2025|11|27</t>
        </is>
      </c>
      <c r="P1" s="1" t="inlineStr">
        <is>
          <t>2025|11|28</t>
        </is>
      </c>
      <c r="Q1" s="1" t="inlineStr">
        <is>
          <t>2025|11|29</t>
        </is>
      </c>
      <c r="R1" s="1" t="inlineStr">
        <is>
          <t>2025|11|30</t>
        </is>
      </c>
      <c r="S1" s="1" t="inlineStr">
        <is>
          <t>2025|12|01</t>
        </is>
      </c>
      <c r="T1" s="1" t="inlineStr">
        <is>
          <t>2025|12|02</t>
        </is>
      </c>
      <c r="U1" s="1" t="inlineStr">
        <is>
          <t>2025|12|03</t>
        </is>
      </c>
      <c r="V1" s="1" t="inlineStr">
        <is>
          <t>2025|12|04</t>
        </is>
      </c>
      <c r="W1" s="1" t="inlineStr">
        <is>
          <t>2025|12|05</t>
        </is>
      </c>
      <c r="X1" s="1" t="inlineStr">
        <is>
          <t>2025|12|06</t>
        </is>
      </c>
      <c r="Y1" s="1" t="inlineStr">
        <is>
          <t>2025|12|07</t>
        </is>
      </c>
      <c r="Z1" s="1" t="inlineStr">
        <is>
          <t>2025|12|08</t>
        </is>
      </c>
      <c r="AA1" s="1" t="inlineStr">
        <is>
          <t>2025|12|09</t>
        </is>
      </c>
      <c r="AB1" s="1" t="inlineStr">
        <is>
          <t>2025|12|10</t>
        </is>
      </c>
      <c r="AC1" s="1" t="inlineStr">
        <is>
          <t>2025|12|11</t>
        </is>
      </c>
      <c r="AD1" s="1" t="inlineStr">
        <is>
          <t>2025|12|12</t>
        </is>
      </c>
      <c r="AE1" s="1" t="inlineStr">
        <is>
          <t>2025|12|13</t>
        </is>
      </c>
      <c r="AF1" s="1" t="inlineStr">
        <is>
          <t>2025|12|14</t>
        </is>
      </c>
      <c r="AG1" s="1" t="inlineStr">
        <is>
          <t>2025|12|15</t>
        </is>
      </c>
      <c r="AH1" s="1" t="inlineStr">
        <is>
          <t>2025|12|16</t>
        </is>
      </c>
      <c r="AI1" s="1" t="inlineStr">
        <is>
          <t>2025|12|17</t>
        </is>
      </c>
      <c r="AJ1" s="1" t="inlineStr">
        <is>
          <t>2025|12|18</t>
        </is>
      </c>
      <c r="AK1" s="1" t="inlineStr">
        <is>
          <t>2025|12|19</t>
        </is>
      </c>
      <c r="AL1" s="1" t="inlineStr">
        <is>
          <t>2025|12|20</t>
        </is>
      </c>
      <c r="AM1" s="1" t="inlineStr">
        <is>
          <t>2025|12|21</t>
        </is>
      </c>
      <c r="AN1" s="1" t="inlineStr">
        <is>
          <t>2025|12|22</t>
        </is>
      </c>
      <c r="AO1" s="1" t="inlineStr">
        <is>
          <t>2025|12|23</t>
        </is>
      </c>
      <c r="AP1" s="1" t="inlineStr">
        <is>
          <t>2025|12|24</t>
        </is>
      </c>
      <c r="AQ1" s="1" t="inlineStr">
        <is>
          <t>2025|12|25</t>
        </is>
      </c>
      <c r="AR1" s="1" t="inlineStr">
        <is>
          <t>2025|12|26</t>
        </is>
      </c>
      <c r="AS1" s="1" t="inlineStr">
        <is>
          <t>2025|12|27</t>
        </is>
      </c>
      <c r="AT1" s="1" t="inlineStr">
        <is>
          <t>2025|12|28</t>
        </is>
      </c>
      <c r="AU1" s="1" t="inlineStr">
        <is>
          <t>2025|12|29</t>
        </is>
      </c>
      <c r="AV1" s="1" t="inlineStr">
        <is>
          <t>2025|12|30</t>
        </is>
      </c>
      <c r="AW1" s="1" t="inlineStr">
        <is>
          <t>2025|12|31</t>
        </is>
      </c>
      <c r="AX1" s="1" t="inlineStr">
        <is>
          <t>2026|01|01</t>
        </is>
      </c>
      <c r="AY1" s="1" t="inlineStr">
        <is>
          <t>2026|01|02</t>
        </is>
      </c>
      <c r="AZ1" s="1" t="inlineStr">
        <is>
          <t>2026|01|03</t>
        </is>
      </c>
      <c r="BA1" s="1" t="inlineStr">
        <is>
          <t>2026|01|04</t>
        </is>
      </c>
      <c r="BB1" s="1" t="inlineStr">
        <is>
          <t>2026|01|05</t>
        </is>
      </c>
      <c r="BC1" s="1" t="inlineStr">
        <is>
          <t>2026|01|06</t>
        </is>
      </c>
      <c r="BD1" s="1" t="inlineStr">
        <is>
          <t>2026|01|07</t>
        </is>
      </c>
      <c r="BE1" s="1" t="inlineStr">
        <is>
          <t>2026|01|08</t>
        </is>
      </c>
      <c r="BF1" s="1" t="inlineStr">
        <is>
          <t>2026|01|09</t>
        </is>
      </c>
      <c r="BG1" s="1" t="inlineStr">
        <is>
          <t>2026|01|10</t>
        </is>
      </c>
      <c r="BH1" s="1" t="inlineStr">
        <is>
          <t>2026|01|11</t>
        </is>
      </c>
      <c r="BI1" s="1" t="inlineStr">
        <is>
          <t>2026|01|12</t>
        </is>
      </c>
      <c r="BJ1" s="1" t="inlineStr">
        <is>
          <t>2026|01|13</t>
        </is>
      </c>
      <c r="BK1" s="1" t="inlineStr">
        <is>
          <t>2026|01|14</t>
        </is>
      </c>
      <c r="BL1" s="1" t="inlineStr">
        <is>
          <t>2026|01|15</t>
        </is>
      </c>
      <c r="BM1" s="1" t="inlineStr">
        <is>
          <t>2026|01|16</t>
        </is>
      </c>
      <c r="BN1" s="1" t="inlineStr">
        <is>
          <t>2026|01|17</t>
        </is>
      </c>
      <c r="BO1" s="1" t="inlineStr">
        <is>
          <t>2026|01|18</t>
        </is>
      </c>
      <c r="BP1" s="1" t="inlineStr">
        <is>
          <t>2026|01|19</t>
        </is>
      </c>
      <c r="BQ1" s="1" t="inlineStr">
        <is>
          <t>2026|01|20</t>
        </is>
      </c>
      <c r="BR1" s="1" t="inlineStr">
        <is>
          <t>2026|01|21</t>
        </is>
      </c>
      <c r="BS1" s="1" t="inlineStr">
        <is>
          <t>2026|01|22</t>
        </is>
      </c>
      <c r="BT1" s="1" t="inlineStr">
        <is>
          <t>2026|01|23</t>
        </is>
      </c>
      <c r="BU1" s="1" t="inlineStr">
        <is>
          <t>2026|01|24</t>
        </is>
      </c>
      <c r="BV1" s="1" t="inlineStr">
        <is>
          <t>2026|01|25</t>
        </is>
      </c>
      <c r="BW1" s="1" t="inlineStr">
        <is>
          <t>2026|01|26</t>
        </is>
      </c>
      <c r="BX1" s="1" t="inlineStr">
        <is>
          <t>2026|01|27</t>
        </is>
      </c>
      <c r="BY1" s="1" t="inlineStr">
        <is>
          <t>2026|01|28</t>
        </is>
      </c>
      <c r="BZ1" s="1" t="inlineStr">
        <is>
          <t>2026|01|29</t>
        </is>
      </c>
      <c r="CA1" s="1" t="inlineStr">
        <is>
          <t>2026|01|30</t>
        </is>
      </c>
      <c r="CB1" s="1" t="inlineStr">
        <is>
          <t>2026|01|31</t>
        </is>
      </c>
      <c r="CC1" s="1" t="inlineStr">
        <is>
          <t>2026|02|01</t>
        </is>
      </c>
      <c r="CD1" s="1" t="inlineStr">
        <is>
          <t>2026|02|02</t>
        </is>
      </c>
      <c r="CE1" s="1" t="inlineStr">
        <is>
          <t>2026|02|03</t>
        </is>
      </c>
      <c r="CF1" s="1" t="inlineStr">
        <is>
          <t>2026|02|04</t>
        </is>
      </c>
      <c r="CG1" s="1" t="inlineStr">
        <is>
          <t>2026|02|05</t>
        </is>
      </c>
      <c r="CH1" s="1" t="inlineStr">
        <is>
          <t>2026|02|06</t>
        </is>
      </c>
      <c r="CI1" s="1" t="inlineStr">
        <is>
          <t>2026|02|07</t>
        </is>
      </c>
      <c r="CJ1" s="1" t="inlineStr">
        <is>
          <t>2026|02|08</t>
        </is>
      </c>
      <c r="CK1" s="1" t="inlineStr">
        <is>
          <t>2026|02|09</t>
        </is>
      </c>
      <c r="CL1" s="1" t="inlineStr">
        <is>
          <t>2026|02|10</t>
        </is>
      </c>
      <c r="CM1" s="1" t="inlineStr">
        <is>
          <t>2026|02|11</t>
        </is>
      </c>
      <c r="CN1" s="1" t="inlineStr">
        <is>
          <t>2026|02|12</t>
        </is>
      </c>
      <c r="CO1" s="1" t="inlineStr">
        <is>
          <t>2026|02|13</t>
        </is>
      </c>
      <c r="CP1" s="1" t="inlineStr">
        <is>
          <t>2026|02|14</t>
        </is>
      </c>
      <c r="CQ1" s="1" t="inlineStr">
        <is>
          <t>2026|02|15</t>
        </is>
      </c>
      <c r="CR1" s="1" t="inlineStr">
        <is>
          <t>2026|02|16</t>
        </is>
      </c>
      <c r="CS1" s="1" t="inlineStr">
        <is>
          <t>2026|02|17</t>
        </is>
      </c>
      <c r="CT1" s="1" t="inlineStr">
        <is>
          <t>2026|02|18</t>
        </is>
      </c>
      <c r="CU1" s="1" t="inlineStr">
        <is>
          <t>2026|02|19</t>
        </is>
      </c>
      <c r="CV1" s="1" t="inlineStr">
        <is>
          <t>2026|02|20</t>
        </is>
      </c>
      <c r="CW1" s="1" t="inlineStr">
        <is>
          <t>2026|02|21</t>
        </is>
      </c>
      <c r="CX1" s="1" t="inlineStr">
        <is>
          <t>2026|02|22</t>
        </is>
      </c>
      <c r="CY1" s="1" t="inlineStr">
        <is>
          <t>2026|02|23</t>
        </is>
      </c>
      <c r="CZ1" s="1" t="inlineStr">
        <is>
          <t>2026|02|24</t>
        </is>
      </c>
      <c r="DA1" s="1" t="inlineStr">
        <is>
          <t>2026|02|25</t>
        </is>
      </c>
      <c r="DB1" s="1" t="inlineStr">
        <is>
          <t>2026|02|26</t>
        </is>
      </c>
      <c r="DC1" s="1" t="inlineStr">
        <is>
          <t>2026|02|27</t>
        </is>
      </c>
      <c r="DD1" s="1" t="inlineStr">
        <is>
          <t>2026|02|28</t>
        </is>
      </c>
      <c r="DE1" s="1" t="inlineStr">
        <is>
          <t>2026|03|01</t>
        </is>
      </c>
      <c r="DF1" s="1" t="inlineStr">
        <is>
          <t>2026|03|02</t>
        </is>
      </c>
      <c r="DG1" s="1" t="inlineStr">
        <is>
          <t>2026|03|03</t>
        </is>
      </c>
      <c r="DH1" s="1" t="inlineStr">
        <is>
          <t>2026|03|04</t>
        </is>
      </c>
      <c r="DI1" s="1" t="inlineStr">
        <is>
          <t>2026|03|05</t>
        </is>
      </c>
      <c r="DJ1" s="1" t="inlineStr">
        <is>
          <t>2026|03|06</t>
        </is>
      </c>
      <c r="DK1" s="1" t="inlineStr">
        <is>
          <t>2026|03|07</t>
        </is>
      </c>
      <c r="DL1" s="1" t="inlineStr">
        <is>
          <t>2026|03|08</t>
        </is>
      </c>
      <c r="DM1" s="1" t="inlineStr">
        <is>
          <t>2026|03|09</t>
        </is>
      </c>
      <c r="DN1" s="1" t="inlineStr">
        <is>
          <t>2026|03|10</t>
        </is>
      </c>
      <c r="DO1" s="1" t="inlineStr">
        <is>
          <t>2026|03|11</t>
        </is>
      </c>
      <c r="DP1" s="1" t="inlineStr">
        <is>
          <t>2026|03|12</t>
        </is>
      </c>
      <c r="DQ1" s="1" t="inlineStr">
        <is>
          <t>2026|03|13</t>
        </is>
      </c>
      <c r="DR1" s="1" t="inlineStr">
        <is>
          <t>2026|03|14</t>
        </is>
      </c>
      <c r="DS1" s="1" t="inlineStr">
        <is>
          <t>2026|03|15</t>
        </is>
      </c>
      <c r="DT1" s="1" t="inlineStr">
        <is>
          <t>2026|03|16</t>
        </is>
      </c>
      <c r="DU1" s="1" t="inlineStr">
        <is>
          <t>2026|03|17</t>
        </is>
      </c>
      <c r="DV1" s="1" t="inlineStr">
        <is>
          <t>2026|03|18</t>
        </is>
      </c>
      <c r="DW1" s="1" t="inlineStr">
        <is>
          <t>2026|03|19</t>
        </is>
      </c>
      <c r="DX1" s="1" t="inlineStr">
        <is>
          <t>2026|03|20</t>
        </is>
      </c>
      <c r="DY1" s="1" t="inlineStr">
        <is>
          <t>2026|03|21</t>
        </is>
      </c>
      <c r="DZ1" s="1" t="inlineStr">
        <is>
          <t>2026|03|22</t>
        </is>
      </c>
      <c r="EA1" s="1" t="inlineStr">
        <is>
          <t>2026|03|23</t>
        </is>
      </c>
      <c r="EB1" s="1" t="inlineStr">
        <is>
          <t>2026|03|24</t>
        </is>
      </c>
      <c r="EC1" s="1" t="inlineStr">
        <is>
          <t>2026|03|25</t>
        </is>
      </c>
      <c r="ED1" s="1" t="inlineStr">
        <is>
          <t>2026|03|26</t>
        </is>
      </c>
      <c r="EE1" s="1" t="inlineStr">
        <is>
          <t>2026|03|27</t>
        </is>
      </c>
      <c r="EF1" s="1" t="inlineStr">
        <is>
          <t>2026|03|28</t>
        </is>
      </c>
      <c r="EG1" s="1" t="inlineStr">
        <is>
          <t>2026|03|29</t>
        </is>
      </c>
      <c r="EH1" s="1" t="inlineStr">
        <is>
          <t>2026|03|30</t>
        </is>
      </c>
      <c r="EI1" s="1" t="inlineStr">
        <is>
          <t>2026|03|31</t>
        </is>
      </c>
      <c r="EJ1" s="1" t="inlineStr">
        <is>
          <t>2026|04|01</t>
        </is>
      </c>
    </row>
    <row r="2" ht="25.5" customHeight="1">
      <c r="A2"/>
      <c r="B2" t="inlineStr">
        <is>
          <t>DE</t>
        </is>
      </c>
      <c r="C2" t="inlineStr">
        <is>
          <t>优惠券</t>
        </is>
      </c>
      <c r="D2" t="inlineStr">
        <is>
          <t>0.15</t>
        </is>
      </c>
      <c r="E2" t="inlineStr">
        <is>
          <t>无</t>
        </is>
      </c>
      <c r="F2" t="inlineStr">
        <is>
          <t>无</t>
        </is>
      </c>
      <c r="G2" t="inlineStr">
        <is>
          <t>无</t>
        </is>
      </c>
      <c r="H2" t="inlineStr">
        <is>
          <t>无</t>
        </is>
      </c>
      <c r="I2" t="inlineStr">
        <is>
          <t>无</t>
        </is>
      </c>
      <c r="J2" t="inlineStr">
        <is>
          <t>无</t>
        </is>
      </c>
      <c r="K2" t="inlineStr">
        <is>
          <t>无</t>
        </is>
      </c>
      <c r="L2" t="inlineStr">
        <is>
          <t>无</t>
        </is>
      </c>
      <c r="M2" t="inlineStr">
        <is>
          <t>无</t>
        </is>
      </c>
      <c r="N2" t="inlineStr">
        <is>
          <t>无</t>
        </is>
      </c>
      <c r="O2" t="inlineStr">
        <is>
          <t>无</t>
        </is>
      </c>
      <c r="P2" t="inlineStr">
        <is>
          <t>无</t>
        </is>
      </c>
      <c r="Q2" t="inlineStr">
        <is>
          <t>无</t>
        </is>
      </c>
      <c r="R2" t="inlineStr">
        <is>
          <t>无</t>
        </is>
      </c>
      <c r="S2" t="inlineStr">
        <is>
          <t>无</t>
        </is>
      </c>
      <c r="T2" t="inlineStr">
        <is>
          <t>无</t>
        </is>
      </c>
      <c r="U2" t="inlineStr">
        <is>
          <t>无</t>
        </is>
      </c>
      <c r="V2" t="inlineStr">
        <is>
          <t>无</t>
        </is>
      </c>
      <c r="W2" t="inlineStr">
        <is>
          <t>无</t>
        </is>
      </c>
      <c r="X2" t="inlineStr">
        <is>
          <t>无</t>
        </is>
      </c>
      <c r="Y2" t="inlineStr">
        <is>
          <t>无</t>
        </is>
      </c>
      <c r="Z2" t="inlineStr">
        <is>
          <t>无</t>
        </is>
      </c>
      <c r="AA2" t="inlineStr">
        <is>
          <t>无</t>
        </is>
      </c>
      <c r="AB2" t="inlineStr">
        <is>
          <t>无</t>
        </is>
      </c>
      <c r="AC2" t="inlineStr">
        <is>
          <t>无</t>
        </is>
      </c>
      <c r="AD2" t="inlineStr">
        <is>
          <t>无</t>
        </is>
      </c>
      <c r="AE2" t="inlineStr">
        <is>
          <t>无</t>
        </is>
      </c>
      <c r="AF2" t="inlineStr">
        <is>
          <t>无</t>
        </is>
      </c>
      <c r="AG2" t="inlineStr">
        <is>
          <t>无</t>
        </is>
      </c>
      <c r="AH2" t="inlineStr">
        <is>
          <t>无</t>
        </is>
      </c>
      <c r="AI2" t="inlineStr">
        <is>
          <t>无</t>
        </is>
      </c>
      <c r="AJ2" t="inlineStr">
        <is>
          <t>无</t>
        </is>
      </c>
      <c r="AK2" t="inlineStr">
        <is>
          <t>无</t>
        </is>
      </c>
      <c r="AL2" t="inlineStr">
        <is>
          <t>无</t>
        </is>
      </c>
      <c r="AM2" t="inlineStr">
        <is>
          <t>无</t>
        </is>
      </c>
      <c r="AN2" t="inlineStr">
        <is>
          <t>无</t>
        </is>
      </c>
      <c r="AO2" t="inlineStr">
        <is>
          <t>无</t>
        </is>
      </c>
      <c r="AP2" t="inlineStr">
        <is>
          <t>无</t>
        </is>
      </c>
      <c r="AQ2" t="inlineStr">
        <is>
          <t>无</t>
        </is>
      </c>
      <c r="AR2" t="inlineStr">
        <is>
          <t>无</t>
        </is>
      </c>
      <c r="AS2" t="inlineStr">
        <is>
          <t>无</t>
        </is>
      </c>
      <c r="AT2" t="inlineStr">
        <is>
          <t>无</t>
        </is>
      </c>
      <c r="AU2" t="inlineStr">
        <is>
          <t>无</t>
        </is>
      </c>
      <c r="AV2" t="inlineStr">
        <is>
          <t>无</t>
        </is>
      </c>
      <c r="AW2" t="inlineStr">
        <is>
          <t>无</t>
        </is>
      </c>
      <c r="AX2" t="inlineStr">
        <is>
          <t>无</t>
        </is>
      </c>
      <c r="AY2" t="inlineStr">
        <is>
          <t>无</t>
        </is>
      </c>
      <c r="AZ2" t="inlineStr">
        <is>
          <t>无</t>
        </is>
      </c>
      <c r="BA2" t="inlineStr">
        <is>
          <t>无</t>
        </is>
      </c>
      <c r="BB2" t="inlineStr">
        <is>
          <t>无</t>
        </is>
      </c>
      <c r="BC2" t="inlineStr">
        <is>
          <t>无</t>
        </is>
      </c>
      <c r="BD2" t="inlineStr">
        <is>
          <t>无</t>
        </is>
      </c>
      <c r="BE2" t="inlineStr">
        <is>
          <t>无</t>
        </is>
      </c>
      <c r="BF2" t="inlineStr">
        <is>
          <t>无</t>
        </is>
      </c>
      <c r="BG2" t="inlineStr">
        <is>
          <t>无</t>
        </is>
      </c>
      <c r="BH2" t="inlineStr">
        <is>
          <t>无</t>
        </is>
      </c>
      <c r="BI2" t="inlineStr">
        <is>
          <t>无</t>
        </is>
      </c>
      <c r="BJ2" t="inlineStr">
        <is>
          <t>无</t>
        </is>
      </c>
      <c r="BK2" t="inlineStr">
        <is>
          <t>无</t>
        </is>
      </c>
      <c r="BL2" t="inlineStr">
        <is>
          <t>无</t>
        </is>
      </c>
      <c r="BM2" t="inlineStr">
        <is>
          <t>无</t>
        </is>
      </c>
      <c r="BN2" t="inlineStr">
        <is>
          <t>无</t>
        </is>
      </c>
      <c r="BO2" t="inlineStr">
        <is>
          <t>无</t>
        </is>
      </c>
      <c r="BP2" t="inlineStr">
        <is>
          <t>无</t>
        </is>
      </c>
      <c r="BQ2" t="inlineStr">
        <is>
          <t>无</t>
        </is>
      </c>
      <c r="BR2" t="inlineStr">
        <is>
          <t>无</t>
        </is>
      </c>
      <c r="BS2" t="inlineStr">
        <is>
          <t>无</t>
        </is>
      </c>
      <c r="BT2" t="inlineStr">
        <is>
          <t>无</t>
        </is>
      </c>
      <c r="BU2" t="inlineStr">
        <is>
          <t>无</t>
        </is>
      </c>
      <c r="BV2" t="inlineStr">
        <is>
          <t>无</t>
        </is>
      </c>
      <c r="BW2" t="inlineStr">
        <is>
          <t>无</t>
        </is>
      </c>
      <c r="BX2" t="inlineStr">
        <is>
          <t>无</t>
        </is>
      </c>
      <c r="BY2" t="inlineStr">
        <is>
          <t>无</t>
        </is>
      </c>
      <c r="BZ2" t="inlineStr">
        <is>
          <t>无</t>
        </is>
      </c>
      <c r="CA2" t="inlineStr">
        <is>
          <t>无</t>
        </is>
      </c>
      <c r="CB2" t="inlineStr">
        <is>
          <t>无</t>
        </is>
      </c>
      <c r="CC2" t="inlineStr">
        <is>
          <t>无</t>
        </is>
      </c>
      <c r="CD2" t="inlineStr">
        <is>
          <t>无</t>
        </is>
      </c>
      <c r="CE2" t="inlineStr">
        <is>
          <t>无</t>
        </is>
      </c>
      <c r="CF2" t="inlineStr">
        <is>
          <t>无</t>
        </is>
      </c>
      <c r="CG2" t="inlineStr">
        <is>
          <t>无</t>
        </is>
      </c>
      <c r="CH2" t="inlineStr">
        <is>
          <t>无</t>
        </is>
      </c>
      <c r="CI2" t="inlineStr">
        <is>
          <t>无</t>
        </is>
      </c>
      <c r="CJ2" t="inlineStr">
        <is>
          <t>无</t>
        </is>
      </c>
      <c r="CK2" t="inlineStr">
        <is>
          <t>无</t>
        </is>
      </c>
      <c r="CL2" t="inlineStr">
        <is>
          <t>无</t>
        </is>
      </c>
      <c r="CM2" t="inlineStr">
        <is>
          <t>无</t>
        </is>
      </c>
      <c r="CN2" t="inlineStr">
        <is>
          <t>无</t>
        </is>
      </c>
      <c r="CO2" t="inlineStr">
        <is>
          <t>无</t>
        </is>
      </c>
      <c r="CP2" t="inlineStr">
        <is>
          <t>无</t>
        </is>
      </c>
      <c r="CQ2" t="inlineStr">
        <is>
          <t>无</t>
        </is>
      </c>
      <c r="CR2" t="inlineStr">
        <is>
          <t>无</t>
        </is>
      </c>
      <c r="CS2" t="inlineStr">
        <is>
          <t>无</t>
        </is>
      </c>
      <c r="CT2" t="inlineStr">
        <is>
          <t>无</t>
        </is>
      </c>
      <c r="CU2" t="inlineStr">
        <is>
          <t>无</t>
        </is>
      </c>
      <c r="CV2" t="inlineStr">
        <is>
          <t>无</t>
        </is>
      </c>
      <c r="CW2" t="inlineStr">
        <is>
          <t>无</t>
        </is>
      </c>
      <c r="CX2" t="inlineStr">
        <is>
          <t>无</t>
        </is>
      </c>
      <c r="CY2" t="inlineStr">
        <is>
          <t>无</t>
        </is>
      </c>
      <c r="CZ2" t="inlineStr">
        <is>
          <t>无</t>
        </is>
      </c>
      <c r="DA2" t="inlineStr">
        <is>
          <t>无</t>
        </is>
      </c>
      <c r="DB2" t="inlineStr">
        <is>
          <t>无</t>
        </is>
      </c>
      <c r="DC2" t="inlineStr">
        <is>
          <t>无</t>
        </is>
      </c>
      <c r="DD2" t="inlineStr">
        <is>
          <t>无</t>
        </is>
      </c>
      <c r="DE2" t="inlineStr">
        <is>
          <t>无</t>
        </is>
      </c>
      <c r="DF2" t="inlineStr">
        <is>
          <t>无</t>
        </is>
      </c>
      <c r="DG2" t="inlineStr">
        <is>
          <t>无</t>
        </is>
      </c>
      <c r="DH2" t="inlineStr">
        <is>
          <t>无</t>
        </is>
      </c>
      <c r="DI2" t="inlineStr">
        <is>
          <t>无</t>
        </is>
      </c>
      <c r="DJ2" t="inlineStr">
        <is>
          <t>无</t>
        </is>
      </c>
      <c r="DK2" t="inlineStr">
        <is>
          <t>无</t>
        </is>
      </c>
      <c r="DL2" t="inlineStr">
        <is>
          <t>无</t>
        </is>
      </c>
      <c r="DM2" t="inlineStr">
        <is>
          <t>无</t>
        </is>
      </c>
      <c r="DN2" t="inlineStr">
        <is>
          <t>无</t>
        </is>
      </c>
      <c r="DO2" t="inlineStr">
        <is>
          <t>无</t>
        </is>
      </c>
      <c r="DP2" t="inlineStr">
        <is>
          <t>无</t>
        </is>
      </c>
      <c r="DQ2" t="inlineStr">
        <is>
          <t>无</t>
        </is>
      </c>
      <c r="DR2" t="inlineStr">
        <is>
          <t>无</t>
        </is>
      </c>
      <c r="DS2" t="inlineStr">
        <is>
          <t>无</t>
        </is>
      </c>
      <c r="DT2" t="inlineStr">
        <is>
          <t>无</t>
        </is>
      </c>
      <c r="DU2" t="inlineStr">
        <is>
          <t>无</t>
        </is>
      </c>
      <c r="DV2" t="inlineStr">
        <is>
          <t>无</t>
        </is>
      </c>
      <c r="DW2" t="inlineStr">
        <is>
          <t>无</t>
        </is>
      </c>
      <c r="DX2" t="inlineStr">
        <is>
          <t>无</t>
        </is>
      </c>
      <c r="DY2" t="inlineStr">
        <is>
          <t>无</t>
        </is>
      </c>
      <c r="DZ2" t="inlineStr">
        <is>
          <t>无</t>
        </is>
      </c>
      <c r="EA2" t="inlineStr">
        <is>
          <t>无</t>
        </is>
      </c>
      <c r="EB2" t="inlineStr">
        <is>
          <t>无</t>
        </is>
      </c>
      <c r="EC2" t="inlineStr">
        <is>
          <t>无</t>
        </is>
      </c>
      <c r="ED2" t="inlineStr">
        <is>
          <t>无</t>
        </is>
      </c>
      <c r="EE2" t="inlineStr">
        <is>
          <t>无</t>
        </is>
      </c>
      <c r="EF2" t="inlineStr">
        <is>
          <t>无</t>
        </is>
      </c>
      <c r="EG2" t="inlineStr">
        <is>
          <t>无</t>
        </is>
      </c>
      <c r="EH2"/>
      <c r="EI2"/>
      <c r="EJ2"/>
    </row>
    <row r="3" ht="25.5" customHeight="1">
      <c r="A3"/>
      <c r="B3" t="inlineStr">
        <is>
          <t>DE</t>
        </is>
      </c>
      <c r="C3" t="inlineStr">
        <is>
          <t>活动</t>
        </is>
      </c>
      <c r="D3" t="inlineStr">
        <is>
          <t>Funding 12，广告8，毛利4.82</t>
        </is>
      </c>
      <c r="E3" t="inlineStr">
        <is>
          <t>SC BD</t>
        </is>
      </c>
      <c r="F3" t="inlineStr">
        <is>
          <t>SC BD</t>
        </is>
      </c>
      <c r="G3" t="inlineStr">
        <is>
          <t>无</t>
        </is>
      </c>
      <c r="H3" t="inlineStr">
        <is>
          <t>VC BFCM, Funding 11.04€</t>
        </is>
      </c>
      <c r="I3" t="inlineStr">
        <is>
          <t>VC BFCM, Funding 11.04€</t>
        </is>
      </c>
      <c r="J3" t="inlineStr">
        <is>
          <t>VC BFCM, Funding 11.04€</t>
        </is>
      </c>
      <c r="K3" t="inlineStr">
        <is>
          <t>VC BFCM, Funding 11.04€</t>
        </is>
      </c>
      <c r="L3" t="inlineStr">
        <is>
          <t>VC BFCM, Funding 11.04€</t>
        </is>
      </c>
      <c r="M3" t="inlineStr">
        <is>
          <t>VC BFCM, Funding 11.04€</t>
        </is>
      </c>
      <c r="N3" t="inlineStr">
        <is>
          <t>VC BFCM, Funding 11.04€</t>
        </is>
      </c>
      <c r="O3" t="inlineStr">
        <is>
          <t>VC BFCM, Funding 11.04€</t>
        </is>
      </c>
      <c r="P3" t="inlineStr">
        <is>
          <t>VC BFCM, Funding 11.04€</t>
        </is>
      </c>
      <c r="Q3" t="inlineStr">
        <is>
          <t>VC BFCM, Funding 11.04€</t>
        </is>
      </c>
      <c r="R3" t="inlineStr">
        <is>
          <t>VC BFCM, Funding 11.04€</t>
        </is>
      </c>
      <c r="S3" t="inlineStr">
        <is>
          <t>SC Price discount:28%, 毛利3.07€, 1-30号</t>
        </is>
      </c>
      <c r="T3" t="inlineStr">
        <is>
          <t>SC Price discount:28%, 毛利3.07€, 1-30号</t>
        </is>
      </c>
      <c r="U3" t="inlineStr">
        <is>
          <t>SC Price discount:28%，毛利3.07€，1-30号</t>
        </is>
      </c>
      <c r="V3" t="inlineStr">
        <is>
          <t>SC Price discount:28%, 毛利3.07€, 1-30号</t>
        </is>
      </c>
      <c r="W3" t="inlineStr">
        <is>
          <t>SC Price discount:28%, 毛利3.07€, 1-30号</t>
        </is>
      </c>
      <c r="X3" t="inlineStr">
        <is>
          <t>SC Price discount:28%, 毛利3.07€, 1-30号</t>
        </is>
      </c>
      <c r="Y3" t="inlineStr">
        <is>
          <t>无</t>
        </is>
      </c>
      <c r="Z3" t="inlineStr">
        <is>
          <t>无</t>
        </is>
      </c>
      <c r="AA3" t="inlineStr">
        <is>
          <t>无</t>
        </is>
      </c>
      <c r="AB3" t="inlineStr">
        <is>
          <t>无</t>
        </is>
      </c>
      <c r="AC3" t="inlineStr">
        <is>
          <t>无</t>
        </is>
      </c>
      <c r="AD3" t="inlineStr">
        <is>
          <t>无</t>
        </is>
      </c>
      <c r="AE3" t="inlineStr">
        <is>
          <t>无</t>
        </is>
      </c>
      <c r="AF3" t="inlineStr">
        <is>
          <t>无</t>
        </is>
      </c>
      <c r="AG3" t="inlineStr">
        <is>
          <t>无</t>
        </is>
      </c>
      <c r="AH3" t="inlineStr">
        <is>
          <t>无</t>
        </is>
      </c>
      <c r="AI3" t="inlineStr">
        <is>
          <t>无</t>
        </is>
      </c>
      <c r="AJ3" t="inlineStr">
        <is>
          <t>无</t>
        </is>
      </c>
      <c r="AK3" t="inlineStr">
        <is>
          <t>无</t>
        </is>
      </c>
      <c r="AL3" t="inlineStr">
        <is>
          <t>无</t>
        </is>
      </c>
      <c r="AM3" t="inlineStr">
        <is>
          <t>无</t>
        </is>
      </c>
      <c r="AN3" t="inlineStr">
        <is>
          <t>无</t>
        </is>
      </c>
      <c r="AO3" t="inlineStr">
        <is>
          <t>无</t>
        </is>
      </c>
      <c r="AP3" t="inlineStr">
        <is>
          <t>无</t>
        </is>
      </c>
      <c r="AQ3" t="inlineStr">
        <is>
          <t>无</t>
        </is>
      </c>
      <c r="AR3" t="inlineStr">
        <is>
          <t>无</t>
        </is>
      </c>
      <c r="AS3" t="inlineStr">
        <is>
          <t>无</t>
        </is>
      </c>
      <c r="AT3" t="inlineStr">
        <is>
          <t>无</t>
        </is>
      </c>
      <c r="AU3" t="inlineStr">
        <is>
          <t>无</t>
        </is>
      </c>
      <c r="AV3" t="inlineStr">
        <is>
          <t>无</t>
        </is>
      </c>
      <c r="AW3" t="inlineStr">
        <is>
          <t>无</t>
        </is>
      </c>
      <c r="AX3" t="inlineStr">
        <is>
          <t>无</t>
        </is>
      </c>
      <c r="AY3" t="inlineStr">
        <is>
          <t>无</t>
        </is>
      </c>
      <c r="AZ3" t="inlineStr">
        <is>
          <t>无</t>
        </is>
      </c>
      <c r="BA3" t="inlineStr">
        <is>
          <t>无</t>
        </is>
      </c>
      <c r="BB3" t="inlineStr">
        <is>
          <t>无</t>
        </is>
      </c>
      <c r="BC3" t="inlineStr">
        <is>
          <t>无</t>
        </is>
      </c>
      <c r="BD3" t="inlineStr">
        <is>
          <t>无</t>
        </is>
      </c>
      <c r="BE3" t="inlineStr">
        <is>
          <t>无</t>
        </is>
      </c>
      <c r="BF3" t="inlineStr">
        <is>
          <t>VC BD, Funding 10.09€(300pcs)</t>
        </is>
      </c>
      <c r="BG3" t="inlineStr">
        <is>
          <t>VC BD, Funding 10.09€(300pcs)</t>
        </is>
      </c>
      <c r="BH3" t="inlineStr">
        <is>
          <t>VC BD, Funding 10.09€(300pcs)</t>
        </is>
      </c>
      <c r="BI3" t="inlineStr">
        <is>
          <t>VC BD, Funding 10.09€(300pcs)</t>
        </is>
      </c>
      <c r="BJ3" t="inlineStr">
        <is>
          <t>VC BD, Funding 10.09€(300pcs)</t>
        </is>
      </c>
      <c r="BK3" t="inlineStr">
        <is>
          <t>VC BD, Funding 10.09€(300pcs)</t>
        </is>
      </c>
      <c r="BL3" t="inlineStr">
        <is>
          <t>VC BD, Funding 10.09€(300pcs)</t>
        </is>
      </c>
      <c r="BM3" t="inlineStr">
        <is>
          <t>VC BD, Funding 10.09€(300pcs)</t>
        </is>
      </c>
      <c r="BN3" t="inlineStr">
        <is>
          <t>VC BD, Funding 10.09€(300pcs)</t>
        </is>
      </c>
      <c r="BO3" t="inlineStr">
        <is>
          <t>VC BD, Funding 10.09€(300pcs)</t>
        </is>
      </c>
      <c r="BP3" t="inlineStr">
        <is>
          <t>VC BD, Funding 10.09€(300pcs)</t>
        </is>
      </c>
      <c r="BQ3" t="inlineStr">
        <is>
          <t>VC BD, Funding 10.09€(300pcs)</t>
        </is>
      </c>
      <c r="BR3" t="inlineStr">
        <is>
          <t>VC BD, Funding 10.09€(300pcs)</t>
        </is>
      </c>
      <c r="BS3" t="inlineStr">
        <is>
          <t>VC BD, Funding 10.09€(300pcs)</t>
        </is>
      </c>
      <c r="BT3" t="inlineStr">
        <is>
          <t>无</t>
        </is>
      </c>
      <c r="BU3" t="inlineStr">
        <is>
          <t>无</t>
        </is>
      </c>
      <c r="BV3" t="inlineStr">
        <is>
          <t>无</t>
        </is>
      </c>
      <c r="BW3" t="inlineStr">
        <is>
          <t>无</t>
        </is>
      </c>
      <c r="BX3" t="inlineStr">
        <is>
          <t>无</t>
        </is>
      </c>
      <c r="BY3" t="inlineStr">
        <is>
          <t>无</t>
        </is>
      </c>
      <c r="BZ3" t="inlineStr">
        <is>
          <t>无</t>
        </is>
      </c>
      <c r="CA3" t="inlineStr">
        <is>
          <t>无</t>
        </is>
      </c>
      <c r="CB3" t="inlineStr">
        <is>
          <t>无</t>
        </is>
      </c>
      <c r="CC3" t="inlineStr">
        <is>
          <t>无</t>
        </is>
      </c>
      <c r="CD3" t="inlineStr">
        <is>
          <t>VC BD, Funding 10.09€(200pcs)</t>
        </is>
      </c>
      <c r="CE3" t="inlineStr">
        <is>
          <t>VC BD, Funding 10.09€(200pcs)</t>
        </is>
      </c>
      <c r="CF3" t="inlineStr">
        <is>
          <t>VC BD, Funding 10.09€(200pcs)</t>
        </is>
      </c>
      <c r="CG3" t="inlineStr">
        <is>
          <t>VC BD, Funding 10.09€(200pcs)</t>
        </is>
      </c>
      <c r="CH3" t="inlineStr">
        <is>
          <t>VC BD, Funding 10.09€(200pcs)</t>
        </is>
      </c>
      <c r="CI3" t="inlineStr">
        <is>
          <t>VC BD, Funding 10.09€(200pcs)</t>
        </is>
      </c>
      <c r="CJ3" t="inlineStr">
        <is>
          <t>VC BD, Funding 10.09€(200pcs)</t>
        </is>
      </c>
      <c r="CK3" t="inlineStr">
        <is>
          <t>VC BD, Funding 10.09€(200pcs)</t>
        </is>
      </c>
      <c r="CL3" t="inlineStr">
        <is>
          <t>VC BD, Funding 10.09€(200pcs)</t>
        </is>
      </c>
      <c r="CM3" t="inlineStr">
        <is>
          <t>VC BD, Funding 10.09€(200pcs)</t>
        </is>
      </c>
      <c r="CN3" t="inlineStr">
        <is>
          <t>VC BD, Funding 10.09€(200pcs)</t>
        </is>
      </c>
      <c r="CO3" t="inlineStr">
        <is>
          <t>无</t>
        </is>
      </c>
      <c r="CP3" t="inlineStr">
        <is>
          <t>无</t>
        </is>
      </c>
      <c r="CQ3" t="inlineStr">
        <is>
          <t>无</t>
        </is>
      </c>
      <c r="CR3" t="inlineStr">
        <is>
          <t>VC BD, Funding 10.09€(300pcs)</t>
        </is>
      </c>
      <c r="CS3" t="inlineStr">
        <is>
          <t>VC BD, Funding 10.09€(300pcs)</t>
        </is>
      </c>
      <c r="CT3" t="inlineStr">
        <is>
          <t>VC BD, Funding 10.09€(300pcs)</t>
        </is>
      </c>
      <c r="CU3" t="inlineStr">
        <is>
          <t>VC BD, Funding 10.09€(300pcs)</t>
        </is>
      </c>
      <c r="CV3" t="inlineStr">
        <is>
          <t>VC BD, Funding 10.09€(300pcs)</t>
        </is>
      </c>
      <c r="CW3" t="inlineStr">
        <is>
          <t>VC BD, Funding 10.09€(300pcs)</t>
        </is>
      </c>
      <c r="CX3" t="inlineStr">
        <is>
          <t>VC BD, Funding 10.09€(300pcs)</t>
        </is>
      </c>
      <c r="CY3" t="inlineStr">
        <is>
          <t>VC BD, Funding 10.09€(300pcs)</t>
        </is>
      </c>
      <c r="CZ3" t="inlineStr">
        <is>
          <t>VC BD, Funding 10.09€(300pcs)</t>
        </is>
      </c>
      <c r="DA3" t="inlineStr">
        <is>
          <t>VC BD, Funding 10.09€(300pcs)</t>
        </is>
      </c>
      <c r="DB3" t="inlineStr">
        <is>
          <t>VC BD, Funding 10.09€(300pcs)</t>
        </is>
      </c>
      <c r="DC3" t="inlineStr">
        <is>
          <t>VC BD, Funding 10.09€(300pcs)</t>
        </is>
      </c>
      <c r="DD3" t="inlineStr">
        <is>
          <t>VC BD, Funding 10.09€(300pcs)</t>
        </is>
      </c>
      <c r="DE3" t="inlineStr">
        <is>
          <t>VC BD, Funding 10.09€(300pcs)</t>
        </is>
      </c>
      <c r="DF3" t="inlineStr">
        <is>
          <t>VC BD, Funding 10.1€(300pcs)</t>
        </is>
      </c>
      <c r="DG3" t="inlineStr">
        <is>
          <t>VC BD, Funding 10.1€(300pcs)</t>
        </is>
      </c>
      <c r="DH3" t="inlineStr">
        <is>
          <t>VC BD, Funding 10.1€(300pcs)</t>
        </is>
      </c>
      <c r="DI3" t="inlineStr">
        <is>
          <t>VC BD, Funding 10.1€(300pcs)</t>
        </is>
      </c>
      <c r="DJ3" t="inlineStr">
        <is>
          <t>VC BD, Funding 10.1€(300pcs)</t>
        </is>
      </c>
      <c r="DK3" t="inlineStr">
        <is>
          <t>VC BD, Funding 10.1€(300pcs)</t>
        </is>
      </c>
      <c r="DL3" t="inlineStr">
        <is>
          <t>VC BD, Funding 10.1€(300pcs)</t>
        </is>
      </c>
      <c r="DM3" t="inlineStr">
        <is>
          <t>VC BD, Funding 10.1€(300pcs)</t>
        </is>
      </c>
      <c r="DN3" t="inlineStr">
        <is>
          <t>VC BD, Funding 10.1€(300pcs)</t>
        </is>
      </c>
      <c r="DO3" t="inlineStr">
        <is>
          <t>VC BD, Funding 10.1€(300pcs)</t>
        </is>
      </c>
      <c r="DP3" t="inlineStr">
        <is>
          <t>VC BD, Funding 10.1€(300pcs)</t>
        </is>
      </c>
      <c r="DQ3" t="inlineStr">
        <is>
          <t>VC BD, Funding 10.1€(300pcs)</t>
        </is>
      </c>
      <c r="DR3" t="inlineStr">
        <is>
          <t>VC BD, Funding 10.1€(300pcs)</t>
        </is>
      </c>
      <c r="DS3" t="inlineStr">
        <is>
          <t>VC BD, Funding 10.1€(300pcs)</t>
        </is>
      </c>
      <c r="DT3" t="inlineStr">
        <is>
          <t>VC BD, Funding 12.97€(400pcs)</t>
        </is>
      </c>
      <c r="DU3" t="inlineStr">
        <is>
          <t>VC BD, Funding 12.97€(400pcs)</t>
        </is>
      </c>
      <c r="DV3" t="inlineStr">
        <is>
          <t>VC BD, Funding 12.97€(400pcs)</t>
        </is>
      </c>
      <c r="DW3" t="inlineStr">
        <is>
          <t>VC BD, Funding 12.97€(400pcs)</t>
        </is>
      </c>
      <c r="DX3" t="inlineStr">
        <is>
          <t>VC BD, Funding 12.97€(400pcs)</t>
        </is>
      </c>
      <c r="DY3" t="inlineStr">
        <is>
          <t>VC BD, Funding 12.97€(400pcs)</t>
        </is>
      </c>
      <c r="DZ3" t="inlineStr">
        <is>
          <t>VC BD, Funding 12.97€(400pcs)</t>
        </is>
      </c>
      <c r="EA3" t="inlineStr">
        <is>
          <t>VC BD, Funding 12.97€(400pcs)</t>
        </is>
      </c>
      <c r="EB3" t="inlineStr">
        <is>
          <t>VC BD, Funding 12.97€(400pcs)</t>
        </is>
      </c>
      <c r="EC3" t="inlineStr">
        <is>
          <t>VC BD, Funding 12.97€(400pcs)</t>
        </is>
      </c>
      <c r="ED3" t="inlineStr">
        <is>
          <t>VC BD, Funding 12.97€(400pcs)</t>
        </is>
      </c>
      <c r="EE3" t="inlineStr">
        <is>
          <t>VC BD, Funding 12.97€(400pcs)</t>
        </is>
      </c>
      <c r="EF3" t="inlineStr">
        <is>
          <t>VC BD, Funding 12.97€(400pcs)</t>
        </is>
      </c>
      <c r="EG3" t="inlineStr">
        <is>
          <t>VC BD, Funding 12.97€(400pcs)</t>
        </is>
      </c>
      <c r="EH3"/>
      <c r="EI3"/>
      <c r="EJ3"/>
    </row>
    <row r="4" ht="25.5" customHeight="1">
      <c r="A4"/>
      <c r="B4" t="inlineStr">
        <is>
          <t>FR</t>
        </is>
      </c>
      <c r="C4" t="inlineStr">
        <is>
          <t>优惠券</t>
        </is>
      </c>
      <c r="D4" t="inlineStr">
        <is>
          <t>0.15</t>
        </is>
      </c>
      <c r="E4" t="inlineStr">
        <is>
          <t>无</t>
        </is>
      </c>
      <c r="F4" t="inlineStr">
        <is>
          <t>无</t>
        </is>
      </c>
      <c r="G4" t="inlineStr">
        <is>
          <t>无</t>
        </is>
      </c>
      <c r="H4" t="inlineStr">
        <is>
          <t>无</t>
        </is>
      </c>
      <c r="I4" t="inlineStr">
        <is>
          <t>无</t>
        </is>
      </c>
      <c r="J4" t="inlineStr">
        <is>
          <t>无</t>
        </is>
      </c>
      <c r="K4" t="inlineStr">
        <is>
          <t>无</t>
        </is>
      </c>
      <c r="L4" t="inlineStr">
        <is>
          <t>无</t>
        </is>
      </c>
      <c r="M4" t="inlineStr">
        <is>
          <t>无</t>
        </is>
      </c>
      <c r="N4" t="inlineStr">
        <is>
          <t>无</t>
        </is>
      </c>
      <c r="O4" t="inlineStr">
        <is>
          <t>无</t>
        </is>
      </c>
      <c r="P4" t="inlineStr">
        <is>
          <t>无</t>
        </is>
      </c>
      <c r="Q4" t="inlineStr">
        <is>
          <t>无</t>
        </is>
      </c>
      <c r="R4" t="inlineStr">
        <is>
          <t>无</t>
        </is>
      </c>
      <c r="S4" t="inlineStr">
        <is>
          <t>无</t>
        </is>
      </c>
      <c r="T4" t="inlineStr">
        <is>
          <t>无</t>
        </is>
      </c>
      <c r="U4" t="inlineStr">
        <is>
          <t>无</t>
        </is>
      </c>
      <c r="V4" t="inlineStr">
        <is>
          <t>无</t>
        </is>
      </c>
      <c r="W4" t="inlineStr">
        <is>
          <t>无</t>
        </is>
      </c>
      <c r="X4" t="inlineStr">
        <is>
          <t>无</t>
        </is>
      </c>
      <c r="Y4" t="inlineStr">
        <is>
          <t>无</t>
        </is>
      </c>
      <c r="Z4" t="inlineStr">
        <is>
          <t>无</t>
        </is>
      </c>
      <c r="AA4" t="inlineStr">
        <is>
          <t>无</t>
        </is>
      </c>
      <c r="AB4" t="inlineStr">
        <is>
          <t>无</t>
        </is>
      </c>
      <c r="AC4" t="inlineStr">
        <is>
          <t>无</t>
        </is>
      </c>
      <c r="AD4" t="inlineStr">
        <is>
          <t>无</t>
        </is>
      </c>
      <c r="AE4" t="inlineStr">
        <is>
          <t>无</t>
        </is>
      </c>
      <c r="AF4" t="inlineStr">
        <is>
          <t>无</t>
        </is>
      </c>
      <c r="AG4" t="inlineStr">
        <is>
          <t>无</t>
        </is>
      </c>
      <c r="AH4" t="inlineStr">
        <is>
          <t>无</t>
        </is>
      </c>
      <c r="AI4" t="inlineStr">
        <is>
          <t>无</t>
        </is>
      </c>
      <c r="AJ4" t="inlineStr">
        <is>
          <t>无</t>
        </is>
      </c>
      <c r="AK4" t="inlineStr">
        <is>
          <t>无</t>
        </is>
      </c>
      <c r="AL4" t="inlineStr">
        <is>
          <t>无</t>
        </is>
      </c>
      <c r="AM4" t="inlineStr">
        <is>
          <t>无</t>
        </is>
      </c>
      <c r="AN4" t="inlineStr">
        <is>
          <t>无</t>
        </is>
      </c>
      <c r="AO4" t="inlineStr">
        <is>
          <t>无</t>
        </is>
      </c>
      <c r="AP4" t="inlineStr">
        <is>
          <t>无</t>
        </is>
      </c>
      <c r="AQ4" t="inlineStr">
        <is>
          <t>无</t>
        </is>
      </c>
      <c r="AR4" t="inlineStr">
        <is>
          <t>无</t>
        </is>
      </c>
      <c r="AS4" t="inlineStr">
        <is>
          <t>无</t>
        </is>
      </c>
      <c r="AT4" t="inlineStr">
        <is>
          <t>无</t>
        </is>
      </c>
      <c r="AU4" t="inlineStr">
        <is>
          <t>无</t>
        </is>
      </c>
      <c r="AV4" t="inlineStr">
        <is>
          <t>无</t>
        </is>
      </c>
      <c r="AW4" t="inlineStr">
        <is>
          <t>无</t>
        </is>
      </c>
      <c r="AX4" t="inlineStr">
        <is>
          <t>无</t>
        </is>
      </c>
      <c r="AY4" t="inlineStr">
        <is>
          <t>无</t>
        </is>
      </c>
      <c r="AZ4" t="inlineStr">
        <is>
          <t>无</t>
        </is>
      </c>
      <c r="BA4" t="inlineStr">
        <is>
          <t>无</t>
        </is>
      </c>
      <c r="BB4" t="inlineStr">
        <is>
          <t>COUPON 15%</t>
        </is>
      </c>
      <c r="BC4" t="inlineStr">
        <is>
          <t>COUPON 15%</t>
        </is>
      </c>
      <c r="BD4" t="inlineStr">
        <is>
          <t>COUPON 15%</t>
        </is>
      </c>
      <c r="BE4" t="inlineStr">
        <is>
          <t>COUPON 15%</t>
        </is>
      </c>
      <c r="BF4" t="inlineStr">
        <is>
          <t>COUPON 15%</t>
        </is>
      </c>
      <c r="BG4" t="inlineStr">
        <is>
          <t>COUPON 15%</t>
        </is>
      </c>
      <c r="BH4" t="inlineStr">
        <is>
          <t>COUPON 15%</t>
        </is>
      </c>
      <c r="BI4" t="inlineStr">
        <is>
          <t>COUPON 15%</t>
        </is>
      </c>
      <c r="BJ4" t="inlineStr">
        <is>
          <t>COUPON 15%</t>
        </is>
      </c>
      <c r="BK4" t="inlineStr">
        <is>
          <t>COUPON 15%</t>
        </is>
      </c>
      <c r="BL4" t="inlineStr">
        <is>
          <t>COUPON 15%</t>
        </is>
      </c>
      <c r="BM4" t="inlineStr">
        <is>
          <t>COUPON 15%</t>
        </is>
      </c>
      <c r="BN4" t="inlineStr">
        <is>
          <t>COUPON 15%</t>
        </is>
      </c>
      <c r="BO4" t="inlineStr">
        <is>
          <t>COUPON 15%</t>
        </is>
      </c>
      <c r="BP4" t="inlineStr">
        <is>
          <t>COUPON 15%</t>
        </is>
      </c>
      <c r="BQ4" t="inlineStr">
        <is>
          <t>COUPON 15%</t>
        </is>
      </c>
      <c r="BR4" t="inlineStr">
        <is>
          <t>COUPON 15%</t>
        </is>
      </c>
      <c r="BS4" t="inlineStr">
        <is>
          <t>COUPON 15%</t>
        </is>
      </c>
      <c r="BT4" t="inlineStr">
        <is>
          <t>COUPON 15%</t>
        </is>
      </c>
      <c r="BU4" t="inlineStr">
        <is>
          <t>COUPON 15%</t>
        </is>
      </c>
      <c r="BV4" t="inlineStr">
        <is>
          <t>COUPON 15%</t>
        </is>
      </c>
      <c r="BW4" t="inlineStr">
        <is>
          <t>COUPON 15%</t>
        </is>
      </c>
      <c r="BX4" t="inlineStr">
        <is>
          <t>COUPON 15%</t>
        </is>
      </c>
      <c r="BY4" t="inlineStr">
        <is>
          <t>COUPON 15%</t>
        </is>
      </c>
      <c r="BZ4" t="inlineStr">
        <is>
          <t>COUPON 15%</t>
        </is>
      </c>
      <c r="CA4" t="inlineStr">
        <is>
          <t>COUPON 15%</t>
        </is>
      </c>
      <c r="CB4" t="inlineStr">
        <is>
          <t>COUPON 15%</t>
        </is>
      </c>
      <c r="CC4" t="inlineStr">
        <is>
          <t>无</t>
        </is>
      </c>
      <c r="CD4" t="inlineStr">
        <is>
          <t>无</t>
        </is>
      </c>
      <c r="CE4" t="inlineStr">
        <is>
          <t>无</t>
        </is>
      </c>
      <c r="CF4" t="inlineStr">
        <is>
          <t>无</t>
        </is>
      </c>
      <c r="CG4" t="inlineStr">
        <is>
          <t>无</t>
        </is>
      </c>
      <c r="CH4" t="inlineStr">
        <is>
          <t>无</t>
        </is>
      </c>
      <c r="CI4" t="inlineStr">
        <is>
          <t>无</t>
        </is>
      </c>
      <c r="CJ4" t="inlineStr">
        <is>
          <t>无</t>
        </is>
      </c>
      <c r="CK4" t="inlineStr">
        <is>
          <t>无</t>
        </is>
      </c>
      <c r="CL4" t="inlineStr">
        <is>
          <t>无</t>
        </is>
      </c>
      <c r="CM4" t="inlineStr">
        <is>
          <t>无</t>
        </is>
      </c>
      <c r="CN4" t="inlineStr">
        <is>
          <t>无</t>
        </is>
      </c>
      <c r="CO4" t="inlineStr">
        <is>
          <t>无</t>
        </is>
      </c>
      <c r="CP4" t="inlineStr">
        <is>
          <t>无</t>
        </is>
      </c>
      <c r="CQ4" t="inlineStr">
        <is>
          <t>无</t>
        </is>
      </c>
      <c r="CR4" t="inlineStr">
        <is>
          <t>无</t>
        </is>
      </c>
      <c r="CS4" t="inlineStr">
        <is>
          <t>无</t>
        </is>
      </c>
      <c r="CT4" t="inlineStr">
        <is>
          <t>无</t>
        </is>
      </c>
      <c r="CU4" t="inlineStr">
        <is>
          <t>无</t>
        </is>
      </c>
      <c r="CV4" t="inlineStr">
        <is>
          <t>无</t>
        </is>
      </c>
      <c r="CW4" t="inlineStr">
        <is>
          <t>无</t>
        </is>
      </c>
      <c r="CX4" t="inlineStr">
        <is>
          <t>无</t>
        </is>
      </c>
      <c r="CY4" t="inlineStr">
        <is>
          <t>无</t>
        </is>
      </c>
      <c r="CZ4" t="inlineStr">
        <is>
          <t>无</t>
        </is>
      </c>
      <c r="DA4" t="inlineStr">
        <is>
          <t>无</t>
        </is>
      </c>
      <c r="DB4" t="inlineStr">
        <is>
          <t>无</t>
        </is>
      </c>
      <c r="DC4" t="inlineStr">
        <is>
          <t>无</t>
        </is>
      </c>
      <c r="DD4" t="inlineStr">
        <is>
          <t>无</t>
        </is>
      </c>
      <c r="DE4" t="inlineStr">
        <is>
          <t>无</t>
        </is>
      </c>
      <c r="DF4" t="inlineStr">
        <is>
          <t>无</t>
        </is>
      </c>
      <c r="DG4" t="inlineStr">
        <is>
          <t>无</t>
        </is>
      </c>
      <c r="DH4" t="inlineStr">
        <is>
          <t>无</t>
        </is>
      </c>
      <c r="DI4" t="inlineStr">
        <is>
          <t>无</t>
        </is>
      </c>
      <c r="DJ4" t="inlineStr">
        <is>
          <t>无</t>
        </is>
      </c>
      <c r="DK4" t="inlineStr">
        <is>
          <t>无</t>
        </is>
      </c>
      <c r="DL4" t="inlineStr">
        <is>
          <t>无</t>
        </is>
      </c>
      <c r="DM4" t="inlineStr">
        <is>
          <t>无</t>
        </is>
      </c>
      <c r="DN4" t="inlineStr">
        <is>
          <t>无</t>
        </is>
      </c>
      <c r="DO4" t="inlineStr">
        <is>
          <t>无</t>
        </is>
      </c>
      <c r="DP4" t="inlineStr">
        <is>
          <t>无</t>
        </is>
      </c>
      <c r="DQ4" t="inlineStr">
        <is>
          <t>无</t>
        </is>
      </c>
      <c r="DR4" t="inlineStr">
        <is>
          <t>无</t>
        </is>
      </c>
      <c r="DS4" t="inlineStr">
        <is>
          <t>无</t>
        </is>
      </c>
      <c r="DT4" t="inlineStr">
        <is>
          <t>无</t>
        </is>
      </c>
      <c r="DU4" t="inlineStr">
        <is>
          <t>无</t>
        </is>
      </c>
      <c r="DV4" t="inlineStr">
        <is>
          <t>无</t>
        </is>
      </c>
      <c r="DW4" t="inlineStr">
        <is>
          <t>无</t>
        </is>
      </c>
      <c r="DX4" t="inlineStr">
        <is>
          <t>无</t>
        </is>
      </c>
      <c r="DY4" t="inlineStr">
        <is>
          <t>无</t>
        </is>
      </c>
      <c r="DZ4" t="inlineStr">
        <is>
          <t>无</t>
        </is>
      </c>
      <c r="EA4" t="inlineStr">
        <is>
          <t>无</t>
        </is>
      </c>
      <c r="EB4" t="inlineStr">
        <is>
          <t>无</t>
        </is>
      </c>
      <c r="EC4" t="inlineStr">
        <is>
          <t>无</t>
        </is>
      </c>
      <c r="ED4" t="inlineStr">
        <is>
          <t>无</t>
        </is>
      </c>
      <c r="EE4" t="inlineStr">
        <is>
          <t>无</t>
        </is>
      </c>
      <c r="EF4" t="inlineStr">
        <is>
          <t>无</t>
        </is>
      </c>
      <c r="EG4" t="inlineStr">
        <is>
          <t>无</t>
        </is>
      </c>
      <c r="EH4" t="inlineStr">
        <is>
          <t>无</t>
        </is>
      </c>
      <c r="EI4"/>
      <c r="EJ4"/>
    </row>
    <row r="5" ht="25.5" customHeight="1">
      <c r="A5"/>
      <c r="B5" t="inlineStr">
        <is>
          <t>FR</t>
        </is>
      </c>
      <c r="C5" t="inlineStr">
        <is>
          <t>活动</t>
        </is>
      </c>
      <c r="D5" t="inlineStr">
        <is>
          <t>Funding 12.75，广告8，毛利2.25</t>
        </is>
      </c>
      <c r="E5" t="inlineStr">
        <is>
          <t>SC Price discount</t>
        </is>
      </c>
      <c r="F5" t="inlineStr">
        <is>
          <t>SC Price discount</t>
        </is>
      </c>
      <c r="G5" t="inlineStr">
        <is>
          <t>无</t>
        </is>
      </c>
      <c r="H5" t="inlineStr">
        <is>
          <t>VC BFCM, Funding 6.48€</t>
        </is>
      </c>
      <c r="I5" t="inlineStr">
        <is>
          <t>VC BFCM, Funding 6.48€</t>
        </is>
      </c>
      <c r="J5" t="inlineStr">
        <is>
          <t>VC BFCM, Funding 6.48€</t>
        </is>
      </c>
      <c r="K5" t="inlineStr">
        <is>
          <t>VC BFCM, Funding 6.48€</t>
        </is>
      </c>
      <c r="L5" t="inlineStr">
        <is>
          <t>VC BFCM, Funding 6.48€</t>
        </is>
      </c>
      <c r="M5" t="inlineStr">
        <is>
          <t>VC BFCM, Funding 6.48€</t>
        </is>
      </c>
      <c r="N5" t="inlineStr">
        <is>
          <t>VC BFCM, Funding 6.48€</t>
        </is>
      </c>
      <c r="O5" t="inlineStr">
        <is>
          <t>VC BFCM, Funding 6.48€</t>
        </is>
      </c>
      <c r="P5" t="inlineStr">
        <is>
          <t>VC BFCM, Funding 6.48€</t>
        </is>
      </c>
      <c r="Q5" t="inlineStr">
        <is>
          <t>VC BFCM, Funding 6.48€</t>
        </is>
      </c>
      <c r="R5" t="inlineStr">
        <is>
          <t>VC BFCM, Funding 6.48€</t>
        </is>
      </c>
      <c r="S5" t="inlineStr">
        <is>
          <t>VC BFCM, Funding 6.48€</t>
        </is>
      </c>
      <c r="T5" t="inlineStr">
        <is>
          <t>SC Price discount:15%, 8.57€, 1-30号</t>
        </is>
      </c>
      <c r="U5" t="inlineStr">
        <is>
          <t>SC Price discount:15%，8.57€，1-30号</t>
        </is>
      </c>
      <c r="V5" t="inlineStr">
        <is>
          <t>SC Price discount:15%, 8.57€, 1-30号</t>
        </is>
      </c>
      <c r="W5" t="inlineStr">
        <is>
          <t>SC Price discount:15%, 8.57€, 1-30号</t>
        </is>
      </c>
      <c r="X5" t="inlineStr">
        <is>
          <t>SC Price discount:15%, 8.57€, 1-30号</t>
        </is>
      </c>
      <c r="Y5" t="inlineStr">
        <is>
          <t>无</t>
        </is>
      </c>
      <c r="Z5" t="inlineStr">
        <is>
          <t>无</t>
        </is>
      </c>
      <c r="AA5" t="inlineStr">
        <is>
          <t>无</t>
        </is>
      </c>
      <c r="AB5" t="inlineStr">
        <is>
          <t>无</t>
        </is>
      </c>
      <c r="AC5" t="inlineStr">
        <is>
          <t>无</t>
        </is>
      </c>
      <c r="AD5" t="inlineStr">
        <is>
          <t>无</t>
        </is>
      </c>
      <c r="AE5" t="inlineStr">
        <is>
          <t>无</t>
        </is>
      </c>
      <c r="AF5" t="inlineStr">
        <is>
          <t>无</t>
        </is>
      </c>
      <c r="AG5" t="inlineStr">
        <is>
          <t>无</t>
        </is>
      </c>
      <c r="AH5" t="inlineStr">
        <is>
          <t>无</t>
        </is>
      </c>
      <c r="AI5" t="inlineStr">
        <is>
          <t>无</t>
        </is>
      </c>
      <c r="AJ5" t="inlineStr">
        <is>
          <t>无</t>
        </is>
      </c>
      <c r="AK5" t="inlineStr">
        <is>
          <t>无</t>
        </is>
      </c>
      <c r="AL5" t="inlineStr">
        <is>
          <t>无</t>
        </is>
      </c>
      <c r="AM5" t="inlineStr">
        <is>
          <t>无</t>
        </is>
      </c>
      <c r="AN5" t="inlineStr">
        <is>
          <t>无</t>
        </is>
      </c>
      <c r="AO5" t="inlineStr">
        <is>
          <t>无</t>
        </is>
      </c>
      <c r="AP5" t="inlineStr">
        <is>
          <t>无</t>
        </is>
      </c>
      <c r="AQ5" t="inlineStr">
        <is>
          <t>无</t>
        </is>
      </c>
      <c r="AR5" t="inlineStr">
        <is>
          <t>无</t>
        </is>
      </c>
      <c r="AS5" t="inlineStr">
        <is>
          <t>无</t>
        </is>
      </c>
      <c r="AT5" t="inlineStr">
        <is>
          <t>无</t>
        </is>
      </c>
      <c r="AU5" t="inlineStr">
        <is>
          <t>无</t>
        </is>
      </c>
      <c r="AV5" t="inlineStr">
        <is>
          <t>无</t>
        </is>
      </c>
      <c r="AW5" t="inlineStr">
        <is>
          <t>无</t>
        </is>
      </c>
      <c r="AX5" t="inlineStr">
        <is>
          <t>无</t>
        </is>
      </c>
      <c r="AY5" t="inlineStr">
        <is>
          <t>无</t>
        </is>
      </c>
      <c r="AZ5" t="inlineStr">
        <is>
          <t>无</t>
        </is>
      </c>
      <c r="BA5" t="inlineStr">
        <is>
          <t>无</t>
        </is>
      </c>
      <c r="BB5" t="inlineStr">
        <is>
          <t>无</t>
        </is>
      </c>
      <c r="BC5" t="inlineStr">
        <is>
          <t>无</t>
        </is>
      </c>
      <c r="BD5" t="inlineStr">
        <is>
          <t>无</t>
        </is>
      </c>
      <c r="BE5" t="inlineStr">
        <is>
          <t>无</t>
        </is>
      </c>
      <c r="BF5" t="inlineStr">
        <is>
          <t>无</t>
        </is>
      </c>
      <c r="BG5" t="inlineStr">
        <is>
          <t>无</t>
        </is>
      </c>
      <c r="BH5" t="inlineStr">
        <is>
          <t>无</t>
        </is>
      </c>
      <c r="BI5" t="inlineStr">
        <is>
          <t>无</t>
        </is>
      </c>
      <c r="BJ5" t="inlineStr">
        <is>
          <t>无</t>
        </is>
      </c>
      <c r="BK5" t="inlineStr">
        <is>
          <t>无</t>
        </is>
      </c>
      <c r="BL5" t="inlineStr">
        <is>
          <t>无</t>
        </is>
      </c>
      <c r="BM5" t="inlineStr">
        <is>
          <t>无</t>
        </is>
      </c>
      <c r="BN5" t="inlineStr">
        <is>
          <t>无</t>
        </is>
      </c>
      <c r="BO5" t="inlineStr">
        <is>
          <t>无</t>
        </is>
      </c>
      <c r="BP5" t="inlineStr">
        <is>
          <t>无</t>
        </is>
      </c>
      <c r="BQ5" t="inlineStr">
        <is>
          <t>无</t>
        </is>
      </c>
      <c r="BR5" t="inlineStr">
        <is>
          <t>无</t>
        </is>
      </c>
      <c r="BS5" t="inlineStr">
        <is>
          <t>无</t>
        </is>
      </c>
      <c r="BT5" t="inlineStr">
        <is>
          <t>无</t>
        </is>
      </c>
      <c r="BU5" t="inlineStr">
        <is>
          <t>无</t>
        </is>
      </c>
      <c r="BV5" t="inlineStr">
        <is>
          <t>无</t>
        </is>
      </c>
      <c r="BW5" t="inlineStr">
        <is>
          <t>无</t>
        </is>
      </c>
      <c r="BX5" t="inlineStr">
        <is>
          <t>无</t>
        </is>
      </c>
      <c r="BY5" t="inlineStr">
        <is>
          <t>无</t>
        </is>
      </c>
      <c r="BZ5" t="inlineStr">
        <is>
          <t>无</t>
        </is>
      </c>
      <c r="CA5" t="inlineStr">
        <is>
          <t>无</t>
        </is>
      </c>
      <c r="CB5" t="inlineStr">
        <is>
          <t>无</t>
        </is>
      </c>
      <c r="CC5" t="inlineStr">
        <is>
          <t>无</t>
        </is>
      </c>
      <c r="CD5" t="inlineStr">
        <is>
          <t>无</t>
        </is>
      </c>
      <c r="CE5" t="inlineStr">
        <is>
          <t>无</t>
        </is>
      </c>
      <c r="CF5" t="inlineStr">
        <is>
          <t>无</t>
        </is>
      </c>
      <c r="CG5" t="inlineStr">
        <is>
          <t>无</t>
        </is>
      </c>
      <c r="CH5" t="inlineStr">
        <is>
          <t>VC BD, Funding 9.21€(100pcs)</t>
        </is>
      </c>
      <c r="CI5" t="inlineStr">
        <is>
          <t>VC BD, Funding 9.21€(100pcs)</t>
        </is>
      </c>
      <c r="CJ5" t="inlineStr">
        <is>
          <t>VC BD, Funding 9.21€(100pcs)</t>
        </is>
      </c>
      <c r="CK5" t="inlineStr">
        <is>
          <t>VC BD, Funding 9.21€(100pcs)</t>
        </is>
      </c>
      <c r="CL5" t="inlineStr">
        <is>
          <t>VC BD, Funding 9.21€(100pcs)</t>
        </is>
      </c>
      <c r="CM5" t="inlineStr">
        <is>
          <t>VC BD, Funding 9.21€(100pcs)</t>
        </is>
      </c>
      <c r="CN5" t="inlineStr">
        <is>
          <t>VC BD, Funding 9.21€(100pcs)</t>
        </is>
      </c>
      <c r="CO5" t="inlineStr">
        <is>
          <t>无</t>
        </is>
      </c>
      <c r="CP5" t="inlineStr">
        <is>
          <t>无</t>
        </is>
      </c>
      <c r="CQ5" t="inlineStr">
        <is>
          <t>无</t>
        </is>
      </c>
      <c r="CR5" t="inlineStr">
        <is>
          <t>VC BD, Funding 5.87€(100pcs)</t>
        </is>
      </c>
      <c r="CS5" t="inlineStr">
        <is>
          <t>VC BD, Funding 5.87€(100pcs)</t>
        </is>
      </c>
      <c r="CT5" t="inlineStr">
        <is>
          <t>VC BD, Funding 5.87€(100pcs)</t>
        </is>
      </c>
      <c r="CU5" t="inlineStr">
        <is>
          <t>VC BD, Funding 5.87€(100pcs)</t>
        </is>
      </c>
      <c r="CV5" t="inlineStr">
        <is>
          <t>VC BD, Funding 5.87€(100pcs)</t>
        </is>
      </c>
      <c r="CW5" t="inlineStr">
        <is>
          <t>VC BD, Funding 5.87€(100pcs)</t>
        </is>
      </c>
      <c r="CX5" t="inlineStr">
        <is>
          <t>VC BD, Funding 5.87€(100pcs)</t>
        </is>
      </c>
      <c r="CY5" t="inlineStr">
        <is>
          <t>VC BD, Funding 5.87€(100pcs)</t>
        </is>
      </c>
      <c r="CZ5" t="inlineStr">
        <is>
          <t>无</t>
        </is>
      </c>
      <c r="DA5" t="inlineStr">
        <is>
          <t>无</t>
        </is>
      </c>
      <c r="DB5" t="inlineStr">
        <is>
          <t>无</t>
        </is>
      </c>
      <c r="DC5" t="inlineStr">
        <is>
          <t>无</t>
        </is>
      </c>
      <c r="DD5" t="inlineStr">
        <is>
          <t>VC BD, Funding 5.87€(150pcs)</t>
        </is>
      </c>
      <c r="DE5" t="inlineStr">
        <is>
          <t>VC BD, Funding 5.87€(150pcs)</t>
        </is>
      </c>
      <c r="DF5" t="inlineStr">
        <is>
          <t>VC BD, Funding 5.87€(150pcs)</t>
        </is>
      </c>
      <c r="DG5" t="inlineStr">
        <is>
          <t>VC BD, Funding 5.87€(150pcs)</t>
        </is>
      </c>
      <c r="DH5" t="inlineStr">
        <is>
          <t>VC BD, Funding 5.87€(150pcs)</t>
        </is>
      </c>
      <c r="DI5" t="inlineStr">
        <is>
          <t>VC BD, Funding 5.87€(150pcs)</t>
        </is>
      </c>
      <c r="DJ5" t="inlineStr">
        <is>
          <t>VC BD, Funding 5.87€(150pcs)</t>
        </is>
      </c>
      <c r="DK5" t="inlineStr">
        <is>
          <t>VC BD, Funding 5.87€(150pcs)</t>
        </is>
      </c>
      <c r="DL5" t="inlineStr">
        <is>
          <t>VC BD, Funding 5.87€(150pcs)</t>
        </is>
      </c>
      <c r="DM5" t="inlineStr">
        <is>
          <t>VC BD, Funding 5.87€(150pcs)</t>
        </is>
      </c>
      <c r="DN5" t="inlineStr">
        <is>
          <t>VC BD, Funding 5.87€(150pcs)</t>
        </is>
      </c>
      <c r="DO5" t="inlineStr">
        <is>
          <t>VC BD, Funding 5.87€(150pcs)</t>
        </is>
      </c>
      <c r="DP5" t="inlineStr">
        <is>
          <t>VC BD, Funding 5.87€(150pcs)</t>
        </is>
      </c>
      <c r="DQ5" t="inlineStr">
        <is>
          <t>VC BD, Funding 5.87€(150pcs)</t>
        </is>
      </c>
      <c r="DR5" t="inlineStr">
        <is>
          <t>无</t>
        </is>
      </c>
      <c r="DS5" t="inlineStr">
        <is>
          <t>无</t>
        </is>
      </c>
      <c r="DT5" t="inlineStr">
        <is>
          <t>无</t>
        </is>
      </c>
      <c r="DU5" t="inlineStr">
        <is>
          <t>VC BD, Funding 5.57€(200pcs)</t>
        </is>
      </c>
      <c r="DV5" t="inlineStr">
        <is>
          <t>VC BD, Funding 5.57€(200pcs)</t>
        </is>
      </c>
      <c r="DW5" t="inlineStr">
        <is>
          <t>VC BD, Funding 5.57€(200pcs)</t>
        </is>
      </c>
      <c r="DX5" t="inlineStr">
        <is>
          <t>VC BD, Funding 5.57€(200pcs)</t>
        </is>
      </c>
      <c r="DY5" t="inlineStr">
        <is>
          <t>VC BD, Funding 5.57€(200pcs)</t>
        </is>
      </c>
      <c r="DZ5" t="inlineStr">
        <is>
          <t>VC BD, Funding 5.57€(200pcs)</t>
        </is>
      </c>
      <c r="EA5" t="inlineStr">
        <is>
          <t>VC BD, Funding 5.57€(200pcs)</t>
        </is>
      </c>
      <c r="EB5" t="inlineStr">
        <is>
          <t>VC BD, Funding 5.57€(200pcs)</t>
        </is>
      </c>
      <c r="EC5" t="inlineStr">
        <is>
          <t>VC BD, Funding 5.57€(200pcs)</t>
        </is>
      </c>
      <c r="ED5" t="inlineStr">
        <is>
          <t>VC BD, Funding 5.57€(200pcs)</t>
        </is>
      </c>
      <c r="EE5" t="inlineStr">
        <is>
          <t>VC BD, Funding 5.57€(200pcs)</t>
        </is>
      </c>
      <c r="EF5" t="inlineStr">
        <is>
          <t>VC BD, Funding 5.57€(200pcs)</t>
        </is>
      </c>
      <c r="EG5" t="inlineStr">
        <is>
          <t>VC BD, Funding 5.57€(200pcs)</t>
        </is>
      </c>
      <c r="EH5" t="inlineStr">
        <is>
          <t>VC BD, Funding 5.57€(200pcs)</t>
        </is>
      </c>
      <c r="EI5"/>
      <c r="EJ5"/>
    </row>
    <row r="6" ht="25.5" customHeight="1">
      <c r="A6"/>
      <c r="B6" t="inlineStr">
        <is>
          <t>IT</t>
        </is>
      </c>
      <c r="C6" t="inlineStr">
        <is>
          <t>优惠券</t>
        </is>
      </c>
      <c r="D6" t="inlineStr">
        <is>
          <t>0.15</t>
        </is>
      </c>
      <c r="E6" t="inlineStr">
        <is>
          <t>无</t>
        </is>
      </c>
      <c r="F6" t="inlineStr">
        <is>
          <t>无</t>
        </is>
      </c>
      <c r="G6" t="inlineStr">
        <is>
          <t>无</t>
        </is>
      </c>
      <c r="H6" t="inlineStr">
        <is>
          <t>无</t>
        </is>
      </c>
      <c r="I6" t="inlineStr">
        <is>
          <t>无</t>
        </is>
      </c>
      <c r="J6" t="inlineStr">
        <is>
          <t>无</t>
        </is>
      </c>
      <c r="K6" t="inlineStr">
        <is>
          <t>无</t>
        </is>
      </c>
      <c r="L6" t="inlineStr">
        <is>
          <t>无</t>
        </is>
      </c>
      <c r="M6" t="inlineStr">
        <is>
          <t>无</t>
        </is>
      </c>
      <c r="N6" t="inlineStr">
        <is>
          <t>无</t>
        </is>
      </c>
      <c r="O6" t="inlineStr">
        <is>
          <t>无</t>
        </is>
      </c>
      <c r="P6" t="inlineStr">
        <is>
          <t>无</t>
        </is>
      </c>
      <c r="Q6" t="inlineStr">
        <is>
          <t>无</t>
        </is>
      </c>
      <c r="R6" t="inlineStr">
        <is>
          <t>无</t>
        </is>
      </c>
      <c r="S6" t="inlineStr">
        <is>
          <t>无</t>
        </is>
      </c>
      <c r="T6" t="inlineStr">
        <is>
          <t>无</t>
        </is>
      </c>
      <c r="U6" t="inlineStr">
        <is>
          <t>无</t>
        </is>
      </c>
      <c r="V6" t="inlineStr">
        <is>
          <t>无</t>
        </is>
      </c>
      <c r="W6" t="inlineStr">
        <is>
          <t>无</t>
        </is>
      </c>
      <c r="X6" t="inlineStr">
        <is>
          <t>无</t>
        </is>
      </c>
      <c r="Y6" t="inlineStr">
        <is>
          <t>无</t>
        </is>
      </c>
      <c r="Z6" t="inlineStr">
        <is>
          <t>无</t>
        </is>
      </c>
      <c r="AA6" t="inlineStr">
        <is>
          <t>无</t>
        </is>
      </c>
      <c r="AB6" t="inlineStr">
        <is>
          <t>无</t>
        </is>
      </c>
      <c r="AC6" t="inlineStr">
        <is>
          <t>无</t>
        </is>
      </c>
      <c r="AD6" t="inlineStr">
        <is>
          <t>无</t>
        </is>
      </c>
      <c r="AE6" t="inlineStr">
        <is>
          <t>无</t>
        </is>
      </c>
      <c r="AF6" t="inlineStr">
        <is>
          <t>无</t>
        </is>
      </c>
      <c r="AG6" t="inlineStr">
        <is>
          <t>无</t>
        </is>
      </c>
      <c r="AH6" t="inlineStr">
        <is>
          <t>无</t>
        </is>
      </c>
      <c r="AI6" t="inlineStr">
        <is>
          <t>无</t>
        </is>
      </c>
      <c r="AJ6" t="inlineStr">
        <is>
          <t>无</t>
        </is>
      </c>
      <c r="AK6" t="inlineStr">
        <is>
          <t>无</t>
        </is>
      </c>
      <c r="AL6" t="inlineStr">
        <is>
          <t>无</t>
        </is>
      </c>
      <c r="AM6" t="inlineStr">
        <is>
          <t>无</t>
        </is>
      </c>
      <c r="AN6" t="inlineStr">
        <is>
          <t>无</t>
        </is>
      </c>
      <c r="AO6" t="inlineStr">
        <is>
          <t>无</t>
        </is>
      </c>
      <c r="AP6" t="inlineStr">
        <is>
          <t>无</t>
        </is>
      </c>
      <c r="AQ6" t="inlineStr">
        <is>
          <t>无</t>
        </is>
      </c>
      <c r="AR6" t="inlineStr">
        <is>
          <t>无</t>
        </is>
      </c>
      <c r="AS6" t="inlineStr">
        <is>
          <t>无</t>
        </is>
      </c>
      <c r="AT6" t="inlineStr">
        <is>
          <t>无</t>
        </is>
      </c>
      <c r="AU6" t="inlineStr">
        <is>
          <t>无</t>
        </is>
      </c>
      <c r="AV6" t="inlineStr">
        <is>
          <t>无</t>
        </is>
      </c>
      <c r="AW6" t="inlineStr">
        <is>
          <t>无</t>
        </is>
      </c>
      <c r="AX6" t="inlineStr">
        <is>
          <t>无</t>
        </is>
      </c>
      <c r="AY6" t="inlineStr">
        <is>
          <t>无</t>
        </is>
      </c>
      <c r="AZ6" t="inlineStr">
        <is>
          <t>无</t>
        </is>
      </c>
      <c r="BA6" t="inlineStr">
        <is>
          <t>无</t>
        </is>
      </c>
      <c r="BB6" t="inlineStr">
        <is>
          <t>COUPON 15%</t>
        </is>
      </c>
      <c r="BC6" t="inlineStr">
        <is>
          <t>COUPON 15%</t>
        </is>
      </c>
      <c r="BD6" t="inlineStr">
        <is>
          <t>无</t>
        </is>
      </c>
      <c r="BE6" t="inlineStr">
        <is>
          <t>无</t>
        </is>
      </c>
      <c r="BF6" t="inlineStr">
        <is>
          <t>无</t>
        </is>
      </c>
      <c r="BG6" t="inlineStr">
        <is>
          <t>无</t>
        </is>
      </c>
      <c r="BH6" t="inlineStr">
        <is>
          <t>无</t>
        </is>
      </c>
      <c r="BI6" t="inlineStr">
        <is>
          <t>无</t>
        </is>
      </c>
      <c r="BJ6" t="inlineStr">
        <is>
          <t>无</t>
        </is>
      </c>
      <c r="BK6" t="inlineStr">
        <is>
          <t>无</t>
        </is>
      </c>
      <c r="BL6" t="inlineStr">
        <is>
          <t>无</t>
        </is>
      </c>
      <c r="BM6" t="inlineStr">
        <is>
          <t>无</t>
        </is>
      </c>
      <c r="BN6" t="inlineStr">
        <is>
          <t>无</t>
        </is>
      </c>
      <c r="BO6" t="inlineStr">
        <is>
          <t>无</t>
        </is>
      </c>
      <c r="BP6" t="inlineStr">
        <is>
          <t>无</t>
        </is>
      </c>
      <c r="BQ6" t="inlineStr">
        <is>
          <t>无</t>
        </is>
      </c>
      <c r="BR6" t="inlineStr">
        <is>
          <t>无</t>
        </is>
      </c>
      <c r="BS6" t="inlineStr">
        <is>
          <t>无</t>
        </is>
      </c>
      <c r="BT6" t="inlineStr">
        <is>
          <t>无</t>
        </is>
      </c>
      <c r="BU6" t="inlineStr">
        <is>
          <t>无</t>
        </is>
      </c>
      <c r="BV6" t="inlineStr">
        <is>
          <t>无</t>
        </is>
      </c>
      <c r="BW6" t="inlineStr">
        <is>
          <t>无</t>
        </is>
      </c>
      <c r="BX6" t="inlineStr">
        <is>
          <t>无</t>
        </is>
      </c>
      <c r="BY6" t="inlineStr">
        <is>
          <t>无</t>
        </is>
      </c>
      <c r="BZ6" t="inlineStr">
        <is>
          <t>Coupon 5%</t>
        </is>
      </c>
      <c r="CA6" t="inlineStr">
        <is>
          <t>无</t>
        </is>
      </c>
      <c r="CB6" t="inlineStr">
        <is>
          <t>无</t>
        </is>
      </c>
      <c r="CC6" t="inlineStr">
        <is>
          <t>无</t>
        </is>
      </c>
      <c r="CD6" t="inlineStr">
        <is>
          <t>无</t>
        </is>
      </c>
      <c r="CE6" t="inlineStr">
        <is>
          <t>无</t>
        </is>
      </c>
      <c r="CF6" t="inlineStr">
        <is>
          <t>无</t>
        </is>
      </c>
      <c r="CG6" t="inlineStr">
        <is>
          <t>无</t>
        </is>
      </c>
      <c r="CH6" t="inlineStr">
        <is>
          <t>无</t>
        </is>
      </c>
      <c r="CI6" t="inlineStr">
        <is>
          <t>无</t>
        </is>
      </c>
      <c r="CJ6" t="inlineStr">
        <is>
          <t>无</t>
        </is>
      </c>
      <c r="CK6" t="inlineStr">
        <is>
          <t>无</t>
        </is>
      </c>
      <c r="CL6" t="inlineStr">
        <is>
          <t>Coupon 5%</t>
        </is>
      </c>
      <c r="CM6" t="inlineStr">
        <is>
          <t>Coupon 5%</t>
        </is>
      </c>
      <c r="CN6" t="inlineStr">
        <is>
          <t>Coupon 5%</t>
        </is>
      </c>
      <c r="CO6" t="inlineStr">
        <is>
          <t>Coupon 5%</t>
        </is>
      </c>
      <c r="CP6" t="inlineStr">
        <is>
          <t>无</t>
        </is>
      </c>
      <c r="CQ6" t="inlineStr">
        <is>
          <t>无</t>
        </is>
      </c>
      <c r="CR6" t="inlineStr">
        <is>
          <t>无</t>
        </is>
      </c>
      <c r="CS6" t="inlineStr">
        <is>
          <t>无</t>
        </is>
      </c>
      <c r="CT6" t="inlineStr">
        <is>
          <t>无</t>
        </is>
      </c>
      <c r="CU6" t="inlineStr">
        <is>
          <t>无</t>
        </is>
      </c>
      <c r="CV6" t="inlineStr">
        <is>
          <t>无</t>
        </is>
      </c>
      <c r="CW6" t="inlineStr">
        <is>
          <t>无</t>
        </is>
      </c>
      <c r="CX6" t="inlineStr">
        <is>
          <t>无</t>
        </is>
      </c>
      <c r="CY6" t="inlineStr">
        <is>
          <t>无</t>
        </is>
      </c>
      <c r="CZ6" t="inlineStr">
        <is>
          <t>无</t>
        </is>
      </c>
      <c r="DA6" t="inlineStr">
        <is>
          <t>无</t>
        </is>
      </c>
      <c r="DB6" t="inlineStr">
        <is>
          <t>无</t>
        </is>
      </c>
      <c r="DC6" t="inlineStr">
        <is>
          <t>无</t>
        </is>
      </c>
      <c r="DD6" t="inlineStr">
        <is>
          <t>无</t>
        </is>
      </c>
      <c r="DE6" t="inlineStr">
        <is>
          <t>无</t>
        </is>
      </c>
      <c r="DF6" t="inlineStr">
        <is>
          <t>无</t>
        </is>
      </c>
      <c r="DG6" t="inlineStr">
        <is>
          <t>无</t>
        </is>
      </c>
      <c r="DH6" t="inlineStr">
        <is>
          <t>无</t>
        </is>
      </c>
      <c r="DI6" t="inlineStr">
        <is>
          <t>无</t>
        </is>
      </c>
      <c r="DJ6" t="inlineStr">
        <is>
          <t>无</t>
        </is>
      </c>
      <c r="DK6" t="inlineStr">
        <is>
          <t>无</t>
        </is>
      </c>
      <c r="DL6" t="inlineStr">
        <is>
          <t>无</t>
        </is>
      </c>
      <c r="DM6" t="inlineStr">
        <is>
          <t>无</t>
        </is>
      </c>
      <c r="DN6" t="inlineStr">
        <is>
          <t>无</t>
        </is>
      </c>
      <c r="DO6" t="inlineStr">
        <is>
          <t>无</t>
        </is>
      </c>
      <c r="DP6" t="inlineStr">
        <is>
          <t>无</t>
        </is>
      </c>
      <c r="DQ6" t="inlineStr">
        <is>
          <t>无</t>
        </is>
      </c>
      <c r="DR6" t="inlineStr">
        <is>
          <t>无</t>
        </is>
      </c>
      <c r="DS6" t="inlineStr">
        <is>
          <t>无</t>
        </is>
      </c>
      <c r="DT6" t="inlineStr">
        <is>
          <t>无</t>
        </is>
      </c>
      <c r="DU6" t="inlineStr">
        <is>
          <t>无</t>
        </is>
      </c>
      <c r="DV6" t="inlineStr">
        <is>
          <t>无</t>
        </is>
      </c>
      <c r="DW6" t="inlineStr">
        <is>
          <t>无</t>
        </is>
      </c>
      <c r="DX6" t="inlineStr">
        <is>
          <t>无</t>
        </is>
      </c>
      <c r="DY6" t="inlineStr">
        <is>
          <t>无</t>
        </is>
      </c>
      <c r="DZ6" t="inlineStr">
        <is>
          <t>无</t>
        </is>
      </c>
      <c r="EA6" t="inlineStr">
        <is>
          <t>无</t>
        </is>
      </c>
      <c r="EB6" t="inlineStr">
        <is>
          <t>无</t>
        </is>
      </c>
      <c r="EC6" t="inlineStr">
        <is>
          <t>无</t>
        </is>
      </c>
      <c r="ED6" t="inlineStr">
        <is>
          <t>无</t>
        </is>
      </c>
      <c r="EE6" t="inlineStr">
        <is>
          <t>无</t>
        </is>
      </c>
      <c r="EF6" t="inlineStr">
        <is>
          <t>无</t>
        </is>
      </c>
      <c r="EG6" t="inlineStr">
        <is>
          <t>无</t>
        </is>
      </c>
      <c r="EH6"/>
      <c r="EI6"/>
      <c r="EJ6"/>
    </row>
    <row r="7" ht="25.5" customHeight="1">
      <c r="A7"/>
      <c r="B7" t="inlineStr">
        <is>
          <t>IT</t>
        </is>
      </c>
      <c r="C7" t="inlineStr">
        <is>
          <t>活动</t>
        </is>
      </c>
      <c r="D7" t="inlineStr">
        <is>
          <t>Funding 12.75，广告8，毛利3.73</t>
        </is>
      </c>
      <c r="E7" t="inlineStr">
        <is>
          <t>SC BD</t>
        </is>
      </c>
      <c r="F7" t="inlineStr">
        <is>
          <t>SC BD</t>
        </is>
      </c>
      <c r="G7" t="inlineStr">
        <is>
          <t>无</t>
        </is>
      </c>
      <c r="H7" t="inlineStr">
        <is>
          <t>VC BD, Funding 11.41€</t>
        </is>
      </c>
      <c r="I7" t="inlineStr">
        <is>
          <t>VC BD, Funding 11.41€</t>
        </is>
      </c>
      <c r="J7" t="inlineStr">
        <is>
          <t>VC BD, Funding 11.41€</t>
        </is>
      </c>
      <c r="K7" t="inlineStr">
        <is>
          <t>VC BD, Funding 11.41€</t>
        </is>
      </c>
      <c r="L7" t="inlineStr">
        <is>
          <t>VC BD, Funding 11.41€</t>
        </is>
      </c>
      <c r="M7" t="inlineStr">
        <is>
          <t>VC BD, Funding 11.41€</t>
        </is>
      </c>
      <c r="N7" t="inlineStr">
        <is>
          <t>VC BD, Funding 11.41€</t>
        </is>
      </c>
      <c r="O7" t="inlineStr">
        <is>
          <t>VC BD, Funding 11.41€</t>
        </is>
      </c>
      <c r="P7" t="inlineStr">
        <is>
          <t>VC BD, Funding 11.41€</t>
        </is>
      </c>
      <c r="Q7" t="inlineStr">
        <is>
          <t>VC BD, Funding 11.41€</t>
        </is>
      </c>
      <c r="R7" t="inlineStr">
        <is>
          <t>VC BD, Funding 11.41€</t>
        </is>
      </c>
      <c r="S7" t="inlineStr">
        <is>
          <t>VC BD, Funding 11.41€</t>
        </is>
      </c>
      <c r="T7" t="inlineStr">
        <is>
          <t>无</t>
        </is>
      </c>
      <c r="U7" t="inlineStr">
        <is>
          <t>无</t>
        </is>
      </c>
      <c r="V7" t="inlineStr">
        <is>
          <t>无</t>
        </is>
      </c>
      <c r="W7" t="inlineStr">
        <is>
          <t>无</t>
        </is>
      </c>
      <c r="X7" t="inlineStr">
        <is>
          <t>无</t>
        </is>
      </c>
      <c r="Y7" t="inlineStr">
        <is>
          <t>无</t>
        </is>
      </c>
      <c r="Z7" t="inlineStr">
        <is>
          <t>无</t>
        </is>
      </c>
      <c r="AA7" t="inlineStr">
        <is>
          <t>无</t>
        </is>
      </c>
      <c r="AB7" t="inlineStr">
        <is>
          <t>无</t>
        </is>
      </c>
      <c r="AC7" t="inlineStr">
        <is>
          <t>无</t>
        </is>
      </c>
      <c r="AD7" t="inlineStr">
        <is>
          <t>无</t>
        </is>
      </c>
      <c r="AE7" t="inlineStr">
        <is>
          <t>无</t>
        </is>
      </c>
      <c r="AF7" t="inlineStr">
        <is>
          <t>无</t>
        </is>
      </c>
      <c r="AG7" t="inlineStr">
        <is>
          <t>无</t>
        </is>
      </c>
      <c r="AH7" t="inlineStr">
        <is>
          <t>无</t>
        </is>
      </c>
      <c r="AI7" t="inlineStr">
        <is>
          <t>无</t>
        </is>
      </c>
      <c r="AJ7" t="inlineStr">
        <is>
          <t>无</t>
        </is>
      </c>
      <c r="AK7" t="inlineStr">
        <is>
          <t>无</t>
        </is>
      </c>
      <c r="AL7" t="inlineStr">
        <is>
          <t>无</t>
        </is>
      </c>
      <c r="AM7" t="inlineStr">
        <is>
          <t>无</t>
        </is>
      </c>
      <c r="AN7" t="inlineStr">
        <is>
          <t>无</t>
        </is>
      </c>
      <c r="AO7" t="inlineStr">
        <is>
          <t>无</t>
        </is>
      </c>
      <c r="AP7" t="inlineStr">
        <is>
          <t>无</t>
        </is>
      </c>
      <c r="AQ7" t="inlineStr">
        <is>
          <t>无</t>
        </is>
      </c>
      <c r="AR7" t="inlineStr">
        <is>
          <t>无</t>
        </is>
      </c>
      <c r="AS7" t="inlineStr">
        <is>
          <t>无</t>
        </is>
      </c>
      <c r="AT7" t="inlineStr">
        <is>
          <t>无</t>
        </is>
      </c>
      <c r="AU7" t="inlineStr">
        <is>
          <t>无</t>
        </is>
      </c>
      <c r="AV7" t="inlineStr">
        <is>
          <t>无</t>
        </is>
      </c>
      <c r="AW7" t="inlineStr">
        <is>
          <t>无</t>
        </is>
      </c>
      <c r="AX7" t="inlineStr">
        <is>
          <t>无</t>
        </is>
      </c>
      <c r="AY7" t="inlineStr">
        <is>
          <t>无</t>
        </is>
      </c>
      <c r="AZ7" t="inlineStr">
        <is>
          <t>无</t>
        </is>
      </c>
      <c r="BA7" t="inlineStr">
        <is>
          <t>无</t>
        </is>
      </c>
      <c r="BB7" t="inlineStr">
        <is>
          <t>无</t>
        </is>
      </c>
      <c r="BC7" t="inlineStr">
        <is>
          <t>无</t>
        </is>
      </c>
      <c r="BD7" t="inlineStr">
        <is>
          <t>VC BD, Funding 9.46€(200pcs)</t>
        </is>
      </c>
      <c r="BE7" t="inlineStr">
        <is>
          <t>VC BD, Funding 9.46€(200pcs)</t>
        </is>
      </c>
      <c r="BF7" t="inlineStr">
        <is>
          <t>VC BD, Funding 9.46€(200pcs)</t>
        </is>
      </c>
      <c r="BG7" t="inlineStr">
        <is>
          <t>VC BD, Funding 9.46€(200pcs)</t>
        </is>
      </c>
      <c r="BH7" t="inlineStr">
        <is>
          <t>VC BD, Funding 9.46€(200pcs)</t>
        </is>
      </c>
      <c r="BI7" t="inlineStr">
        <is>
          <t>VC BD, Funding 9.46€(200pcs)</t>
        </is>
      </c>
      <c r="BJ7" t="inlineStr">
        <is>
          <t>VC BD, Funding 9.46€(200pcs)</t>
        </is>
      </c>
      <c r="BK7" t="inlineStr">
        <is>
          <t>VC BD, Funding 9.46€(200pcs)</t>
        </is>
      </c>
      <c r="BL7" t="inlineStr">
        <is>
          <t>VC BD, Funding 9.46€(200pcs)</t>
        </is>
      </c>
      <c r="BM7" t="inlineStr">
        <is>
          <t>VC BD, Funding 9.46€(200pcs)</t>
        </is>
      </c>
      <c r="BN7" t="inlineStr">
        <is>
          <t>VC BD, Funding 9.46€(200pcs)</t>
        </is>
      </c>
      <c r="BO7" t="inlineStr">
        <is>
          <t>VC BD, Funding 9.46€(200pcs)</t>
        </is>
      </c>
      <c r="BP7" t="inlineStr">
        <is>
          <t>VC BD, Funding 9.46€(200pcs)</t>
        </is>
      </c>
      <c r="BQ7" t="inlineStr">
        <is>
          <t>VC BD, Funding 9.46€(200pcs)</t>
        </is>
      </c>
      <c r="BR7" t="inlineStr">
        <is>
          <t>VC BD, Funding 12.13€(200pcs)</t>
        </is>
      </c>
      <c r="BS7" t="inlineStr">
        <is>
          <t>VC BD, Funding 12.13€(200pcs)</t>
        </is>
      </c>
      <c r="BT7" t="inlineStr">
        <is>
          <t>VC BD, Funding 12.13€(200pcs)</t>
        </is>
      </c>
      <c r="BU7" t="inlineStr">
        <is>
          <t>VC BD, Funding 12.13€(200pcs)</t>
        </is>
      </c>
      <c r="BV7" t="inlineStr">
        <is>
          <t>VC BD, Funding 12.13€(200pcs)</t>
        </is>
      </c>
      <c r="BW7" t="inlineStr">
        <is>
          <t>VC BD, Funding 12.13€(200pcs)</t>
        </is>
      </c>
      <c r="BX7" t="inlineStr">
        <is>
          <t>VC BD, Funding 12.13€(200pcs)</t>
        </is>
      </c>
      <c r="BY7" t="inlineStr">
        <is>
          <t>VC BD, Funding 12.13€(200pcs)</t>
        </is>
      </c>
      <c r="BZ7" t="inlineStr">
        <is>
          <t>无</t>
        </is>
      </c>
      <c r="CA7" t="inlineStr">
        <is>
          <t>无</t>
        </is>
      </c>
      <c r="CB7" t="inlineStr">
        <is>
          <t>无</t>
        </is>
      </c>
      <c r="CC7" t="inlineStr">
        <is>
          <t>无</t>
        </is>
      </c>
      <c r="CD7" t="inlineStr">
        <is>
          <t>无</t>
        </is>
      </c>
      <c r="CE7" t="inlineStr">
        <is>
          <t>无</t>
        </is>
      </c>
      <c r="CF7" t="inlineStr">
        <is>
          <t>无</t>
        </is>
      </c>
      <c r="CG7" t="inlineStr">
        <is>
          <t>无</t>
        </is>
      </c>
      <c r="CH7" t="inlineStr">
        <is>
          <t>无</t>
        </is>
      </c>
      <c r="CI7" t="inlineStr">
        <is>
          <t>无</t>
        </is>
      </c>
      <c r="CJ7" t="inlineStr">
        <is>
          <t>无</t>
        </is>
      </c>
      <c r="CK7" t="inlineStr">
        <is>
          <t>无</t>
        </is>
      </c>
      <c r="CL7" t="inlineStr">
        <is>
          <t>无</t>
        </is>
      </c>
      <c r="CM7" t="inlineStr">
        <is>
          <t>无</t>
        </is>
      </c>
      <c r="CN7" t="inlineStr">
        <is>
          <t>无</t>
        </is>
      </c>
      <c r="CO7" t="inlineStr">
        <is>
          <t>无</t>
        </is>
      </c>
      <c r="CP7" t="inlineStr">
        <is>
          <t>无</t>
        </is>
      </c>
      <c r="CQ7" t="inlineStr">
        <is>
          <t>无</t>
        </is>
      </c>
      <c r="CR7" t="inlineStr">
        <is>
          <t>无</t>
        </is>
      </c>
      <c r="CS7" t="inlineStr">
        <is>
          <t>无</t>
        </is>
      </c>
      <c r="CT7" t="inlineStr">
        <is>
          <t>VC BD, Funding 14.36€(300pcs)</t>
        </is>
      </c>
      <c r="CU7" t="inlineStr">
        <is>
          <t>VC BD, Funding 14.36€(300pcs)</t>
        </is>
      </c>
      <c r="CV7" t="inlineStr">
        <is>
          <t>VC BD, Funding 14.36€(300pcs)</t>
        </is>
      </c>
      <c r="CW7" t="inlineStr">
        <is>
          <t>VC BD, Funding 14.36€(300pcs)</t>
        </is>
      </c>
      <c r="CX7" t="inlineStr">
        <is>
          <t>VC BD, Funding 14.36€(300pcs)</t>
        </is>
      </c>
      <c r="CY7" t="inlineStr">
        <is>
          <t>VC BD, Funding 14.36€(300pcs)</t>
        </is>
      </c>
      <c r="CZ7" t="inlineStr">
        <is>
          <t>无</t>
        </is>
      </c>
      <c r="DA7" t="inlineStr">
        <is>
          <t>无</t>
        </is>
      </c>
      <c r="DB7" t="inlineStr">
        <is>
          <t>无</t>
        </is>
      </c>
      <c r="DC7" t="inlineStr">
        <is>
          <t>无</t>
        </is>
      </c>
      <c r="DD7" t="inlineStr">
        <is>
          <t>无</t>
        </is>
      </c>
      <c r="DE7" t="inlineStr">
        <is>
          <t>无</t>
        </is>
      </c>
      <c r="DF7" t="inlineStr">
        <is>
          <t>无</t>
        </is>
      </c>
      <c r="DG7" t="inlineStr">
        <is>
          <t>无</t>
        </is>
      </c>
      <c r="DH7" t="inlineStr">
        <is>
          <t>无</t>
        </is>
      </c>
      <c r="DI7" t="inlineStr">
        <is>
          <t>无</t>
        </is>
      </c>
      <c r="DJ7" t="inlineStr">
        <is>
          <t>无</t>
        </is>
      </c>
      <c r="DK7" t="inlineStr">
        <is>
          <t>无</t>
        </is>
      </c>
      <c r="DL7" t="inlineStr">
        <is>
          <t>无</t>
        </is>
      </c>
      <c r="DM7" t="inlineStr">
        <is>
          <t>无</t>
        </is>
      </c>
      <c r="DN7" t="inlineStr">
        <is>
          <t>无</t>
        </is>
      </c>
      <c r="DO7" t="inlineStr">
        <is>
          <t>无</t>
        </is>
      </c>
      <c r="DP7" t="inlineStr">
        <is>
          <t>无</t>
        </is>
      </c>
      <c r="DQ7" t="inlineStr">
        <is>
          <t>无</t>
        </is>
      </c>
      <c r="DR7" t="inlineStr">
        <is>
          <t>无</t>
        </is>
      </c>
      <c r="DS7" t="inlineStr">
        <is>
          <t>无</t>
        </is>
      </c>
      <c r="DT7" t="inlineStr">
        <is>
          <t>无</t>
        </is>
      </c>
      <c r="DU7" t="inlineStr">
        <is>
          <t>无</t>
        </is>
      </c>
      <c r="DV7" t="inlineStr">
        <is>
          <t>无</t>
        </is>
      </c>
      <c r="DW7" t="inlineStr">
        <is>
          <t>无</t>
        </is>
      </c>
      <c r="DX7" t="inlineStr">
        <is>
          <t>无</t>
        </is>
      </c>
      <c r="DY7" t="inlineStr">
        <is>
          <t>无</t>
        </is>
      </c>
      <c r="DZ7" t="inlineStr">
        <is>
          <t>无</t>
        </is>
      </c>
      <c r="EA7" t="inlineStr">
        <is>
          <t>无</t>
        </is>
      </c>
      <c r="EB7" t="inlineStr">
        <is>
          <t>无</t>
        </is>
      </c>
      <c r="EC7" t="inlineStr">
        <is>
          <t>无</t>
        </is>
      </c>
      <c r="ED7" t="inlineStr">
        <is>
          <t>无</t>
        </is>
      </c>
      <c r="EE7" t="inlineStr">
        <is>
          <t>无</t>
        </is>
      </c>
      <c r="EF7" t="inlineStr">
        <is>
          <t>无</t>
        </is>
      </c>
      <c r="EG7" t="inlineStr">
        <is>
          <t>无</t>
        </is>
      </c>
      <c r="EH7"/>
      <c r="EI7"/>
      <c r="EJ7"/>
    </row>
    <row r="8" ht="25.5" customHeight="1">
      <c r="A8"/>
      <c r="B8" t="inlineStr">
        <is>
          <t>ES</t>
        </is>
      </c>
      <c r="C8" t="inlineStr">
        <is>
          <t>优惠券</t>
        </is>
      </c>
      <c r="D8" t="inlineStr">
        <is>
          <t>0.15</t>
        </is>
      </c>
      <c r="E8" t="inlineStr">
        <is>
          <t>无</t>
        </is>
      </c>
      <c r="F8" t="inlineStr">
        <is>
          <t>无</t>
        </is>
      </c>
      <c r="G8" t="inlineStr">
        <is>
          <t>无</t>
        </is>
      </c>
      <c r="H8" t="inlineStr">
        <is>
          <t>无</t>
        </is>
      </c>
      <c r="I8" t="inlineStr">
        <is>
          <t>无</t>
        </is>
      </c>
      <c r="J8" t="inlineStr">
        <is>
          <t>无</t>
        </is>
      </c>
      <c r="K8" t="inlineStr">
        <is>
          <t>无</t>
        </is>
      </c>
      <c r="L8" t="inlineStr">
        <is>
          <t>无</t>
        </is>
      </c>
      <c r="M8" t="inlineStr">
        <is>
          <t>无</t>
        </is>
      </c>
      <c r="N8" t="inlineStr">
        <is>
          <t>无</t>
        </is>
      </c>
      <c r="O8" t="inlineStr">
        <is>
          <t>无</t>
        </is>
      </c>
      <c r="P8" t="inlineStr">
        <is>
          <t>无</t>
        </is>
      </c>
      <c r="Q8" t="inlineStr">
        <is>
          <t>无</t>
        </is>
      </c>
      <c r="R8" t="inlineStr">
        <is>
          <t>无</t>
        </is>
      </c>
      <c r="S8" t="inlineStr">
        <is>
          <t>无</t>
        </is>
      </c>
      <c r="T8" t="inlineStr">
        <is>
          <t>无</t>
        </is>
      </c>
      <c r="U8" t="inlineStr">
        <is>
          <t>无</t>
        </is>
      </c>
      <c r="V8" t="inlineStr">
        <is>
          <t>无</t>
        </is>
      </c>
      <c r="W8" t="inlineStr">
        <is>
          <t>无</t>
        </is>
      </c>
      <c r="X8" t="inlineStr">
        <is>
          <t>无</t>
        </is>
      </c>
      <c r="Y8" t="inlineStr">
        <is>
          <t>无</t>
        </is>
      </c>
      <c r="Z8" t="inlineStr">
        <is>
          <t>无</t>
        </is>
      </c>
      <c r="AA8" t="inlineStr">
        <is>
          <t>无</t>
        </is>
      </c>
      <c r="AB8" t="inlineStr">
        <is>
          <t>无</t>
        </is>
      </c>
      <c r="AC8" t="inlineStr">
        <is>
          <t>无</t>
        </is>
      </c>
      <c r="AD8" t="inlineStr">
        <is>
          <t>无</t>
        </is>
      </c>
      <c r="AE8" t="inlineStr">
        <is>
          <t>无</t>
        </is>
      </c>
      <c r="AF8" t="inlineStr">
        <is>
          <t>无</t>
        </is>
      </c>
      <c r="AG8" t="inlineStr">
        <is>
          <t>无</t>
        </is>
      </c>
      <c r="AH8" t="inlineStr">
        <is>
          <t>无</t>
        </is>
      </c>
      <c r="AI8" t="inlineStr">
        <is>
          <t>无</t>
        </is>
      </c>
      <c r="AJ8" t="inlineStr">
        <is>
          <t>无</t>
        </is>
      </c>
      <c r="AK8" t="inlineStr">
        <is>
          <t>无</t>
        </is>
      </c>
      <c r="AL8" t="inlineStr">
        <is>
          <t>无</t>
        </is>
      </c>
      <c r="AM8" t="inlineStr">
        <is>
          <t>无</t>
        </is>
      </c>
      <c r="AN8" t="inlineStr">
        <is>
          <t>无</t>
        </is>
      </c>
      <c r="AO8" t="inlineStr">
        <is>
          <t>无</t>
        </is>
      </c>
      <c r="AP8" t="inlineStr">
        <is>
          <t>无</t>
        </is>
      </c>
      <c r="AQ8" t="inlineStr">
        <is>
          <t>无</t>
        </is>
      </c>
      <c r="AR8" t="inlineStr">
        <is>
          <t>无</t>
        </is>
      </c>
      <c r="AS8" t="inlineStr">
        <is>
          <t>无</t>
        </is>
      </c>
      <c r="AT8" t="inlineStr">
        <is>
          <t>无</t>
        </is>
      </c>
      <c r="AU8" t="inlineStr">
        <is>
          <t>无</t>
        </is>
      </c>
      <c r="AV8" t="inlineStr">
        <is>
          <t>无</t>
        </is>
      </c>
      <c r="AW8" t="inlineStr">
        <is>
          <t>无</t>
        </is>
      </c>
      <c r="AX8" t="inlineStr">
        <is>
          <t>无</t>
        </is>
      </c>
      <c r="AY8" t="inlineStr">
        <is>
          <t>无</t>
        </is>
      </c>
      <c r="AZ8" t="inlineStr">
        <is>
          <t>无</t>
        </is>
      </c>
      <c r="BA8" t="inlineStr">
        <is>
          <t>无</t>
        </is>
      </c>
      <c r="BB8" t="inlineStr">
        <is>
          <t>无</t>
        </is>
      </c>
      <c r="BC8"/>
      <c r="BD8"/>
      <c r="BE8" t="inlineStr">
        <is>
          <t>无</t>
        </is>
      </c>
      <c r="BF8" t="inlineStr">
        <is>
          <t>无</t>
        </is>
      </c>
      <c r="BG8" t="inlineStr">
        <is>
          <t>无</t>
        </is>
      </c>
      <c r="BH8" t="inlineStr">
        <is>
          <t>无</t>
        </is>
      </c>
      <c r="BI8" t="inlineStr">
        <is>
          <t>无</t>
        </is>
      </c>
      <c r="BJ8" t="inlineStr">
        <is>
          <t>无</t>
        </is>
      </c>
      <c r="BK8" t="inlineStr">
        <is>
          <t>无</t>
        </is>
      </c>
      <c r="BL8" t="inlineStr">
        <is>
          <t>无</t>
        </is>
      </c>
      <c r="BM8" t="inlineStr">
        <is>
          <t>无</t>
        </is>
      </c>
      <c r="BN8" t="inlineStr">
        <is>
          <t>无</t>
        </is>
      </c>
      <c r="BO8" t="inlineStr">
        <is>
          <t>无</t>
        </is>
      </c>
      <c r="BP8" t="inlineStr">
        <is>
          <t>无</t>
        </is>
      </c>
      <c r="BQ8" t="inlineStr">
        <is>
          <t>无</t>
        </is>
      </c>
      <c r="BR8" t="inlineStr">
        <is>
          <t>无</t>
        </is>
      </c>
      <c r="BS8" t="inlineStr">
        <is>
          <t>无</t>
        </is>
      </c>
      <c r="BT8" t="inlineStr">
        <is>
          <t>无</t>
        </is>
      </c>
      <c r="BU8" t="inlineStr">
        <is>
          <t>无</t>
        </is>
      </c>
      <c r="BV8" t="inlineStr">
        <is>
          <t>无</t>
        </is>
      </c>
      <c r="BW8" t="inlineStr">
        <is>
          <t>无</t>
        </is>
      </c>
      <c r="BX8" t="inlineStr">
        <is>
          <t>无</t>
        </is>
      </c>
      <c r="BY8" t="inlineStr">
        <is>
          <t>无</t>
        </is>
      </c>
      <c r="BZ8" t="inlineStr">
        <is>
          <t>Coupon 5%</t>
        </is>
      </c>
      <c r="CA8" t="inlineStr">
        <is>
          <t>Coupon 5%</t>
        </is>
      </c>
      <c r="CB8" t="inlineStr">
        <is>
          <t>无</t>
        </is>
      </c>
      <c r="CC8" t="inlineStr">
        <is>
          <t>无</t>
        </is>
      </c>
      <c r="CD8" t="inlineStr">
        <is>
          <t>无</t>
        </is>
      </c>
      <c r="CE8" t="inlineStr">
        <is>
          <t>无</t>
        </is>
      </c>
      <c r="CF8" t="inlineStr">
        <is>
          <t>无</t>
        </is>
      </c>
      <c r="CG8" t="inlineStr">
        <is>
          <t>无</t>
        </is>
      </c>
      <c r="CH8" t="inlineStr">
        <is>
          <t>无</t>
        </is>
      </c>
      <c r="CI8" t="inlineStr">
        <is>
          <t>无</t>
        </is>
      </c>
      <c r="CJ8" t="inlineStr">
        <is>
          <t>无</t>
        </is>
      </c>
      <c r="CK8" t="inlineStr">
        <is>
          <t>Coupon 5%</t>
        </is>
      </c>
      <c r="CL8" t="inlineStr">
        <is>
          <t>Coupon 5%</t>
        </is>
      </c>
      <c r="CM8" t="inlineStr">
        <is>
          <t>Coupon 5%</t>
        </is>
      </c>
      <c r="CN8" t="inlineStr">
        <is>
          <t>Coupon 5%</t>
        </is>
      </c>
      <c r="CO8" t="inlineStr">
        <is>
          <t>Coupon 5%</t>
        </is>
      </c>
      <c r="CP8" t="inlineStr">
        <is>
          <t>无</t>
        </is>
      </c>
      <c r="CQ8" t="inlineStr">
        <is>
          <t>无</t>
        </is>
      </c>
      <c r="CR8" t="inlineStr">
        <is>
          <t>无</t>
        </is>
      </c>
      <c r="CS8" t="inlineStr">
        <is>
          <t>无</t>
        </is>
      </c>
      <c r="CT8" t="inlineStr">
        <is>
          <t>无</t>
        </is>
      </c>
      <c r="CU8" t="inlineStr">
        <is>
          <t>无</t>
        </is>
      </c>
      <c r="CV8" t="inlineStr">
        <is>
          <t>无</t>
        </is>
      </c>
      <c r="CW8" t="inlineStr">
        <is>
          <t>无</t>
        </is>
      </c>
      <c r="CX8" t="inlineStr">
        <is>
          <t>无</t>
        </is>
      </c>
      <c r="CY8" t="inlineStr">
        <is>
          <t>无</t>
        </is>
      </c>
      <c r="CZ8" t="inlineStr">
        <is>
          <t>无</t>
        </is>
      </c>
      <c r="DA8" t="inlineStr">
        <is>
          <t>Coupon 10%</t>
        </is>
      </c>
      <c r="DB8" t="inlineStr">
        <is>
          <t>Coupon 10%</t>
        </is>
      </c>
      <c r="DC8" t="inlineStr">
        <is>
          <t>Coupon 10%</t>
        </is>
      </c>
      <c r="DD8" t="inlineStr">
        <is>
          <t>Coupon 10%</t>
        </is>
      </c>
      <c r="DE8" t="inlineStr">
        <is>
          <t>无</t>
        </is>
      </c>
      <c r="DF8" t="inlineStr">
        <is>
          <t>无</t>
        </is>
      </c>
      <c r="DG8" t="inlineStr">
        <is>
          <t>无</t>
        </is>
      </c>
      <c r="DH8" t="inlineStr">
        <is>
          <t>无</t>
        </is>
      </c>
      <c r="DI8" t="inlineStr">
        <is>
          <t>Coupon 20%</t>
        </is>
      </c>
      <c r="DJ8" t="inlineStr">
        <is>
          <t>无</t>
        </is>
      </c>
      <c r="DK8" t="inlineStr">
        <is>
          <t>无</t>
        </is>
      </c>
      <c r="DL8" t="inlineStr">
        <is>
          <t>无</t>
        </is>
      </c>
      <c r="DM8" t="inlineStr">
        <is>
          <t>无</t>
        </is>
      </c>
      <c r="DN8" t="inlineStr">
        <is>
          <t>无</t>
        </is>
      </c>
      <c r="DO8" t="inlineStr">
        <is>
          <t>无</t>
        </is>
      </c>
      <c r="DP8" t="inlineStr">
        <is>
          <t>无</t>
        </is>
      </c>
      <c r="DQ8" t="inlineStr">
        <is>
          <t>无</t>
        </is>
      </c>
      <c r="DR8" t="inlineStr">
        <is>
          <t>无</t>
        </is>
      </c>
      <c r="DS8" t="inlineStr">
        <is>
          <t>无</t>
        </is>
      </c>
      <c r="DT8" t="inlineStr">
        <is>
          <t>无</t>
        </is>
      </c>
      <c r="DU8" t="inlineStr">
        <is>
          <t>无</t>
        </is>
      </c>
      <c r="DV8" t="inlineStr">
        <is>
          <t>无</t>
        </is>
      </c>
      <c r="DW8" t="inlineStr">
        <is>
          <t>无</t>
        </is>
      </c>
      <c r="DX8" t="inlineStr">
        <is>
          <t>无</t>
        </is>
      </c>
      <c r="DY8" t="inlineStr">
        <is>
          <t>无</t>
        </is>
      </c>
      <c r="DZ8" t="inlineStr">
        <is>
          <t>无</t>
        </is>
      </c>
      <c r="EA8" t="inlineStr">
        <is>
          <t>无</t>
        </is>
      </c>
      <c r="EB8" t="inlineStr">
        <is>
          <t>无</t>
        </is>
      </c>
      <c r="EC8" t="inlineStr">
        <is>
          <t>无</t>
        </is>
      </c>
      <c r="ED8" t="inlineStr">
        <is>
          <t>无</t>
        </is>
      </c>
      <c r="EE8" t="inlineStr">
        <is>
          <t>无</t>
        </is>
      </c>
      <c r="EF8" t="inlineStr">
        <is>
          <t>无</t>
        </is>
      </c>
      <c r="EG8" t="inlineStr">
        <is>
          <t>无</t>
        </is>
      </c>
      <c r="EH8" t="inlineStr">
        <is>
          <t>无</t>
        </is>
      </c>
      <c r="EI8"/>
      <c r="EJ8"/>
    </row>
    <row r="9" ht="25.5" customHeight="1">
      <c r="A9"/>
      <c r="B9" t="inlineStr">
        <is>
          <t>ES</t>
        </is>
      </c>
      <c r="C9" t="inlineStr">
        <is>
          <t>活动</t>
        </is>
      </c>
      <c r="D9" t="inlineStr">
        <is>
          <t>Funding 12.75，广告8，毛利4.36</t>
        </is>
      </c>
      <c r="E9" t="inlineStr">
        <is>
          <t>SC BD</t>
        </is>
      </c>
      <c r="F9" t="inlineStr">
        <is>
          <t>SC BD</t>
        </is>
      </c>
      <c r="G9" t="inlineStr">
        <is>
          <t>无</t>
        </is>
      </c>
      <c r="H9" t="inlineStr">
        <is>
          <t>VC BD, Funding 11.5€</t>
        </is>
      </c>
      <c r="I9" t="inlineStr">
        <is>
          <t>VC BD, Funding 11.5€</t>
        </is>
      </c>
      <c r="J9" t="inlineStr">
        <is>
          <t>VC BD, Funding 11.5€</t>
        </is>
      </c>
      <c r="K9" t="inlineStr">
        <is>
          <t>VC BD, Funding 11.5€</t>
        </is>
      </c>
      <c r="L9" t="inlineStr">
        <is>
          <t>VC BD, Funding 11.5€</t>
        </is>
      </c>
      <c r="M9" t="inlineStr">
        <is>
          <t>VC BD, Funding 11.5€</t>
        </is>
      </c>
      <c r="N9" t="inlineStr">
        <is>
          <t>VC BD, Funding 11.5€</t>
        </is>
      </c>
      <c r="O9" t="inlineStr">
        <is>
          <t>VC BD, Funding 11.5€</t>
        </is>
      </c>
      <c r="P9" t="inlineStr">
        <is>
          <t>VC BD, Funding 11.5€</t>
        </is>
      </c>
      <c r="Q9" t="inlineStr">
        <is>
          <t>VC BD, Funding 11.5€</t>
        </is>
      </c>
      <c r="R9" t="inlineStr">
        <is>
          <t>VC BD, Funding 11.5€</t>
        </is>
      </c>
      <c r="S9" t="inlineStr">
        <is>
          <t>无</t>
        </is>
      </c>
      <c r="T9" t="inlineStr">
        <is>
          <t>无</t>
        </is>
      </c>
      <c r="U9" t="inlineStr">
        <is>
          <t>VC Price discount:Funding12.75€</t>
        </is>
      </c>
      <c r="V9" t="inlineStr">
        <is>
          <t>VC Price discount:Funding12.75€</t>
        </is>
      </c>
      <c r="W9" t="inlineStr">
        <is>
          <t>VC Price discount:Funding12.75€</t>
        </is>
      </c>
      <c r="X9" t="inlineStr">
        <is>
          <t>VC Price discount:Funding12.75€</t>
        </is>
      </c>
      <c r="Y9" t="inlineStr">
        <is>
          <t>无</t>
        </is>
      </c>
      <c r="Z9" t="inlineStr">
        <is>
          <t>无</t>
        </is>
      </c>
      <c r="AA9" t="inlineStr">
        <is>
          <t>无</t>
        </is>
      </c>
      <c r="AB9" t="inlineStr">
        <is>
          <t>无</t>
        </is>
      </c>
      <c r="AC9" t="inlineStr">
        <is>
          <t>无</t>
        </is>
      </c>
      <c r="AD9" t="inlineStr">
        <is>
          <t>无</t>
        </is>
      </c>
      <c r="AE9" t="inlineStr">
        <is>
          <t>无</t>
        </is>
      </c>
      <c r="AF9" t="inlineStr">
        <is>
          <t>无</t>
        </is>
      </c>
      <c r="AG9" t="inlineStr">
        <is>
          <t>无</t>
        </is>
      </c>
      <c r="AH9" t="inlineStr">
        <is>
          <t>无</t>
        </is>
      </c>
      <c r="AI9" t="inlineStr">
        <is>
          <t>无</t>
        </is>
      </c>
      <c r="AJ9" t="inlineStr">
        <is>
          <t>无</t>
        </is>
      </c>
      <c r="AK9" t="inlineStr">
        <is>
          <t>无</t>
        </is>
      </c>
      <c r="AL9" t="inlineStr">
        <is>
          <t>无</t>
        </is>
      </c>
      <c r="AM9" t="inlineStr">
        <is>
          <t>无</t>
        </is>
      </c>
      <c r="AN9" t="inlineStr">
        <is>
          <t>无</t>
        </is>
      </c>
      <c r="AO9" t="inlineStr">
        <is>
          <t>无</t>
        </is>
      </c>
      <c r="AP9" t="inlineStr">
        <is>
          <t>无</t>
        </is>
      </c>
      <c r="AQ9" t="inlineStr">
        <is>
          <t>无</t>
        </is>
      </c>
      <c r="AR9" t="inlineStr">
        <is>
          <t>无</t>
        </is>
      </c>
      <c r="AS9" t="inlineStr">
        <is>
          <t>无</t>
        </is>
      </c>
      <c r="AT9" t="inlineStr">
        <is>
          <t>无</t>
        </is>
      </c>
      <c r="AU9" t="inlineStr">
        <is>
          <t>无</t>
        </is>
      </c>
      <c r="AV9" t="inlineStr">
        <is>
          <t>无</t>
        </is>
      </c>
      <c r="AW9" t="inlineStr">
        <is>
          <t>无</t>
        </is>
      </c>
      <c r="AX9" t="inlineStr">
        <is>
          <t>无</t>
        </is>
      </c>
      <c r="AY9" t="inlineStr">
        <is>
          <t>无</t>
        </is>
      </c>
      <c r="AZ9" t="inlineStr">
        <is>
          <t>无</t>
        </is>
      </c>
      <c r="BA9" t="inlineStr">
        <is>
          <t>无</t>
        </is>
      </c>
      <c r="BB9" t="inlineStr">
        <is>
          <t>无</t>
        </is>
      </c>
      <c r="BC9" t="inlineStr">
        <is>
          <t>无</t>
        </is>
      </c>
      <c r="BD9" t="inlineStr">
        <is>
          <t>无</t>
        </is>
      </c>
      <c r="BE9" t="inlineStr">
        <is>
          <t>无</t>
        </is>
      </c>
      <c r="BF9" t="inlineStr">
        <is>
          <t>无</t>
        </is>
      </c>
      <c r="BG9" t="inlineStr">
        <is>
          <t>无</t>
        </is>
      </c>
      <c r="BH9" t="inlineStr">
        <is>
          <t>VC BD, Funding 10.54€(100pcs)</t>
        </is>
      </c>
      <c r="BI9" t="inlineStr">
        <is>
          <t>VC BD, Funding 10.54€(100pcs)</t>
        </is>
      </c>
      <c r="BJ9" t="inlineStr">
        <is>
          <t>VC BD, Funding 10.54€(100pcs)</t>
        </is>
      </c>
      <c r="BK9" t="inlineStr">
        <is>
          <t>VC BD, Funding 10.54€(100pcs)</t>
        </is>
      </c>
      <c r="BL9" t="inlineStr">
        <is>
          <t>VC BD, Funding 10.54€(100pcs)</t>
        </is>
      </c>
      <c r="BM9" t="inlineStr">
        <is>
          <t>VC BD, Funding 10.54€(100pcs)</t>
        </is>
      </c>
      <c r="BN9" t="inlineStr">
        <is>
          <t>VC BD, Funding 10.54€(100pcs)</t>
        </is>
      </c>
      <c r="BO9" t="inlineStr">
        <is>
          <t>VC BD, Funding 10.54€(100pcs)</t>
        </is>
      </c>
      <c r="BP9" t="inlineStr">
        <is>
          <t>VC BD, Funding 10.54€(100pcs)</t>
        </is>
      </c>
      <c r="BQ9" t="inlineStr">
        <is>
          <t>VC BD, Funding 10.54€(100pcs)</t>
        </is>
      </c>
      <c r="BR9" t="inlineStr">
        <is>
          <t>VC BD, Funding 10.54€(100pcs)</t>
        </is>
      </c>
      <c r="BS9" t="inlineStr">
        <is>
          <t>VC BD, Funding 10.54€(100pcs)</t>
        </is>
      </c>
      <c r="BT9" t="inlineStr">
        <is>
          <t>VC BD, Funding 10.54€(100pcs)</t>
        </is>
      </c>
      <c r="BU9" t="inlineStr">
        <is>
          <t>VC BD, Funding 10.54€(100pcs)</t>
        </is>
      </c>
      <c r="BV9" t="inlineStr">
        <is>
          <t>无</t>
        </is>
      </c>
      <c r="BW9" t="inlineStr">
        <is>
          <t>无</t>
        </is>
      </c>
      <c r="BX9" t="inlineStr">
        <is>
          <t>无</t>
        </is>
      </c>
      <c r="BY9" t="inlineStr">
        <is>
          <t>无</t>
        </is>
      </c>
      <c r="BZ9" t="inlineStr">
        <is>
          <t>无</t>
        </is>
      </c>
      <c r="CA9" t="inlineStr">
        <is>
          <t>无</t>
        </is>
      </c>
      <c r="CB9" t="inlineStr">
        <is>
          <t>无</t>
        </is>
      </c>
      <c r="CC9" t="inlineStr">
        <is>
          <t>无</t>
        </is>
      </c>
      <c r="CD9" t="inlineStr">
        <is>
          <t>VC BD, Funding 13.52€(100pcs)</t>
        </is>
      </c>
      <c r="CE9" t="inlineStr">
        <is>
          <t>VC BD, Funding 13.52€(100pcs)</t>
        </is>
      </c>
      <c r="CF9" t="inlineStr">
        <is>
          <t>VC BD, Funding 13.52€(100pcs)</t>
        </is>
      </c>
      <c r="CG9" t="inlineStr">
        <is>
          <t>VC BD, Funding 13.52€(100pcs)</t>
        </is>
      </c>
      <c r="CH9" t="inlineStr">
        <is>
          <t>VC BD, Funding 13.52€(100pcs)</t>
        </is>
      </c>
      <c r="CI9" t="inlineStr">
        <is>
          <t>VC BD, Funding 13.52€(100pcs)</t>
        </is>
      </c>
      <c r="CJ9" t="inlineStr">
        <is>
          <t>VC BD, Funding 13.52€(100pcs)</t>
        </is>
      </c>
      <c r="CK9" t="inlineStr">
        <is>
          <t>无</t>
        </is>
      </c>
      <c r="CL9" t="inlineStr">
        <is>
          <t>无</t>
        </is>
      </c>
      <c r="CM9" t="inlineStr">
        <is>
          <t>无</t>
        </is>
      </c>
      <c r="CN9" t="inlineStr">
        <is>
          <t>无</t>
        </is>
      </c>
      <c r="CO9" t="inlineStr">
        <is>
          <t>无</t>
        </is>
      </c>
      <c r="CP9" t="inlineStr">
        <is>
          <t>无</t>
        </is>
      </c>
      <c r="CQ9" t="inlineStr">
        <is>
          <t>无</t>
        </is>
      </c>
      <c r="CR9" t="inlineStr">
        <is>
          <t>无</t>
        </is>
      </c>
      <c r="CS9" t="inlineStr">
        <is>
          <t>无</t>
        </is>
      </c>
      <c r="CT9" t="inlineStr">
        <is>
          <t>无</t>
        </is>
      </c>
      <c r="CU9" t="inlineStr">
        <is>
          <t>无</t>
        </is>
      </c>
      <c r="CV9" t="inlineStr">
        <is>
          <t>无</t>
        </is>
      </c>
      <c r="CW9" t="inlineStr">
        <is>
          <t>无</t>
        </is>
      </c>
      <c r="CX9" t="inlineStr">
        <is>
          <t>无</t>
        </is>
      </c>
      <c r="CY9" t="inlineStr">
        <is>
          <t>无</t>
        </is>
      </c>
      <c r="CZ9" t="inlineStr">
        <is>
          <t>无</t>
        </is>
      </c>
      <c r="DA9" t="inlineStr">
        <is>
          <t>无</t>
        </is>
      </c>
      <c r="DB9" t="inlineStr">
        <is>
          <t>无</t>
        </is>
      </c>
      <c r="DC9" t="inlineStr">
        <is>
          <t>无</t>
        </is>
      </c>
      <c r="DD9" t="inlineStr">
        <is>
          <t>无</t>
        </is>
      </c>
      <c r="DE9" t="inlineStr">
        <is>
          <t>无</t>
        </is>
      </c>
      <c r="DF9" t="inlineStr">
        <is>
          <t>无</t>
        </is>
      </c>
      <c r="DG9" t="inlineStr">
        <is>
          <t>无</t>
        </is>
      </c>
      <c r="DH9" t="inlineStr">
        <is>
          <t>无</t>
        </is>
      </c>
      <c r="DI9" t="inlineStr">
        <is>
          <t>无</t>
        </is>
      </c>
      <c r="DJ9" t="inlineStr">
        <is>
          <t>无</t>
        </is>
      </c>
      <c r="DK9" t="inlineStr">
        <is>
          <t>无</t>
        </is>
      </c>
      <c r="DL9" t="inlineStr">
        <is>
          <t>无</t>
        </is>
      </c>
      <c r="DM9" t="inlineStr">
        <is>
          <t>无</t>
        </is>
      </c>
      <c r="DN9" t="inlineStr">
        <is>
          <t>无</t>
        </is>
      </c>
      <c r="DO9" t="inlineStr">
        <is>
          <t>无</t>
        </is>
      </c>
      <c r="DP9" t="inlineStr">
        <is>
          <t>无</t>
        </is>
      </c>
      <c r="DQ9" t="inlineStr">
        <is>
          <t>无</t>
        </is>
      </c>
      <c r="DR9" t="inlineStr">
        <is>
          <t>无</t>
        </is>
      </c>
      <c r="DS9" t="inlineStr">
        <is>
          <t>无</t>
        </is>
      </c>
      <c r="DT9" t="inlineStr">
        <is>
          <t>无</t>
        </is>
      </c>
      <c r="DU9" t="inlineStr">
        <is>
          <t>VC BD, Funding 10.54€(200pcs)</t>
        </is>
      </c>
      <c r="DV9" t="inlineStr">
        <is>
          <t>VC BD, Funding 10.54€(200pcs)</t>
        </is>
      </c>
      <c r="DW9" t="inlineStr">
        <is>
          <t>VC BD, Funding 10.54€(200pcs)</t>
        </is>
      </c>
      <c r="DX9" t="inlineStr">
        <is>
          <t>VC BD, Funding 10.54€(200pcs)</t>
        </is>
      </c>
      <c r="DY9" t="inlineStr">
        <is>
          <t>VC BD, Funding 10.54€(200pcs)</t>
        </is>
      </c>
      <c r="DZ9" t="inlineStr">
        <is>
          <t>VC BD, Funding 10.54€(200pcs)</t>
        </is>
      </c>
      <c r="EA9" t="inlineStr">
        <is>
          <t>VC BD, Funding 10.54€(200pcs)</t>
        </is>
      </c>
      <c r="EB9" t="inlineStr">
        <is>
          <t>VC BD, Funding 10.54€(200pcs)</t>
        </is>
      </c>
      <c r="EC9" t="inlineStr">
        <is>
          <t>VC BD, Funding 10.54€(200pcs)</t>
        </is>
      </c>
      <c r="ED9" t="inlineStr">
        <is>
          <t>VC BD, Funding 10.54€(200pcs)</t>
        </is>
      </c>
      <c r="EE9" t="inlineStr">
        <is>
          <t>VC BD, Funding 10.54€(200pcs)</t>
        </is>
      </c>
      <c r="EF9" t="inlineStr">
        <is>
          <t>VC BD, Funding 10.54€(200pcs)</t>
        </is>
      </c>
      <c r="EG9" t="inlineStr">
        <is>
          <t>VC BD, Funding 10.54€(200pcs)</t>
        </is>
      </c>
      <c r="EH9" t="inlineStr">
        <is>
          <t>VC BD, Funding 10.54€(200pcs)</t>
        </is>
      </c>
      <c r="EI9"/>
      <c r="EJ9"/>
    </row>
    <row r="10" ht="25.5" customHeight="1">
      <c r="A10"/>
      <c r="B10" t="inlineStr">
        <is>
          <t>UK</t>
        </is>
      </c>
      <c r="C10" t="inlineStr">
        <is>
          <t>优惠券</t>
        </is>
      </c>
      <c r="D10" t="inlineStr">
        <is>
          <t>0.15</t>
        </is>
      </c>
      <c r="E10" t="inlineStr">
        <is>
          <t>无</t>
        </is>
      </c>
      <c r="F10" t="inlineStr">
        <is>
          <t>无</t>
        </is>
      </c>
      <c r="G10" t="inlineStr">
        <is>
          <t>无</t>
        </is>
      </c>
      <c r="H10" t="inlineStr">
        <is>
          <t>无</t>
        </is>
      </c>
      <c r="I10" t="inlineStr">
        <is>
          <t>无</t>
        </is>
      </c>
      <c r="J10" t="inlineStr">
        <is>
          <t>无</t>
        </is>
      </c>
      <c r="K10" t="inlineStr">
        <is>
          <t>无</t>
        </is>
      </c>
      <c r="L10" t="inlineStr">
        <is>
          <t>无</t>
        </is>
      </c>
      <c r="M10" t="inlineStr">
        <is>
          <t>无</t>
        </is>
      </c>
      <c r="N10" t="inlineStr">
        <is>
          <t>无</t>
        </is>
      </c>
      <c r="O10" t="inlineStr">
        <is>
          <t>无</t>
        </is>
      </c>
      <c r="P10" t="inlineStr">
        <is>
          <t>无</t>
        </is>
      </c>
      <c r="Q10" t="inlineStr">
        <is>
          <t>无</t>
        </is>
      </c>
      <c r="R10" t="inlineStr">
        <is>
          <t>无</t>
        </is>
      </c>
      <c r="S10" t="inlineStr">
        <is>
          <t>无</t>
        </is>
      </c>
      <c r="T10" t="inlineStr">
        <is>
          <t>无</t>
        </is>
      </c>
      <c r="U10" t="inlineStr">
        <is>
          <t>无</t>
        </is>
      </c>
      <c r="V10" t="inlineStr">
        <is>
          <t>无</t>
        </is>
      </c>
      <c r="W10" t="inlineStr">
        <is>
          <t>无</t>
        </is>
      </c>
      <c r="X10" t="inlineStr">
        <is>
          <t>无</t>
        </is>
      </c>
      <c r="Y10" t="inlineStr">
        <is>
          <t>无</t>
        </is>
      </c>
      <c r="Z10" t="inlineStr">
        <is>
          <t>无</t>
        </is>
      </c>
      <c r="AA10" t="inlineStr">
        <is>
          <t>无</t>
        </is>
      </c>
      <c r="AB10" t="inlineStr">
        <is>
          <t>无</t>
        </is>
      </c>
      <c r="AC10" t="inlineStr">
        <is>
          <t>Discount：12%</t>
        </is>
      </c>
      <c r="AD10" t="inlineStr">
        <is>
          <t>Discount：12%</t>
        </is>
      </c>
      <c r="AE10" t="inlineStr">
        <is>
          <t>Discount：12%</t>
        </is>
      </c>
      <c r="AF10" t="inlineStr">
        <is>
          <t>无</t>
        </is>
      </c>
      <c r="AG10" t="inlineStr">
        <is>
          <t>无</t>
        </is>
      </c>
      <c r="AH10" t="inlineStr">
        <is>
          <t>无</t>
        </is>
      </c>
      <c r="AI10" t="inlineStr">
        <is>
          <t>无</t>
        </is>
      </c>
      <c r="AJ10" t="inlineStr">
        <is>
          <t>无</t>
        </is>
      </c>
      <c r="AK10" t="inlineStr">
        <is>
          <t>无</t>
        </is>
      </c>
      <c r="AL10" t="inlineStr">
        <is>
          <t>无</t>
        </is>
      </c>
      <c r="AM10" t="inlineStr">
        <is>
          <t>无</t>
        </is>
      </c>
      <c r="AN10" t="inlineStr">
        <is>
          <t>无</t>
        </is>
      </c>
      <c r="AO10" t="inlineStr">
        <is>
          <t>无</t>
        </is>
      </c>
      <c r="AP10" t="inlineStr">
        <is>
          <t>无</t>
        </is>
      </c>
      <c r="AQ10" t="inlineStr">
        <is>
          <t>无</t>
        </is>
      </c>
      <c r="AR10" t="inlineStr">
        <is>
          <t>无</t>
        </is>
      </c>
      <c r="AS10" t="inlineStr">
        <is>
          <t>无</t>
        </is>
      </c>
      <c r="AT10" t="inlineStr">
        <is>
          <t>无</t>
        </is>
      </c>
      <c r="AU10" t="inlineStr">
        <is>
          <t>COUPON 12%</t>
        </is>
      </c>
      <c r="AV10" t="inlineStr">
        <is>
          <t>COUPON 12%</t>
        </is>
      </c>
      <c r="AW10" t="inlineStr">
        <is>
          <t>COUPON 12%</t>
        </is>
      </c>
      <c r="AX10" t="inlineStr">
        <is>
          <t>无</t>
        </is>
      </c>
      <c r="AY10" t="inlineStr">
        <is>
          <t>无</t>
        </is>
      </c>
      <c r="AZ10" t="inlineStr">
        <is>
          <t>无</t>
        </is>
      </c>
      <c r="BA10" t="inlineStr">
        <is>
          <t>无</t>
        </is>
      </c>
      <c r="BB10" t="inlineStr">
        <is>
          <t>无</t>
        </is>
      </c>
      <c r="BC10" t="inlineStr">
        <is>
          <t>无</t>
        </is>
      </c>
      <c r="BD10" t="inlineStr">
        <is>
          <t>无</t>
        </is>
      </c>
      <c r="BE10" t="inlineStr">
        <is>
          <t>无</t>
        </is>
      </c>
      <c r="BF10" t="inlineStr">
        <is>
          <t>无</t>
        </is>
      </c>
      <c r="BG10" t="inlineStr">
        <is>
          <t>无</t>
        </is>
      </c>
      <c r="BH10" t="inlineStr">
        <is>
          <t>无</t>
        </is>
      </c>
      <c r="BI10" t="inlineStr">
        <is>
          <t>无</t>
        </is>
      </c>
      <c r="BJ10" t="inlineStr">
        <is>
          <t>无</t>
        </is>
      </c>
      <c r="BK10" t="inlineStr">
        <is>
          <t>无</t>
        </is>
      </c>
      <c r="BL10" t="inlineStr">
        <is>
          <t>无</t>
        </is>
      </c>
      <c r="BM10" t="inlineStr">
        <is>
          <t>无</t>
        </is>
      </c>
      <c r="BN10" t="inlineStr">
        <is>
          <t>无</t>
        </is>
      </c>
      <c r="BO10" t="inlineStr">
        <is>
          <t>无</t>
        </is>
      </c>
      <c r="BP10" t="inlineStr">
        <is>
          <t>无</t>
        </is>
      </c>
      <c r="BQ10" t="inlineStr">
        <is>
          <t>无</t>
        </is>
      </c>
      <c r="BR10" t="inlineStr">
        <is>
          <t>无</t>
        </is>
      </c>
      <c r="BS10" t="inlineStr">
        <is>
          <t>无</t>
        </is>
      </c>
      <c r="BT10" t="inlineStr">
        <is>
          <t>无</t>
        </is>
      </c>
      <c r="BU10" t="inlineStr">
        <is>
          <t>无</t>
        </is>
      </c>
      <c r="BV10" t="inlineStr">
        <is>
          <t>无</t>
        </is>
      </c>
      <c r="BW10" t="inlineStr">
        <is>
          <t>无</t>
        </is>
      </c>
      <c r="BX10" t="inlineStr">
        <is>
          <t>无</t>
        </is>
      </c>
      <c r="BY10" t="inlineStr">
        <is>
          <t>无</t>
        </is>
      </c>
      <c r="BZ10" t="inlineStr">
        <is>
          <t>Coupon 10%</t>
        </is>
      </c>
      <c r="CA10" t="inlineStr">
        <is>
          <t>Coupon 10%</t>
        </is>
      </c>
      <c r="CB10" t="inlineStr">
        <is>
          <t>无</t>
        </is>
      </c>
      <c r="CC10" t="inlineStr">
        <is>
          <t>无</t>
        </is>
      </c>
      <c r="CD10" t="inlineStr">
        <is>
          <t>无</t>
        </is>
      </c>
      <c r="CE10" t="inlineStr">
        <is>
          <t>无</t>
        </is>
      </c>
      <c r="CF10" t="inlineStr">
        <is>
          <t>无</t>
        </is>
      </c>
      <c r="CG10" t="inlineStr">
        <is>
          <t>无</t>
        </is>
      </c>
      <c r="CH10" t="inlineStr">
        <is>
          <t>无</t>
        </is>
      </c>
      <c r="CI10" t="inlineStr">
        <is>
          <t>无</t>
        </is>
      </c>
      <c r="CJ10" t="inlineStr">
        <is>
          <t>无</t>
        </is>
      </c>
      <c r="CK10" t="inlineStr">
        <is>
          <t>Coupon 5%</t>
        </is>
      </c>
      <c r="CL10" t="inlineStr">
        <is>
          <t>Coupon 5%</t>
        </is>
      </c>
      <c r="CM10" t="inlineStr">
        <is>
          <t>Coupon 5%</t>
        </is>
      </c>
      <c r="CN10" t="inlineStr">
        <is>
          <t>Coupon 5%</t>
        </is>
      </c>
      <c r="CO10" t="inlineStr">
        <is>
          <t>Coupon 5%</t>
        </is>
      </c>
      <c r="CP10" t="inlineStr">
        <is>
          <t>无</t>
        </is>
      </c>
      <c r="CQ10" t="inlineStr">
        <is>
          <t>无</t>
        </is>
      </c>
      <c r="CR10" t="inlineStr">
        <is>
          <t>无</t>
        </is>
      </c>
      <c r="CS10" t="inlineStr">
        <is>
          <t>无</t>
        </is>
      </c>
      <c r="CT10" t="inlineStr">
        <is>
          <t>无</t>
        </is>
      </c>
      <c r="CU10" t="inlineStr">
        <is>
          <t>无</t>
        </is>
      </c>
      <c r="CV10" t="inlineStr">
        <is>
          <t>无</t>
        </is>
      </c>
      <c r="CW10" t="inlineStr">
        <is>
          <t>无</t>
        </is>
      </c>
      <c r="CX10" t="inlineStr">
        <is>
          <t>无</t>
        </is>
      </c>
      <c r="CY10" t="inlineStr">
        <is>
          <t>无</t>
        </is>
      </c>
      <c r="CZ10" t="inlineStr">
        <is>
          <t>无</t>
        </is>
      </c>
      <c r="DA10" t="inlineStr">
        <is>
          <t>无</t>
        </is>
      </c>
      <c r="DB10" t="inlineStr">
        <is>
          <t>无</t>
        </is>
      </c>
      <c r="DC10" t="inlineStr">
        <is>
          <t>Coupon 5%</t>
        </is>
      </c>
      <c r="DD10" t="inlineStr">
        <is>
          <t>Coupon 5%</t>
        </is>
      </c>
      <c r="DE10" t="inlineStr">
        <is>
          <t>无</t>
        </is>
      </c>
      <c r="DF10" t="inlineStr">
        <is>
          <t>无</t>
        </is>
      </c>
      <c r="DG10" t="inlineStr">
        <is>
          <t>无</t>
        </is>
      </c>
      <c r="DH10" t="inlineStr">
        <is>
          <t>无</t>
        </is>
      </c>
      <c r="DI10" t="inlineStr">
        <is>
          <t>无</t>
        </is>
      </c>
      <c r="DJ10" t="inlineStr">
        <is>
          <t>无</t>
        </is>
      </c>
      <c r="DK10" t="inlineStr">
        <is>
          <t>无</t>
        </is>
      </c>
      <c r="DL10" t="inlineStr">
        <is>
          <t>无</t>
        </is>
      </c>
      <c r="DM10" t="inlineStr">
        <is>
          <t>无</t>
        </is>
      </c>
      <c r="DN10" t="inlineStr">
        <is>
          <t>无</t>
        </is>
      </c>
      <c r="DO10" t="inlineStr">
        <is>
          <t>无</t>
        </is>
      </c>
      <c r="DP10" t="inlineStr">
        <is>
          <t>无</t>
        </is>
      </c>
      <c r="DQ10" t="inlineStr">
        <is>
          <t>无</t>
        </is>
      </c>
      <c r="DR10" t="inlineStr">
        <is>
          <t>无</t>
        </is>
      </c>
      <c r="DS10" t="inlineStr">
        <is>
          <t>无</t>
        </is>
      </c>
      <c r="DT10" t="inlineStr">
        <is>
          <t>无</t>
        </is>
      </c>
      <c r="DU10" t="inlineStr">
        <is>
          <t>无</t>
        </is>
      </c>
      <c r="DV10" t="inlineStr">
        <is>
          <t>无</t>
        </is>
      </c>
      <c r="DW10" t="inlineStr">
        <is>
          <t>无</t>
        </is>
      </c>
      <c r="DX10" t="inlineStr">
        <is>
          <t>无</t>
        </is>
      </c>
      <c r="DY10" t="inlineStr">
        <is>
          <t>无</t>
        </is>
      </c>
      <c r="DZ10" t="inlineStr">
        <is>
          <t>无</t>
        </is>
      </c>
      <c r="EA10" t="inlineStr">
        <is>
          <t>无</t>
        </is>
      </c>
      <c r="EB10" t="inlineStr">
        <is>
          <t>无</t>
        </is>
      </c>
      <c r="EC10" t="inlineStr">
        <is>
          <t>无</t>
        </is>
      </c>
      <c r="ED10" t="inlineStr">
        <is>
          <t>无</t>
        </is>
      </c>
      <c r="EE10" t="inlineStr">
        <is>
          <t>无</t>
        </is>
      </c>
      <c r="EF10" t="inlineStr">
        <is>
          <t>无</t>
        </is>
      </c>
      <c r="EG10" t="inlineStr">
        <is>
          <t>无</t>
        </is>
      </c>
      <c r="EH10"/>
      <c r="EI10"/>
      <c r="EJ10"/>
    </row>
    <row r="11" ht="25.5" customHeight="1">
      <c r="A11"/>
      <c r="B11" t="inlineStr">
        <is>
          <t>UK</t>
        </is>
      </c>
      <c r="C11" t="inlineStr">
        <is>
          <t>活动</t>
        </is>
      </c>
      <c r="D11" t="inlineStr">
        <is>
          <t>Funding 12，广告8，毛利6.27</t>
        </is>
      </c>
      <c r="E11" t="inlineStr">
        <is>
          <t>无</t>
        </is>
      </c>
      <c r="F11" t="inlineStr">
        <is>
          <t>无</t>
        </is>
      </c>
      <c r="G11" t="inlineStr">
        <is>
          <t>无</t>
        </is>
      </c>
      <c r="H11" t="inlineStr">
        <is>
          <t>VC BFCM, Funding 8.75￡</t>
        </is>
      </c>
      <c r="I11" t="inlineStr">
        <is>
          <t>VC BFCM, Funding 8.75￡</t>
        </is>
      </c>
      <c r="J11" t="inlineStr">
        <is>
          <t>VC BFCM, Funding 8.75￡</t>
        </is>
      </c>
      <c r="K11" t="inlineStr">
        <is>
          <t>VC BFCM, Funding 8.75￡</t>
        </is>
      </c>
      <c r="L11" t="inlineStr">
        <is>
          <t>VC BFCM, Funding 8.75￡</t>
        </is>
      </c>
      <c r="M11" t="inlineStr">
        <is>
          <t>VC BFCM, Funding 8.75￡</t>
        </is>
      </c>
      <c r="N11" t="inlineStr">
        <is>
          <t>VC BFCM, Funding 8.75￡</t>
        </is>
      </c>
      <c r="O11" t="inlineStr">
        <is>
          <t>VC BFCM, Funding 8.75￡</t>
        </is>
      </c>
      <c r="P11" t="inlineStr">
        <is>
          <t>VC BFCM, Funding 8.75￡</t>
        </is>
      </c>
      <c r="Q11" t="inlineStr">
        <is>
          <t>VC BFCM, Funding 8.75￡</t>
        </is>
      </c>
      <c r="R11" t="inlineStr">
        <is>
          <t>VC BFCM, Funding 8.75￡</t>
        </is>
      </c>
      <c r="S11" t="inlineStr">
        <is>
          <t>VC BFCM, Funding 8.75￡</t>
        </is>
      </c>
      <c r="T11" t="inlineStr">
        <is>
          <t>无</t>
        </is>
      </c>
      <c r="U11" t="inlineStr">
        <is>
          <t>无</t>
        </is>
      </c>
      <c r="V11" t="inlineStr">
        <is>
          <t>无</t>
        </is>
      </c>
      <c r="W11" t="inlineStr">
        <is>
          <t>无</t>
        </is>
      </c>
      <c r="X11" t="inlineStr">
        <is>
          <t>无</t>
        </is>
      </c>
      <c r="Y11" t="inlineStr">
        <is>
          <t>无</t>
        </is>
      </c>
      <c r="Z11" t="inlineStr">
        <is>
          <t>无</t>
        </is>
      </c>
      <c r="AA11" t="inlineStr">
        <is>
          <t>无</t>
        </is>
      </c>
      <c r="AB11" t="inlineStr">
        <is>
          <t>无</t>
        </is>
      </c>
      <c r="AC11" t="inlineStr">
        <is>
          <t>无</t>
        </is>
      </c>
      <c r="AD11" t="inlineStr">
        <is>
          <t>无</t>
        </is>
      </c>
      <c r="AE11" t="inlineStr">
        <is>
          <t>无</t>
        </is>
      </c>
      <c r="AF11" t="inlineStr">
        <is>
          <t>VC BD, Funding 8.75€(100pcs)</t>
        </is>
      </c>
      <c r="AG11" t="inlineStr">
        <is>
          <t>VC BD, Funding 8.75€(100pcs)</t>
        </is>
      </c>
      <c r="AH11" t="inlineStr">
        <is>
          <t>VC BD, Funding 8.75€(100pcs)</t>
        </is>
      </c>
      <c r="AI11" t="inlineStr">
        <is>
          <t>VC BD, Funding 8.75€(100pcs)</t>
        </is>
      </c>
      <c r="AJ11" t="inlineStr">
        <is>
          <t>VC BD, Funding 8.75€(100pcs)</t>
        </is>
      </c>
      <c r="AK11" t="inlineStr">
        <is>
          <t>VC BD, Funding 8.75€(100pcs)</t>
        </is>
      </c>
      <c r="AL11" t="inlineStr">
        <is>
          <t>VC BD, Funding 8.75€(100pcs)</t>
        </is>
      </c>
      <c r="AM11" t="inlineStr">
        <is>
          <t>VC BD, Funding 8.75€(100pcs)</t>
        </is>
      </c>
      <c r="AN11" t="inlineStr">
        <is>
          <t>VC BD, Funding 8.75€(100pcs)</t>
        </is>
      </c>
      <c r="AO11" t="inlineStr">
        <is>
          <t>VC BD, Funding 8.75€(100pcs)</t>
        </is>
      </c>
      <c r="AP11" t="inlineStr">
        <is>
          <t>VC BD, Funding 8.75€(100pcs)</t>
        </is>
      </c>
      <c r="AQ11" t="inlineStr">
        <is>
          <t>VC BD, Funding 8.75€(100pcs)</t>
        </is>
      </c>
      <c r="AR11" t="inlineStr">
        <is>
          <t>VC BD, Funding 8.75€(100pcs)</t>
        </is>
      </c>
      <c r="AS11" t="inlineStr">
        <is>
          <t>VC BD, Funding 8.75€(100pcs)</t>
        </is>
      </c>
      <c r="AT11" t="inlineStr">
        <is>
          <t>无</t>
        </is>
      </c>
      <c r="AU11" t="inlineStr">
        <is>
          <t>无</t>
        </is>
      </c>
      <c r="AV11" t="inlineStr">
        <is>
          <t>无</t>
        </is>
      </c>
      <c r="AW11" t="inlineStr">
        <is>
          <t>无</t>
        </is>
      </c>
      <c r="AX11" t="inlineStr">
        <is>
          <t>无</t>
        </is>
      </c>
      <c r="AY11" t="inlineStr">
        <is>
          <t>无</t>
        </is>
      </c>
      <c r="AZ11" t="inlineStr">
        <is>
          <t>无</t>
        </is>
      </c>
      <c r="BA11" t="inlineStr">
        <is>
          <t>无</t>
        </is>
      </c>
      <c r="BB11" t="inlineStr">
        <is>
          <t>无</t>
        </is>
      </c>
      <c r="BC11" t="inlineStr">
        <is>
          <t>无</t>
        </is>
      </c>
      <c r="BD11" t="inlineStr">
        <is>
          <t>无</t>
        </is>
      </c>
      <c r="BE11" t="inlineStr">
        <is>
          <t>无</t>
        </is>
      </c>
      <c r="BF11" t="inlineStr">
        <is>
          <t>无</t>
        </is>
      </c>
      <c r="BG11" t="inlineStr">
        <is>
          <t>无</t>
        </is>
      </c>
      <c r="BH11" t="inlineStr">
        <is>
          <t>无</t>
        </is>
      </c>
      <c r="BI11" t="inlineStr">
        <is>
          <t>无</t>
        </is>
      </c>
      <c r="BJ11" t="inlineStr">
        <is>
          <t>无</t>
        </is>
      </c>
      <c r="BK11" t="inlineStr">
        <is>
          <t>VC BD, Funding 9.33￡(150pcs)</t>
        </is>
      </c>
      <c r="BL11" t="inlineStr">
        <is>
          <t>VC BD, Funding 9.33￡(150pcs)</t>
        </is>
      </c>
      <c r="BM11" t="inlineStr">
        <is>
          <t>VC BD, Funding 9.33￡(150pcs)</t>
        </is>
      </c>
      <c r="BN11" t="inlineStr">
        <is>
          <t>VC BD, Funding 9.33￡(150pcs)</t>
        </is>
      </c>
      <c r="BO11" t="inlineStr">
        <is>
          <t>VC BD, Funding 9.33￡(150pcs)</t>
        </is>
      </c>
      <c r="BP11" t="inlineStr">
        <is>
          <t>VC BD, Funding 9.33￡(150pcs)</t>
        </is>
      </c>
      <c r="BQ11" t="inlineStr">
        <is>
          <t>VC BD, Funding 9.33￡(150pcs)</t>
        </is>
      </c>
      <c r="BR11" t="inlineStr">
        <is>
          <t>VC BD, Funding 9.33￡(150pcs)</t>
        </is>
      </c>
      <c r="BS11" t="inlineStr">
        <is>
          <t>VC BD, Funding 9.33￡(150pcs)</t>
        </is>
      </c>
      <c r="BT11" t="inlineStr">
        <is>
          <t>VC BD, Funding 9.33￡(150pcs)</t>
        </is>
      </c>
      <c r="BU11" t="inlineStr">
        <is>
          <t>VC BD, Funding 9.33￡(150pcs)</t>
        </is>
      </c>
      <c r="BV11" t="inlineStr">
        <is>
          <t>VC BD, Funding 9.33￡(150pcs)</t>
        </is>
      </c>
      <c r="BW11" t="inlineStr">
        <is>
          <t>VC BD, Funding 9.33￡(150pcs)</t>
        </is>
      </c>
      <c r="BX11" t="inlineStr">
        <is>
          <t>VC BD, Funding 9.33￡(150pcs)</t>
        </is>
      </c>
      <c r="BY11" t="inlineStr">
        <is>
          <t>VC BD, Funding 9.33￡(150pcs)</t>
        </is>
      </c>
      <c r="BZ11" t="inlineStr">
        <is>
          <t>无</t>
        </is>
      </c>
      <c r="CA11" t="inlineStr">
        <is>
          <t>无</t>
        </is>
      </c>
      <c r="CB11" t="inlineStr">
        <is>
          <t>无</t>
        </is>
      </c>
      <c r="CC11" t="inlineStr">
        <is>
          <t>无</t>
        </is>
      </c>
      <c r="CD11" t="inlineStr">
        <is>
          <t>无</t>
        </is>
      </c>
      <c r="CE11" t="inlineStr">
        <is>
          <t>无</t>
        </is>
      </c>
      <c r="CF11" t="inlineStr">
        <is>
          <t>无</t>
        </is>
      </c>
      <c r="CG11" t="inlineStr">
        <is>
          <t>无</t>
        </is>
      </c>
      <c r="CH11" t="inlineStr">
        <is>
          <t>无</t>
        </is>
      </c>
      <c r="CI11" t="inlineStr">
        <is>
          <t>无</t>
        </is>
      </c>
      <c r="CJ11" t="inlineStr">
        <is>
          <t>无</t>
        </is>
      </c>
      <c r="CK11" t="inlineStr">
        <is>
          <t>无</t>
        </is>
      </c>
      <c r="CL11" t="inlineStr">
        <is>
          <t>无</t>
        </is>
      </c>
      <c r="CM11" t="inlineStr">
        <is>
          <t>无</t>
        </is>
      </c>
      <c r="CN11" t="inlineStr">
        <is>
          <t>无</t>
        </is>
      </c>
      <c r="CO11" t="inlineStr">
        <is>
          <t>无</t>
        </is>
      </c>
      <c r="CP11" t="inlineStr">
        <is>
          <t>VC BD, Funding 9.33€(150pcs)</t>
        </is>
      </c>
      <c r="CQ11" t="inlineStr">
        <is>
          <t>VC BD, Funding 9.33€(150pcs)</t>
        </is>
      </c>
      <c r="CR11" t="inlineStr">
        <is>
          <t>VC BD, Funding 9.33€(150pcs)</t>
        </is>
      </c>
      <c r="CS11" t="inlineStr">
        <is>
          <t>VC BD, Funding 9.33€(150pcs)</t>
        </is>
      </c>
      <c r="CT11" t="inlineStr">
        <is>
          <t>VC BD, Funding 9.33€(150pcs)</t>
        </is>
      </c>
      <c r="CU11" t="inlineStr">
        <is>
          <t>VC BD, Funding 9.33€(150pcs)</t>
        </is>
      </c>
      <c r="CV11" t="inlineStr">
        <is>
          <t>VC BD, Funding 9.33€(150pcs)</t>
        </is>
      </c>
      <c r="CW11" t="inlineStr">
        <is>
          <t>VC BD, Funding 9.33€(150pcs)</t>
        </is>
      </c>
      <c r="CX11" t="inlineStr">
        <is>
          <t>VC BD, Funding 9.33€(150pcs)</t>
        </is>
      </c>
      <c r="CY11" t="inlineStr">
        <is>
          <t>VC BD, Funding 9.33€(150pcs)</t>
        </is>
      </c>
      <c r="CZ11" t="inlineStr">
        <is>
          <t>VC BD, Funding 9.33€(150pcs)</t>
        </is>
      </c>
      <c r="DA11" t="inlineStr">
        <is>
          <t>VC BD, Funding 9.33€(150pcs)</t>
        </is>
      </c>
      <c r="DB11" t="inlineStr">
        <is>
          <t>无</t>
        </is>
      </c>
      <c r="DC11" t="inlineStr">
        <is>
          <t>无</t>
        </is>
      </c>
      <c r="DD11" t="inlineStr">
        <is>
          <t>无</t>
        </is>
      </c>
      <c r="DE11" t="inlineStr">
        <is>
          <t>VC BD, Funding 10.42€(200pcs)</t>
        </is>
      </c>
      <c r="DF11" t="inlineStr">
        <is>
          <t>VC BD, Funding 10.42€(200pcs)</t>
        </is>
      </c>
      <c r="DG11" t="inlineStr">
        <is>
          <t>VC BD, Funding 10.42€(200pcs)</t>
        </is>
      </c>
      <c r="DH11" t="inlineStr">
        <is>
          <t>VC BD, Funding 10.42€(200pcs)</t>
        </is>
      </c>
      <c r="DI11" t="inlineStr">
        <is>
          <t>VC BD, Funding 10.42€(200pcs)</t>
        </is>
      </c>
      <c r="DJ11" t="inlineStr">
        <is>
          <t>VC BD, Funding 10.42€(200pcs)</t>
        </is>
      </c>
      <c r="DK11" t="inlineStr">
        <is>
          <t>VC BD, Funding 10.42€(200pcs)</t>
        </is>
      </c>
      <c r="DL11" t="inlineStr">
        <is>
          <t>VC BD, Funding 10.42€(200pcs)</t>
        </is>
      </c>
      <c r="DM11" t="inlineStr">
        <is>
          <t>VC BD, Funding 10.42€(200pcs)</t>
        </is>
      </c>
      <c r="DN11" t="inlineStr">
        <is>
          <t>VC BD, Funding 10.42€(200pcs)</t>
        </is>
      </c>
      <c r="DO11" t="inlineStr">
        <is>
          <t>VC BD, Funding 10.42€(200pcs)</t>
        </is>
      </c>
      <c r="DP11" t="inlineStr">
        <is>
          <t>VC BD, Funding 10.42€(200pcs)</t>
        </is>
      </c>
      <c r="DQ11" t="inlineStr">
        <is>
          <t>VC BD, Funding 10.42€(200pcs)</t>
        </is>
      </c>
      <c r="DR11" t="inlineStr">
        <is>
          <t>VC BD, Funding 10.42€(200pcs)</t>
        </is>
      </c>
      <c r="DS11" t="inlineStr">
        <is>
          <t>无</t>
        </is>
      </c>
      <c r="DT11" t="inlineStr">
        <is>
          <t>无</t>
        </is>
      </c>
      <c r="DU11" t="inlineStr">
        <is>
          <t>无</t>
        </is>
      </c>
      <c r="DV11" t="inlineStr">
        <is>
          <t>无</t>
        </is>
      </c>
      <c r="DW11" t="inlineStr">
        <is>
          <t>无</t>
        </is>
      </c>
      <c r="DX11" t="inlineStr">
        <is>
          <t>无</t>
        </is>
      </c>
      <c r="DY11" t="inlineStr">
        <is>
          <t>无</t>
        </is>
      </c>
      <c r="DZ11" t="inlineStr">
        <is>
          <t>无</t>
        </is>
      </c>
      <c r="EA11" t="inlineStr">
        <is>
          <t>无</t>
        </is>
      </c>
      <c r="EB11" t="inlineStr">
        <is>
          <t>无</t>
        </is>
      </c>
      <c r="EC11" t="inlineStr">
        <is>
          <t>无</t>
        </is>
      </c>
      <c r="ED11" t="inlineStr">
        <is>
          <t>无</t>
        </is>
      </c>
      <c r="EE11" t="inlineStr">
        <is>
          <t>无</t>
        </is>
      </c>
      <c r="EF11" t="inlineStr">
        <is>
          <t>无</t>
        </is>
      </c>
      <c r="EG11" t="inlineStr">
        <is>
          <t>无</t>
        </is>
      </c>
      <c r="EH11"/>
      <c r="EI11"/>
      <c r="EJ11"/>
    </row>
    <row r="12" ht="25.5" customHeight="1">
      <c r="A12"/>
      <c r="B12" t="inlineStr">
        <is>
          <t>DE</t>
        </is>
      </c>
      <c r="C12" t="inlineStr">
        <is>
          <t>优惠券</t>
        </is>
      </c>
      <c r="D12" t="inlineStr">
        <is>
          <t>0.15</t>
        </is>
      </c>
      <c r="E12" t="inlineStr">
        <is>
          <t>无</t>
        </is>
      </c>
      <c r="F12" t="inlineStr">
        <is>
          <t>无</t>
        </is>
      </c>
      <c r="G12" t="inlineStr">
        <is>
          <t>无</t>
        </is>
      </c>
      <c r="H12" t="inlineStr">
        <is>
          <t>VC BFCM, Funding 8.75￡</t>
        </is>
      </c>
      <c r="I12" t="inlineStr">
        <is>
          <t>VC BFCM, Funding 8.75￡</t>
        </is>
      </c>
      <c r="J12" t="inlineStr">
        <is>
          <t>VC BFCM, Funding 8.75￡</t>
        </is>
      </c>
      <c r="K12" t="inlineStr">
        <is>
          <t>VC BFCM, Funding 8.75￡</t>
        </is>
      </c>
      <c r="L12" t="inlineStr">
        <is>
          <t>VC BFCM, Funding 8.75￡</t>
        </is>
      </c>
      <c r="M12" t="inlineStr">
        <is>
          <t>VC BFCM, Funding 8.75￡</t>
        </is>
      </c>
      <c r="N12" t="inlineStr">
        <is>
          <t>VC BFCM, Funding 8.75￡</t>
        </is>
      </c>
      <c r="O12" t="inlineStr">
        <is>
          <t>VC BFCM, Funding 8.75￡</t>
        </is>
      </c>
      <c r="P12" t="inlineStr">
        <is>
          <t>VC BFCM, Funding 8.75￡</t>
        </is>
      </c>
      <c r="Q12" t="inlineStr">
        <is>
          <t>VC BFCM, Funding 8.75￡</t>
        </is>
      </c>
      <c r="R12" t="inlineStr">
        <is>
          <t>VC BFCM, Funding 8.75￡</t>
        </is>
      </c>
      <c r="S12" t="inlineStr">
        <is>
          <t>VC BFCM, Funding 8.75￡</t>
        </is>
      </c>
      <c r="T12" t="inlineStr">
        <is>
          <t>无</t>
        </is>
      </c>
      <c r="U12" t="inlineStr">
        <is>
          <t>无</t>
        </is>
      </c>
      <c r="V12" t="inlineStr">
        <is>
          <t>无</t>
        </is>
      </c>
      <c r="W12" t="inlineStr">
        <is>
          <t>无</t>
        </is>
      </c>
      <c r="X12" t="inlineStr">
        <is>
          <t>无</t>
        </is>
      </c>
      <c r="Y12" t="inlineStr">
        <is>
          <t>无</t>
        </is>
      </c>
      <c r="Z12" t="inlineStr">
        <is>
          <t>无</t>
        </is>
      </c>
      <c r="AA12" t="inlineStr">
        <is>
          <t>无</t>
        </is>
      </c>
      <c r="AB12" t="inlineStr">
        <is>
          <t>无</t>
        </is>
      </c>
      <c r="AC12" t="inlineStr">
        <is>
          <t>无</t>
        </is>
      </c>
      <c r="AD12" t="inlineStr">
        <is>
          <t>无</t>
        </is>
      </c>
      <c r="AE12" t="inlineStr">
        <is>
          <t>无</t>
        </is>
      </c>
      <c r="AF12" t="inlineStr">
        <is>
          <t>VC BD, Funding 8.75€(100pcs)</t>
        </is>
      </c>
      <c r="AG12" t="inlineStr">
        <is>
          <t>VC BD, Funding 8.75€(100pcs)</t>
        </is>
      </c>
      <c r="AH12" t="inlineStr">
        <is>
          <t>VC BD, Funding 8.75€(100pcs)</t>
        </is>
      </c>
      <c r="AI12" t="inlineStr">
        <is>
          <t>VC BD, Funding 8.75€(100pcs)</t>
        </is>
      </c>
      <c r="AJ12" t="inlineStr">
        <is>
          <t>VC BD, Funding 8.75€(100pcs)</t>
        </is>
      </c>
      <c r="AK12" t="inlineStr">
        <is>
          <t>VC BD, Funding 8.75€(100pcs)</t>
        </is>
      </c>
      <c r="AL12" t="inlineStr">
        <is>
          <t>VC BD, Funding 8.75€(100pcs)</t>
        </is>
      </c>
      <c r="AM12" t="inlineStr">
        <is>
          <t>VC BD, Funding 8.75€(100pcs)</t>
        </is>
      </c>
      <c r="AN12" t="inlineStr">
        <is>
          <t>VC BD, Funding 8.75€(100pcs)</t>
        </is>
      </c>
      <c r="AO12" t="inlineStr">
        <is>
          <t>VC BD, Funding 8.75€(100pcs)</t>
        </is>
      </c>
      <c r="AP12" t="inlineStr">
        <is>
          <t>VC BD, Funding 8.75€(100pcs)</t>
        </is>
      </c>
      <c r="AQ12" t="inlineStr">
        <is>
          <t>VC BD, Funding 8.75€(100pcs)</t>
        </is>
      </c>
      <c r="AR12" t="inlineStr">
        <is>
          <t>VC BD, Funding 8.75€(100pcs)</t>
        </is>
      </c>
      <c r="AS12" t="inlineStr">
        <is>
          <t>VC BD, Funding 8.75€(100pcs)</t>
        </is>
      </c>
      <c r="AT12" t="inlineStr">
        <is>
          <t>无</t>
        </is>
      </c>
      <c r="AU12" t="inlineStr">
        <is>
          <t>无</t>
        </is>
      </c>
      <c r="AV12" t="inlineStr">
        <is>
          <t>无</t>
        </is>
      </c>
      <c r="AW12" t="inlineStr">
        <is>
          <t>无</t>
        </is>
      </c>
      <c r="AX12" t="inlineStr">
        <is>
          <t>无</t>
        </is>
      </c>
      <c r="AY12" t="inlineStr">
        <is>
          <t>无</t>
        </is>
      </c>
      <c r="AZ12" t="inlineStr">
        <is>
          <t>无</t>
        </is>
      </c>
      <c r="BA12" t="inlineStr">
        <is>
          <t>无</t>
        </is>
      </c>
      <c r="BB12" t="inlineStr">
        <is>
          <t>无</t>
        </is>
      </c>
      <c r="BC12" t="inlineStr">
        <is>
          <t>无</t>
        </is>
      </c>
      <c r="BD12" t="inlineStr">
        <is>
          <t>无</t>
        </is>
      </c>
      <c r="BE12" t="inlineStr">
        <is>
          <t>无</t>
        </is>
      </c>
      <c r="BF12" t="inlineStr">
        <is>
          <t>无</t>
        </is>
      </c>
      <c r="BG12" t="inlineStr">
        <is>
          <t>无</t>
        </is>
      </c>
      <c r="BH12" t="inlineStr">
        <is>
          <t>无</t>
        </is>
      </c>
      <c r="BI12" t="inlineStr">
        <is>
          <t>无</t>
        </is>
      </c>
      <c r="BJ12" t="inlineStr">
        <is>
          <t>无</t>
        </is>
      </c>
      <c r="BK12" t="inlineStr">
        <is>
          <t>无</t>
        </is>
      </c>
      <c r="BL12" t="inlineStr">
        <is>
          <t>无</t>
        </is>
      </c>
      <c r="BM12" t="inlineStr">
        <is>
          <t>COUPON 10%</t>
        </is>
      </c>
      <c r="BN12" t="inlineStr">
        <is>
          <t>COUPON 10%</t>
        </is>
      </c>
      <c r="BO12" t="inlineStr">
        <is>
          <t>COUPON 10%</t>
        </is>
      </c>
      <c r="BP12" t="inlineStr">
        <is>
          <t>无</t>
        </is>
      </c>
      <c r="BQ12" t="inlineStr">
        <is>
          <t>无</t>
        </is>
      </c>
      <c r="BR12" t="inlineStr">
        <is>
          <t>无</t>
        </is>
      </c>
      <c r="BS12" t="inlineStr">
        <is>
          <t>无</t>
        </is>
      </c>
      <c r="BT12" t="inlineStr">
        <is>
          <t>无</t>
        </is>
      </c>
      <c r="BU12" t="inlineStr">
        <is>
          <t>无</t>
        </is>
      </c>
      <c r="BV12" t="inlineStr">
        <is>
          <t>无</t>
        </is>
      </c>
      <c r="BW12" t="inlineStr">
        <is>
          <t>无</t>
        </is>
      </c>
      <c r="BX12" t="inlineStr">
        <is>
          <t>无</t>
        </is>
      </c>
      <c r="BY12" t="inlineStr">
        <is>
          <t>无</t>
        </is>
      </c>
      <c r="BZ12" t="inlineStr">
        <is>
          <t>无</t>
        </is>
      </c>
      <c r="CA12" t="inlineStr">
        <is>
          <t>无</t>
        </is>
      </c>
      <c r="CB12" t="inlineStr">
        <is>
          <t>无</t>
        </is>
      </c>
      <c r="CC12" t="inlineStr">
        <is>
          <t>无</t>
        </is>
      </c>
      <c r="CD12" t="inlineStr">
        <is>
          <t>无</t>
        </is>
      </c>
      <c r="CE12" t="inlineStr">
        <is>
          <t>无</t>
        </is>
      </c>
      <c r="CF12" t="inlineStr">
        <is>
          <t>无</t>
        </is>
      </c>
      <c r="CG12" t="inlineStr">
        <is>
          <t>无</t>
        </is>
      </c>
      <c r="CH12" t="inlineStr">
        <is>
          <t>无</t>
        </is>
      </c>
      <c r="CI12" t="inlineStr">
        <is>
          <t>无</t>
        </is>
      </c>
      <c r="CJ12" t="inlineStr">
        <is>
          <t>无</t>
        </is>
      </c>
      <c r="CK12" t="inlineStr">
        <is>
          <t>无</t>
        </is>
      </c>
      <c r="CL12" t="inlineStr">
        <is>
          <t>无</t>
        </is>
      </c>
      <c r="CM12" t="inlineStr">
        <is>
          <t>Coupon 5%</t>
        </is>
      </c>
      <c r="CN12" t="inlineStr">
        <is>
          <t>Coupon 5%</t>
        </is>
      </c>
      <c r="CO12" t="inlineStr">
        <is>
          <t>Coupon 5%</t>
        </is>
      </c>
      <c r="CP12" t="inlineStr">
        <is>
          <t>Coupon 5%</t>
        </is>
      </c>
      <c r="CQ12" t="inlineStr">
        <is>
          <t>Coupon 5%</t>
        </is>
      </c>
      <c r="CR12" t="inlineStr">
        <is>
          <t>Coupon 5%</t>
        </is>
      </c>
      <c r="CS12" t="inlineStr">
        <is>
          <t>Coupon 5%</t>
        </is>
      </c>
      <c r="CT12" t="inlineStr">
        <is>
          <t>Coupon 5%</t>
        </is>
      </c>
      <c r="CU12" t="inlineStr">
        <is>
          <t>Coupon 5%</t>
        </is>
      </c>
      <c r="CV12" t="inlineStr">
        <is>
          <t>Coupon 5%</t>
        </is>
      </c>
      <c r="CW12" t="inlineStr">
        <is>
          <t>Coupon 5%</t>
        </is>
      </c>
      <c r="CX12" t="inlineStr">
        <is>
          <t>Coupon 5%</t>
        </is>
      </c>
      <c r="CY12" t="inlineStr">
        <is>
          <t>Coupon 5%</t>
        </is>
      </c>
      <c r="CZ12" t="inlineStr">
        <is>
          <t>Coupon 5%</t>
        </is>
      </c>
      <c r="DA12" t="inlineStr">
        <is>
          <t>Coupon 5%</t>
        </is>
      </c>
      <c r="DB12" t="inlineStr">
        <is>
          <t>无</t>
        </is>
      </c>
      <c r="DC12" t="inlineStr">
        <is>
          <t>无</t>
        </is>
      </c>
      <c r="DD12" t="inlineStr">
        <is>
          <t>无</t>
        </is>
      </c>
      <c r="DE12" t="inlineStr">
        <is>
          <t>无</t>
        </is>
      </c>
      <c r="DF12" t="inlineStr">
        <is>
          <t>无</t>
        </is>
      </c>
      <c r="DG12" t="inlineStr">
        <is>
          <t>无</t>
        </is>
      </c>
      <c r="DH12" t="inlineStr">
        <is>
          <t>无</t>
        </is>
      </c>
      <c r="DI12" t="inlineStr">
        <is>
          <t>无</t>
        </is>
      </c>
      <c r="DJ12" t="inlineStr">
        <is>
          <t>无</t>
        </is>
      </c>
      <c r="DK12" t="inlineStr">
        <is>
          <t>无</t>
        </is>
      </c>
      <c r="DL12" t="inlineStr">
        <is>
          <t>无</t>
        </is>
      </c>
      <c r="DM12" t="inlineStr">
        <is>
          <t>无</t>
        </is>
      </c>
      <c r="DN12" t="inlineStr">
        <is>
          <t>无</t>
        </is>
      </c>
      <c r="DO12" t="inlineStr">
        <is>
          <t>无</t>
        </is>
      </c>
      <c r="DP12" t="inlineStr">
        <is>
          <t>无</t>
        </is>
      </c>
      <c r="DQ12" t="inlineStr">
        <is>
          <t>无</t>
        </is>
      </c>
      <c r="DR12" t="inlineStr">
        <is>
          <t>无</t>
        </is>
      </c>
      <c r="DS12" t="inlineStr">
        <is>
          <t>无</t>
        </is>
      </c>
      <c r="DT12" t="inlineStr">
        <is>
          <t>无</t>
        </is>
      </c>
      <c r="DU12" t="inlineStr">
        <is>
          <t>无</t>
        </is>
      </c>
      <c r="DV12" t="inlineStr">
        <is>
          <t>无</t>
        </is>
      </c>
      <c r="DW12" t="inlineStr">
        <is>
          <t>无</t>
        </is>
      </c>
      <c r="DX12" t="inlineStr">
        <is>
          <t>无</t>
        </is>
      </c>
      <c r="DY12" t="inlineStr">
        <is>
          <t>无</t>
        </is>
      </c>
      <c r="DZ12" t="inlineStr">
        <is>
          <t>无</t>
        </is>
      </c>
      <c r="EA12" t="inlineStr">
        <is>
          <t>无</t>
        </is>
      </c>
      <c r="EB12" t="inlineStr">
        <is>
          <t>无</t>
        </is>
      </c>
      <c r="EC12" t="inlineStr">
        <is>
          <t>无</t>
        </is>
      </c>
      <c r="ED12" t="inlineStr">
        <is>
          <t>无</t>
        </is>
      </c>
      <c r="EE12" t="inlineStr">
        <is>
          <t>无</t>
        </is>
      </c>
      <c r="EF12" t="inlineStr">
        <is>
          <t>无</t>
        </is>
      </c>
      <c r="EG12" t="inlineStr">
        <is>
          <t>无</t>
        </is>
      </c>
      <c r="EH12"/>
      <c r="EI12"/>
      <c r="EJ12"/>
    </row>
    <row r="13" ht="25.5" customHeight="1">
      <c r="A13"/>
      <c r="B13" t="inlineStr">
        <is>
          <t>DE</t>
        </is>
      </c>
      <c r="C13" t="inlineStr">
        <is>
          <t>活动</t>
        </is>
      </c>
      <c r="D13" t="inlineStr">
        <is>
          <t>Funding 7.5，广告5，毛利1.74</t>
        </is>
      </c>
      <c r="E13" t="inlineStr">
        <is>
          <t>无</t>
        </is>
      </c>
      <c r="F13" t="inlineStr">
        <is>
          <t>无</t>
        </is>
      </c>
      <c r="G13" t="inlineStr">
        <is>
          <t>无</t>
        </is>
      </c>
      <c r="H13" t="inlineStr">
        <is>
          <t>VC BFCM, Funding 8.75￡</t>
        </is>
      </c>
      <c r="I13" t="inlineStr">
        <is>
          <t>VC BFCM, Funding 8.75￡</t>
        </is>
      </c>
      <c r="J13" t="inlineStr">
        <is>
          <t>VC BFCM, Funding 8.75￡</t>
        </is>
      </c>
      <c r="K13" t="inlineStr">
        <is>
          <t>VC BFCM, Funding 8.75￡</t>
        </is>
      </c>
      <c r="L13" t="inlineStr">
        <is>
          <t>VC BFCM, Funding 8.75￡</t>
        </is>
      </c>
      <c r="M13" t="inlineStr">
        <is>
          <t>VC BFCM, Funding 8.75￡</t>
        </is>
      </c>
      <c r="N13" t="inlineStr">
        <is>
          <t>VC BFCM, Funding 8.75￡</t>
        </is>
      </c>
      <c r="O13" t="inlineStr">
        <is>
          <t>VC BFCM, Funding 8.75￡</t>
        </is>
      </c>
      <c r="P13" t="inlineStr">
        <is>
          <t>VC BFCM, Funding 8.75￡</t>
        </is>
      </c>
      <c r="Q13" t="inlineStr">
        <is>
          <t>VC BFCM, Funding 8.75￡</t>
        </is>
      </c>
      <c r="R13" t="inlineStr">
        <is>
          <t>VC BFCM, Funding 8.75￡</t>
        </is>
      </c>
      <c r="S13" t="inlineStr">
        <is>
          <t>VC BFCM, Funding 8.75￡</t>
        </is>
      </c>
      <c r="T13" t="inlineStr">
        <is>
          <t>无</t>
        </is>
      </c>
      <c r="U13" t="inlineStr">
        <is>
          <t>无</t>
        </is>
      </c>
      <c r="V13" t="inlineStr">
        <is>
          <t>无</t>
        </is>
      </c>
      <c r="W13" t="inlineStr">
        <is>
          <t>无</t>
        </is>
      </c>
      <c r="X13" t="inlineStr">
        <is>
          <t>无</t>
        </is>
      </c>
      <c r="Y13" t="inlineStr">
        <is>
          <t>无</t>
        </is>
      </c>
      <c r="Z13" t="inlineStr">
        <is>
          <t>无</t>
        </is>
      </c>
      <c r="AA13" t="inlineStr">
        <is>
          <t>无</t>
        </is>
      </c>
      <c r="AB13" t="inlineStr">
        <is>
          <t>无</t>
        </is>
      </c>
      <c r="AC13" t="inlineStr">
        <is>
          <t>无</t>
        </is>
      </c>
      <c r="AD13" t="inlineStr">
        <is>
          <t>无</t>
        </is>
      </c>
      <c r="AE13" t="inlineStr">
        <is>
          <t>无</t>
        </is>
      </c>
      <c r="AF13" t="inlineStr">
        <is>
          <t>VC BD, Funding 8.75€(100pcs)</t>
        </is>
      </c>
      <c r="AG13" t="inlineStr">
        <is>
          <t>VC BD, Funding 8.75€(100pcs)</t>
        </is>
      </c>
      <c r="AH13" t="inlineStr">
        <is>
          <t>VC BD, Funding 8.75€(100pcs)</t>
        </is>
      </c>
      <c r="AI13" t="inlineStr">
        <is>
          <t>VC BD, Funding 8.75€(100pcs)</t>
        </is>
      </c>
      <c r="AJ13" t="inlineStr">
        <is>
          <t>VC BD, Funding 8.75€(100pcs)</t>
        </is>
      </c>
      <c r="AK13" t="inlineStr">
        <is>
          <t>VC BD, Funding 8.75€(100pcs)</t>
        </is>
      </c>
      <c r="AL13" t="inlineStr">
        <is>
          <t>VC BD, Funding 8.75€(100pcs)</t>
        </is>
      </c>
      <c r="AM13" t="inlineStr">
        <is>
          <t>VC BD, Funding 8.75€(100pcs)</t>
        </is>
      </c>
      <c r="AN13" t="inlineStr">
        <is>
          <t>VC BD, Funding 8.75€(100pcs)</t>
        </is>
      </c>
      <c r="AO13" t="inlineStr">
        <is>
          <t>VC BD, Funding 8.75€(100pcs)</t>
        </is>
      </c>
      <c r="AP13" t="inlineStr">
        <is>
          <t>VC BD, Funding 8.75€(100pcs)</t>
        </is>
      </c>
      <c r="AQ13" t="inlineStr">
        <is>
          <t>VC BD, Funding 8.75€(100pcs)</t>
        </is>
      </c>
      <c r="AR13" t="inlineStr">
        <is>
          <t>VC BD, Funding 8.75€(100pcs)</t>
        </is>
      </c>
      <c r="AS13" t="inlineStr">
        <is>
          <t>VC BD, Funding 8.75€(100pcs)</t>
        </is>
      </c>
      <c r="AT13" t="inlineStr">
        <is>
          <t>无</t>
        </is>
      </c>
      <c r="AU13" t="inlineStr">
        <is>
          <t>无</t>
        </is>
      </c>
      <c r="AV13" t="inlineStr">
        <is>
          <t>无</t>
        </is>
      </c>
      <c r="AW13" t="inlineStr">
        <is>
          <t>无</t>
        </is>
      </c>
      <c r="AX13" t="inlineStr">
        <is>
          <t>无</t>
        </is>
      </c>
      <c r="AY13" t="inlineStr">
        <is>
          <t>无</t>
        </is>
      </c>
      <c r="AZ13" t="inlineStr">
        <is>
          <t>无</t>
        </is>
      </c>
      <c r="BA13" t="inlineStr">
        <is>
          <t>无</t>
        </is>
      </c>
      <c r="BB13" t="inlineStr">
        <is>
          <t>无</t>
        </is>
      </c>
      <c r="BC13" t="inlineStr">
        <is>
          <t>无</t>
        </is>
      </c>
      <c r="BD13" t="inlineStr">
        <is>
          <t>无</t>
        </is>
      </c>
      <c r="BE13" t="inlineStr">
        <is>
          <t>无</t>
        </is>
      </c>
      <c r="BF13" t="inlineStr">
        <is>
          <t>无</t>
        </is>
      </c>
      <c r="BG13" t="inlineStr">
        <is>
          <t>无</t>
        </is>
      </c>
      <c r="BH13" t="inlineStr">
        <is>
          <t>无</t>
        </is>
      </c>
      <c r="BI13" t="inlineStr">
        <is>
          <t>无</t>
        </is>
      </c>
      <c r="BJ13" t="inlineStr">
        <is>
          <t>无</t>
        </is>
      </c>
      <c r="BK13" t="inlineStr">
        <is>
          <t>无</t>
        </is>
      </c>
      <c r="BL13" t="inlineStr">
        <is>
          <t>无</t>
        </is>
      </c>
      <c r="BM13" t="inlineStr">
        <is>
          <t>无</t>
        </is>
      </c>
      <c r="BN13" t="inlineStr">
        <is>
          <t>无</t>
        </is>
      </c>
      <c r="BO13" t="inlineStr">
        <is>
          <t>无</t>
        </is>
      </c>
      <c r="BP13" t="inlineStr">
        <is>
          <t>VC BD, Funding 7.56￡(50pcs)</t>
        </is>
      </c>
      <c r="BQ13" t="inlineStr">
        <is>
          <t>VC BD, Funding 7.56￡(50pcs)</t>
        </is>
      </c>
      <c r="BR13" t="inlineStr">
        <is>
          <t>VC BD, Funding 7.56￡(50pcs)</t>
        </is>
      </c>
      <c r="BS13" t="inlineStr">
        <is>
          <t>VC BD, Funding 7.56￡(50pcs)</t>
        </is>
      </c>
      <c r="BT13" t="inlineStr">
        <is>
          <t>VC BD, Funding 7.56￡(50pcs)</t>
        </is>
      </c>
      <c r="BU13" t="inlineStr">
        <is>
          <t>VC BD, Funding 7.56￡(50pcs)</t>
        </is>
      </c>
      <c r="BV13" t="inlineStr">
        <is>
          <t>VC BD, Funding 7.56￡(50pcs)</t>
        </is>
      </c>
      <c r="BW13" t="inlineStr">
        <is>
          <t>VC BD, Funding 7.56￡(50pcs)</t>
        </is>
      </c>
      <c r="BX13" t="inlineStr">
        <is>
          <t>VC BD, Funding 7.56￡(50pcs)</t>
        </is>
      </c>
      <c r="BY13" t="inlineStr">
        <is>
          <t>VC BD, Funding 7.56￡(50pcs)</t>
        </is>
      </c>
      <c r="BZ13" t="inlineStr">
        <is>
          <t>VC BD, Funding 7.56￡(50pcs)</t>
        </is>
      </c>
      <c r="CA13" t="inlineStr">
        <is>
          <t>VC BD, Funding 7.56￡(50pcs)</t>
        </is>
      </c>
      <c r="CB13" t="inlineStr">
        <is>
          <t>VC BD, Funding 7.56￡(50pcs)</t>
        </is>
      </c>
      <c r="CC13" t="inlineStr">
        <is>
          <t>无</t>
        </is>
      </c>
      <c r="CD13" t="inlineStr">
        <is>
          <t>无</t>
        </is>
      </c>
      <c r="CE13" t="inlineStr">
        <is>
          <t>无</t>
        </is>
      </c>
      <c r="CF13" t="inlineStr">
        <is>
          <t>VC BD, Funding 7.5€(50pcs)</t>
        </is>
      </c>
      <c r="CG13" t="inlineStr">
        <is>
          <t>VC BD, Funding 7.5€(50pcs)</t>
        </is>
      </c>
      <c r="CH13" t="inlineStr">
        <is>
          <t>VC BD, Funding 7.5€(50pcs)</t>
        </is>
      </c>
      <c r="CI13" t="inlineStr">
        <is>
          <t>VC BD, Funding 7.5€(50pcs)</t>
        </is>
      </c>
      <c r="CJ13" t="inlineStr">
        <is>
          <t>VC BD, Funding 7.5€(50pcs)</t>
        </is>
      </c>
      <c r="CK13" t="inlineStr">
        <is>
          <t>VC BD, Funding 7.5€(50pcs)</t>
        </is>
      </c>
      <c r="CL13" t="inlineStr">
        <is>
          <t>VC BD, Funding 7.5€(50pcs)</t>
        </is>
      </c>
      <c r="CM13" t="inlineStr">
        <is>
          <t>无</t>
        </is>
      </c>
      <c r="CN13" t="inlineStr">
        <is>
          <t>无</t>
        </is>
      </c>
      <c r="CO13" t="inlineStr">
        <is>
          <t>无</t>
        </is>
      </c>
      <c r="CP13" t="inlineStr">
        <is>
          <t>无</t>
        </is>
      </c>
      <c r="CQ13" t="inlineStr">
        <is>
          <t>无</t>
        </is>
      </c>
      <c r="CR13" t="inlineStr">
        <is>
          <t>无</t>
        </is>
      </c>
      <c r="CS13" t="inlineStr">
        <is>
          <t>无</t>
        </is>
      </c>
      <c r="CT13" t="inlineStr">
        <is>
          <t>无</t>
        </is>
      </c>
      <c r="CU13" t="inlineStr">
        <is>
          <t>无</t>
        </is>
      </c>
      <c r="CV13" t="inlineStr">
        <is>
          <t>无</t>
        </is>
      </c>
      <c r="CW13" t="inlineStr">
        <is>
          <t>无</t>
        </is>
      </c>
      <c r="CX13" t="inlineStr">
        <is>
          <t>无</t>
        </is>
      </c>
      <c r="CY13" t="inlineStr">
        <is>
          <t>无</t>
        </is>
      </c>
      <c r="CZ13" t="inlineStr">
        <is>
          <t>无</t>
        </is>
      </c>
      <c r="DA13" t="inlineStr">
        <is>
          <t>无</t>
        </is>
      </c>
      <c r="DB13" t="inlineStr">
        <is>
          <t>无</t>
        </is>
      </c>
      <c r="DC13" t="inlineStr">
        <is>
          <t>无</t>
        </is>
      </c>
      <c r="DD13" t="inlineStr">
        <is>
          <t>无</t>
        </is>
      </c>
      <c r="DE13" t="inlineStr">
        <is>
          <t>无</t>
        </is>
      </c>
      <c r="DF13" t="inlineStr">
        <is>
          <t>无</t>
        </is>
      </c>
      <c r="DG13" t="inlineStr">
        <is>
          <t>无</t>
        </is>
      </c>
      <c r="DH13" t="inlineStr">
        <is>
          <t>无</t>
        </is>
      </c>
      <c r="DI13" t="inlineStr">
        <is>
          <t>无</t>
        </is>
      </c>
      <c r="DJ13" t="inlineStr">
        <is>
          <t>VC BD, Funding 6.31€(100pcs)</t>
        </is>
      </c>
      <c r="DK13" t="inlineStr">
        <is>
          <t>VC BD, Funding 6.31€(100pcs)</t>
        </is>
      </c>
      <c r="DL13" t="inlineStr">
        <is>
          <t>VC BD, Funding 6.31€(100pcs)</t>
        </is>
      </c>
      <c r="DM13" t="inlineStr">
        <is>
          <t>VC BD, Funding 6.31€(100pcs)</t>
        </is>
      </c>
      <c r="DN13" t="inlineStr">
        <is>
          <t>VC BD, Funding 6.31€(100pcs)</t>
        </is>
      </c>
      <c r="DO13" t="inlineStr">
        <is>
          <t>VC BD, Funding 6.31€(100pcs)</t>
        </is>
      </c>
      <c r="DP13" t="inlineStr">
        <is>
          <t>VC BD, Funding 6.31€(100pcs)</t>
        </is>
      </c>
      <c r="DQ13" t="inlineStr">
        <is>
          <t>VC BD, Funding 6.31€(100pcs)</t>
        </is>
      </c>
      <c r="DR13" t="inlineStr">
        <is>
          <t>VC BD, Funding 6.31€(100pcs)</t>
        </is>
      </c>
      <c r="DS13" t="inlineStr">
        <is>
          <t>VC BD, Funding 6.31€(100pcs)</t>
        </is>
      </c>
      <c r="DT13" t="inlineStr">
        <is>
          <t>VC BD, Funding 6.31€(100pcs)</t>
        </is>
      </c>
      <c r="DU13" t="inlineStr">
        <is>
          <t>VC BD, Funding 6.31€(100pcs)</t>
        </is>
      </c>
      <c r="DV13" t="inlineStr">
        <is>
          <t>VC BD, Funding 6.31€(100pcs)</t>
        </is>
      </c>
      <c r="DW13" t="inlineStr">
        <is>
          <t>VC BD, Funding 6.31€(100pcs)</t>
        </is>
      </c>
      <c r="DX13" t="inlineStr">
        <is>
          <t>无</t>
        </is>
      </c>
      <c r="DY13" t="inlineStr">
        <is>
          <t>无</t>
        </is>
      </c>
      <c r="DZ13" t="inlineStr">
        <is>
          <t>无</t>
        </is>
      </c>
      <c r="EA13" t="inlineStr">
        <is>
          <t>无</t>
        </is>
      </c>
      <c r="EB13" t="inlineStr">
        <is>
          <t>无</t>
        </is>
      </c>
      <c r="EC13" t="inlineStr">
        <is>
          <t>无</t>
        </is>
      </c>
      <c r="ED13" t="inlineStr">
        <is>
          <t>无</t>
        </is>
      </c>
      <c r="EE13" t="inlineStr">
        <is>
          <t>无</t>
        </is>
      </c>
      <c r="EF13" t="inlineStr">
        <is>
          <t>无</t>
        </is>
      </c>
      <c r="EG13" t="inlineStr">
        <is>
          <t>无</t>
        </is>
      </c>
      <c r="EH13"/>
      <c r="EI13"/>
      <c r="EJ13"/>
    </row>
    <row r="14" ht="25.5" customHeight="1">
      <c r="A14"/>
      <c r="B14" t="inlineStr">
        <is>
          <t>FR</t>
        </is>
      </c>
      <c r="C14" t="inlineStr">
        <is>
          <t>优惠券</t>
        </is>
      </c>
      <c r="D14" t="inlineStr">
        <is>
          <t>0.15</t>
        </is>
      </c>
      <c r="E14" t="inlineStr">
        <is>
          <t>无</t>
        </is>
      </c>
      <c r="F14" t="inlineStr">
        <is>
          <t>无</t>
        </is>
      </c>
      <c r="G14" t="inlineStr">
        <is>
          <t>无</t>
        </is>
      </c>
      <c r="H14" t="inlineStr">
        <is>
          <t>VC BFCM, Funding 8.75￡</t>
        </is>
      </c>
      <c r="I14" t="inlineStr">
        <is>
          <t>VC BFCM, Funding 8.75￡</t>
        </is>
      </c>
      <c r="J14" t="inlineStr">
        <is>
          <t>VC BFCM, Funding 8.75￡</t>
        </is>
      </c>
      <c r="K14" t="inlineStr">
        <is>
          <t>VC BFCM, Funding 8.75￡</t>
        </is>
      </c>
      <c r="L14" t="inlineStr">
        <is>
          <t>VC BFCM, Funding 8.75￡</t>
        </is>
      </c>
      <c r="M14" t="inlineStr">
        <is>
          <t>VC BFCM, Funding 8.75￡</t>
        </is>
      </c>
      <c r="N14" t="inlineStr">
        <is>
          <t>VC BFCM, Funding 8.75￡</t>
        </is>
      </c>
      <c r="O14" t="inlineStr">
        <is>
          <t>VC BFCM, Funding 8.75￡</t>
        </is>
      </c>
      <c r="P14" t="inlineStr">
        <is>
          <t>VC BFCM, Funding 8.75￡</t>
        </is>
      </c>
      <c r="Q14" t="inlineStr">
        <is>
          <t>VC BFCM, Funding 8.75￡</t>
        </is>
      </c>
      <c r="R14" t="inlineStr">
        <is>
          <t>VC BFCM, Funding 8.75￡</t>
        </is>
      </c>
      <c r="S14" t="inlineStr">
        <is>
          <t>VC BFCM, Funding 8.75￡</t>
        </is>
      </c>
      <c r="T14" t="inlineStr">
        <is>
          <t>无</t>
        </is>
      </c>
      <c r="U14" t="inlineStr">
        <is>
          <t>无</t>
        </is>
      </c>
      <c r="V14" t="inlineStr">
        <is>
          <t>无</t>
        </is>
      </c>
      <c r="W14" t="inlineStr">
        <is>
          <t>无</t>
        </is>
      </c>
      <c r="X14" t="inlineStr">
        <is>
          <t>无</t>
        </is>
      </c>
      <c r="Y14" t="inlineStr">
        <is>
          <t>无</t>
        </is>
      </c>
      <c r="Z14" t="inlineStr">
        <is>
          <t>无</t>
        </is>
      </c>
      <c r="AA14" t="inlineStr">
        <is>
          <t>无</t>
        </is>
      </c>
      <c r="AB14" t="inlineStr">
        <is>
          <t>无</t>
        </is>
      </c>
      <c r="AC14" t="inlineStr">
        <is>
          <t>无</t>
        </is>
      </c>
      <c r="AD14" t="inlineStr">
        <is>
          <t>无</t>
        </is>
      </c>
      <c r="AE14" t="inlineStr">
        <is>
          <t>无</t>
        </is>
      </c>
      <c r="AF14" t="inlineStr">
        <is>
          <t>VC BD, Funding 8.75€(100pcs)</t>
        </is>
      </c>
      <c r="AG14" t="inlineStr">
        <is>
          <t>VC BD, Funding 8.75€(100pcs)</t>
        </is>
      </c>
      <c r="AH14" t="inlineStr">
        <is>
          <t>VC BD, Funding 8.75€(100pcs)</t>
        </is>
      </c>
      <c r="AI14" t="inlineStr">
        <is>
          <t>VC BD, Funding 8.75€(100pcs)</t>
        </is>
      </c>
      <c r="AJ14" t="inlineStr">
        <is>
          <t>VC BD, Funding 8.75€(100pcs)</t>
        </is>
      </c>
      <c r="AK14" t="inlineStr">
        <is>
          <t>VC BD, Funding 8.75€(100pcs)</t>
        </is>
      </c>
      <c r="AL14" t="inlineStr">
        <is>
          <t>VC BD, Funding 8.75€(100pcs)</t>
        </is>
      </c>
      <c r="AM14" t="inlineStr">
        <is>
          <t>VC BD, Funding 8.75€(100pcs)</t>
        </is>
      </c>
      <c r="AN14" t="inlineStr">
        <is>
          <t>VC BD, Funding 8.75€(100pcs)</t>
        </is>
      </c>
      <c r="AO14" t="inlineStr">
        <is>
          <t>VC BD, Funding 8.75€(100pcs)</t>
        </is>
      </c>
      <c r="AP14" t="inlineStr">
        <is>
          <t>VC BD, Funding 8.75€(100pcs)</t>
        </is>
      </c>
      <c r="AQ14" t="inlineStr">
        <is>
          <t>VC BD, Funding 8.75€(100pcs)</t>
        </is>
      </c>
      <c r="AR14" t="inlineStr">
        <is>
          <t>VC BD, Funding 8.75€(100pcs)</t>
        </is>
      </c>
      <c r="AS14" t="inlineStr">
        <is>
          <t>VC BD, Funding 8.75€(100pcs)</t>
        </is>
      </c>
      <c r="AT14" t="inlineStr">
        <is>
          <t>无</t>
        </is>
      </c>
      <c r="AU14" t="inlineStr">
        <is>
          <t>无</t>
        </is>
      </c>
      <c r="AV14" t="inlineStr">
        <is>
          <t>无</t>
        </is>
      </c>
      <c r="AW14" t="inlineStr">
        <is>
          <t>无</t>
        </is>
      </c>
      <c r="AX14" t="inlineStr">
        <is>
          <t>无</t>
        </is>
      </c>
      <c r="AY14" t="inlineStr">
        <is>
          <t>无</t>
        </is>
      </c>
      <c r="AZ14" t="inlineStr">
        <is>
          <t>无</t>
        </is>
      </c>
      <c r="BA14" t="inlineStr">
        <is>
          <t>无</t>
        </is>
      </c>
      <c r="BB14" t="inlineStr">
        <is>
          <t>无</t>
        </is>
      </c>
      <c r="BC14" t="inlineStr">
        <is>
          <t>无</t>
        </is>
      </c>
      <c r="BD14" t="inlineStr">
        <is>
          <t>无</t>
        </is>
      </c>
      <c r="BE14" t="inlineStr">
        <is>
          <t>无</t>
        </is>
      </c>
      <c r="BF14" t="inlineStr">
        <is>
          <t>无</t>
        </is>
      </c>
      <c r="BG14" t="inlineStr">
        <is>
          <t>无</t>
        </is>
      </c>
      <c r="BH14" t="inlineStr">
        <is>
          <t>无</t>
        </is>
      </c>
      <c r="BI14" t="inlineStr">
        <is>
          <t>无</t>
        </is>
      </c>
      <c r="BJ14" t="inlineStr">
        <is>
          <t>无</t>
        </is>
      </c>
      <c r="BK14" t="inlineStr">
        <is>
          <t>无</t>
        </is>
      </c>
      <c r="BL14" t="inlineStr">
        <is>
          <t>无</t>
        </is>
      </c>
      <c r="BM14" t="inlineStr">
        <is>
          <t>COUPON 10%</t>
        </is>
      </c>
      <c r="BN14" t="inlineStr">
        <is>
          <t>COUPON 10%</t>
        </is>
      </c>
      <c r="BO14" t="inlineStr">
        <is>
          <t>COUPON 10%</t>
        </is>
      </c>
      <c r="BP14" t="inlineStr">
        <is>
          <t>无</t>
        </is>
      </c>
      <c r="BQ14" t="inlineStr">
        <is>
          <t>无</t>
        </is>
      </c>
      <c r="BR14" t="inlineStr">
        <is>
          <t>无</t>
        </is>
      </c>
      <c r="BS14" t="inlineStr">
        <is>
          <t>无</t>
        </is>
      </c>
      <c r="BT14" t="inlineStr">
        <is>
          <t>无</t>
        </is>
      </c>
      <c r="BU14" t="inlineStr">
        <is>
          <t>无</t>
        </is>
      </c>
      <c r="BV14" t="inlineStr">
        <is>
          <t>无</t>
        </is>
      </c>
      <c r="BW14" t="inlineStr">
        <is>
          <t>无</t>
        </is>
      </c>
      <c r="BX14" t="inlineStr">
        <is>
          <t>无</t>
        </is>
      </c>
      <c r="BY14" t="inlineStr">
        <is>
          <t>无</t>
        </is>
      </c>
      <c r="BZ14" t="inlineStr">
        <is>
          <t>无</t>
        </is>
      </c>
      <c r="CA14" t="inlineStr">
        <is>
          <t>无</t>
        </is>
      </c>
      <c r="CB14" t="inlineStr">
        <is>
          <t>无</t>
        </is>
      </c>
      <c r="CC14" t="inlineStr">
        <is>
          <t>Coupon 10%</t>
        </is>
      </c>
      <c r="CD14" t="inlineStr">
        <is>
          <t>Coupon 10%</t>
        </is>
      </c>
      <c r="CE14" t="inlineStr">
        <is>
          <t>Coupon 10%</t>
        </is>
      </c>
      <c r="CF14" t="inlineStr">
        <is>
          <t>无</t>
        </is>
      </c>
      <c r="CG14" t="inlineStr">
        <is>
          <t>无</t>
        </is>
      </c>
      <c r="CH14" t="inlineStr">
        <is>
          <t>无</t>
        </is>
      </c>
      <c r="CI14" t="inlineStr">
        <is>
          <t>无</t>
        </is>
      </c>
      <c r="CJ14" t="inlineStr">
        <is>
          <t>无</t>
        </is>
      </c>
      <c r="CK14" t="inlineStr">
        <is>
          <t>无</t>
        </is>
      </c>
      <c r="CL14" t="inlineStr">
        <is>
          <t>无</t>
        </is>
      </c>
      <c r="CM14" t="inlineStr">
        <is>
          <t>无</t>
        </is>
      </c>
      <c r="CN14" t="inlineStr">
        <is>
          <t>无</t>
        </is>
      </c>
      <c r="CO14" t="inlineStr">
        <is>
          <t>无</t>
        </is>
      </c>
      <c r="CP14" t="inlineStr">
        <is>
          <t>无</t>
        </is>
      </c>
      <c r="CQ14" t="inlineStr">
        <is>
          <t>无</t>
        </is>
      </c>
      <c r="CR14" t="inlineStr">
        <is>
          <t>无</t>
        </is>
      </c>
      <c r="CS14" t="inlineStr">
        <is>
          <t>无</t>
        </is>
      </c>
      <c r="CT14" t="inlineStr">
        <is>
          <t>无</t>
        </is>
      </c>
      <c r="CU14" t="inlineStr">
        <is>
          <t>无</t>
        </is>
      </c>
      <c r="CV14" t="inlineStr">
        <is>
          <t>无</t>
        </is>
      </c>
      <c r="CW14" t="inlineStr">
        <is>
          <t>无</t>
        </is>
      </c>
      <c r="CX14" t="inlineStr">
        <is>
          <t>无</t>
        </is>
      </c>
      <c r="CY14" t="inlineStr">
        <is>
          <t>无</t>
        </is>
      </c>
      <c r="CZ14" t="inlineStr">
        <is>
          <t>无</t>
        </is>
      </c>
      <c r="DA14" t="inlineStr">
        <is>
          <t>无</t>
        </is>
      </c>
      <c r="DB14" t="inlineStr">
        <is>
          <t>无</t>
        </is>
      </c>
      <c r="DC14" t="inlineStr">
        <is>
          <t>无</t>
        </is>
      </c>
      <c r="DD14" t="inlineStr">
        <is>
          <t>无</t>
        </is>
      </c>
      <c r="DE14" t="inlineStr">
        <is>
          <t>无</t>
        </is>
      </c>
      <c r="DF14" t="inlineStr">
        <is>
          <t>无</t>
        </is>
      </c>
      <c r="DG14" t="inlineStr">
        <is>
          <t>无</t>
        </is>
      </c>
      <c r="DH14" t="inlineStr">
        <is>
          <t>无</t>
        </is>
      </c>
      <c r="DI14" t="inlineStr">
        <is>
          <t>无</t>
        </is>
      </c>
      <c r="DJ14" t="inlineStr">
        <is>
          <t>无</t>
        </is>
      </c>
      <c r="DK14" t="inlineStr">
        <is>
          <t>无</t>
        </is>
      </c>
      <c r="DL14" t="inlineStr">
        <is>
          <t>无</t>
        </is>
      </c>
      <c r="DM14" t="inlineStr">
        <is>
          <t>无</t>
        </is>
      </c>
      <c r="DN14" t="inlineStr">
        <is>
          <t>无</t>
        </is>
      </c>
      <c r="DO14" t="inlineStr">
        <is>
          <t>无</t>
        </is>
      </c>
      <c r="DP14" t="inlineStr">
        <is>
          <t>无</t>
        </is>
      </c>
      <c r="DQ14" t="inlineStr">
        <is>
          <t>无</t>
        </is>
      </c>
      <c r="DR14" t="inlineStr">
        <is>
          <t>无</t>
        </is>
      </c>
      <c r="DS14" t="inlineStr">
        <is>
          <t>无</t>
        </is>
      </c>
      <c r="DT14" t="inlineStr">
        <is>
          <t>无</t>
        </is>
      </c>
      <c r="DU14" t="inlineStr">
        <is>
          <t>无</t>
        </is>
      </c>
      <c r="DV14" t="inlineStr">
        <is>
          <t>无</t>
        </is>
      </c>
      <c r="DW14" t="inlineStr">
        <is>
          <t>无</t>
        </is>
      </c>
      <c r="DX14" t="inlineStr">
        <is>
          <t>无</t>
        </is>
      </c>
      <c r="DY14" t="inlineStr">
        <is>
          <t>无</t>
        </is>
      </c>
      <c r="DZ14" t="inlineStr">
        <is>
          <t>无</t>
        </is>
      </c>
      <c r="EA14" t="inlineStr">
        <is>
          <t>无</t>
        </is>
      </c>
      <c r="EB14" t="inlineStr">
        <is>
          <t>无</t>
        </is>
      </c>
      <c r="EC14" t="inlineStr">
        <is>
          <t>无</t>
        </is>
      </c>
      <c r="ED14" t="inlineStr">
        <is>
          <t>无</t>
        </is>
      </c>
      <c r="EE14" t="inlineStr">
        <is>
          <t>无</t>
        </is>
      </c>
      <c r="EF14" t="inlineStr">
        <is>
          <t>无</t>
        </is>
      </c>
      <c r="EG14" t="inlineStr">
        <is>
          <t>无</t>
        </is>
      </c>
      <c r="EH14"/>
      <c r="EI14"/>
      <c r="EJ14"/>
    </row>
    <row r="15" ht="25.5" customHeight="1">
      <c r="A15"/>
      <c r="B15" t="inlineStr">
        <is>
          <t>FR</t>
        </is>
      </c>
      <c r="C15" t="inlineStr">
        <is>
          <t>活动</t>
        </is>
      </c>
      <c r="D15" t="inlineStr">
        <is>
          <t>Funding 7.8，广告5，毛利1.68</t>
        </is>
      </c>
      <c r="E15" t="inlineStr">
        <is>
          <t>无</t>
        </is>
      </c>
      <c r="F15" t="inlineStr">
        <is>
          <t>无</t>
        </is>
      </c>
      <c r="G15" t="inlineStr">
        <is>
          <t>无</t>
        </is>
      </c>
      <c r="H15" t="inlineStr">
        <is>
          <t>VC BFCM, Funding 8.75￡</t>
        </is>
      </c>
      <c r="I15" t="inlineStr">
        <is>
          <t>VC BFCM, Funding 8.75￡</t>
        </is>
      </c>
      <c r="J15" t="inlineStr">
        <is>
          <t>VC BFCM, Funding 8.75￡</t>
        </is>
      </c>
      <c r="K15" t="inlineStr">
        <is>
          <t>VC BFCM, Funding 8.75￡</t>
        </is>
      </c>
      <c r="L15" t="inlineStr">
        <is>
          <t>VC BFCM, Funding 8.75￡</t>
        </is>
      </c>
      <c r="M15" t="inlineStr">
        <is>
          <t>VC BFCM, Funding 8.75￡</t>
        </is>
      </c>
      <c r="N15" t="inlineStr">
        <is>
          <t>VC BFCM, Funding 8.75￡</t>
        </is>
      </c>
      <c r="O15" t="inlineStr">
        <is>
          <t>VC BFCM, Funding 8.75￡</t>
        </is>
      </c>
      <c r="P15" t="inlineStr">
        <is>
          <t>VC BFCM, Funding 8.75￡</t>
        </is>
      </c>
      <c r="Q15" t="inlineStr">
        <is>
          <t>VC BFCM, Funding 8.75￡</t>
        </is>
      </c>
      <c r="R15" t="inlineStr">
        <is>
          <t>VC BFCM, Funding 8.75￡</t>
        </is>
      </c>
      <c r="S15" t="inlineStr">
        <is>
          <t>VC BFCM, Funding 8.75￡</t>
        </is>
      </c>
      <c r="T15" t="inlineStr">
        <is>
          <t>无</t>
        </is>
      </c>
      <c r="U15" t="inlineStr">
        <is>
          <t>无</t>
        </is>
      </c>
      <c r="V15" t="inlineStr">
        <is>
          <t>无</t>
        </is>
      </c>
      <c r="W15" t="inlineStr">
        <is>
          <t>无</t>
        </is>
      </c>
      <c r="X15" t="inlineStr">
        <is>
          <t>无</t>
        </is>
      </c>
      <c r="Y15" t="inlineStr">
        <is>
          <t>无</t>
        </is>
      </c>
      <c r="Z15" t="inlineStr">
        <is>
          <t>无</t>
        </is>
      </c>
      <c r="AA15" t="inlineStr">
        <is>
          <t>无</t>
        </is>
      </c>
      <c r="AB15" t="inlineStr">
        <is>
          <t>无</t>
        </is>
      </c>
      <c r="AC15" t="inlineStr">
        <is>
          <t>无</t>
        </is>
      </c>
      <c r="AD15" t="inlineStr">
        <is>
          <t>无</t>
        </is>
      </c>
      <c r="AE15" t="inlineStr">
        <is>
          <t>无</t>
        </is>
      </c>
      <c r="AF15" t="inlineStr">
        <is>
          <t>VC BD, Funding 8.75€(100pcs)</t>
        </is>
      </c>
      <c r="AG15" t="inlineStr">
        <is>
          <t>VC BD, Funding 8.75€(100pcs)</t>
        </is>
      </c>
      <c r="AH15" t="inlineStr">
        <is>
          <t>VC BD, Funding 8.75€(100pcs)</t>
        </is>
      </c>
      <c r="AI15" t="inlineStr">
        <is>
          <t>VC BD, Funding 8.75€(100pcs)</t>
        </is>
      </c>
      <c r="AJ15" t="inlineStr">
        <is>
          <t>VC BD, Funding 8.75€(100pcs)</t>
        </is>
      </c>
      <c r="AK15" t="inlineStr">
        <is>
          <t>VC BD, Funding 8.75€(100pcs)</t>
        </is>
      </c>
      <c r="AL15" t="inlineStr">
        <is>
          <t>VC BD, Funding 8.75€(100pcs)</t>
        </is>
      </c>
      <c r="AM15" t="inlineStr">
        <is>
          <t>VC BD, Funding 8.75€(100pcs)</t>
        </is>
      </c>
      <c r="AN15" t="inlineStr">
        <is>
          <t>VC BD, Funding 8.75€(100pcs)</t>
        </is>
      </c>
      <c r="AO15" t="inlineStr">
        <is>
          <t>VC BD, Funding 8.75€(100pcs)</t>
        </is>
      </c>
      <c r="AP15" t="inlineStr">
        <is>
          <t>VC BD, Funding 8.75€(100pcs)</t>
        </is>
      </c>
      <c r="AQ15" t="inlineStr">
        <is>
          <t>VC BD, Funding 8.75€(100pcs)</t>
        </is>
      </c>
      <c r="AR15" t="inlineStr">
        <is>
          <t>VC BD, Funding 8.75€(100pcs)</t>
        </is>
      </c>
      <c r="AS15" t="inlineStr">
        <is>
          <t>VC BD, Funding 8.75€(100pcs)</t>
        </is>
      </c>
      <c r="AT15" t="inlineStr">
        <is>
          <t>无</t>
        </is>
      </c>
      <c r="AU15" t="inlineStr">
        <is>
          <t>无</t>
        </is>
      </c>
      <c r="AV15" t="inlineStr">
        <is>
          <t>无</t>
        </is>
      </c>
      <c r="AW15" t="inlineStr">
        <is>
          <t>无</t>
        </is>
      </c>
      <c r="AX15" t="inlineStr">
        <is>
          <t>无</t>
        </is>
      </c>
      <c r="AY15" t="inlineStr">
        <is>
          <t>无</t>
        </is>
      </c>
      <c r="AZ15" t="inlineStr">
        <is>
          <t>无</t>
        </is>
      </c>
      <c r="BA15" t="inlineStr">
        <is>
          <t>无</t>
        </is>
      </c>
      <c r="BB15" t="inlineStr">
        <is>
          <t>无</t>
        </is>
      </c>
      <c r="BC15" t="inlineStr">
        <is>
          <t>无</t>
        </is>
      </c>
      <c r="BD15" t="inlineStr">
        <is>
          <t>无</t>
        </is>
      </c>
      <c r="BE15" t="inlineStr">
        <is>
          <t>无</t>
        </is>
      </c>
      <c r="BF15" t="inlineStr">
        <is>
          <t>无</t>
        </is>
      </c>
      <c r="BG15" t="inlineStr">
        <is>
          <t>无</t>
        </is>
      </c>
      <c r="BH15" t="inlineStr">
        <is>
          <t>无</t>
        </is>
      </c>
      <c r="BI15" t="inlineStr">
        <is>
          <t>无</t>
        </is>
      </c>
      <c r="BJ15" t="inlineStr">
        <is>
          <t>无</t>
        </is>
      </c>
      <c r="BK15" t="inlineStr">
        <is>
          <t>无</t>
        </is>
      </c>
      <c r="BL15" t="inlineStr">
        <is>
          <t>无</t>
        </is>
      </c>
      <c r="BM15" t="inlineStr">
        <is>
          <t>无</t>
        </is>
      </c>
      <c r="BN15" t="inlineStr">
        <is>
          <t>无</t>
        </is>
      </c>
      <c r="BO15" t="inlineStr">
        <is>
          <t>无</t>
        </is>
      </c>
      <c r="BP15" t="inlineStr">
        <is>
          <t>VC BD, Funding 7￡(50pcs)</t>
        </is>
      </c>
      <c r="BQ15" t="inlineStr">
        <is>
          <t>VC BD, Funding 7￡(50pcs)</t>
        </is>
      </c>
      <c r="BR15" t="inlineStr">
        <is>
          <t>VC BD, Funding 7￡(50pcs)</t>
        </is>
      </c>
      <c r="BS15" t="inlineStr">
        <is>
          <t>VC BD, Funding 7￡(50pcs)</t>
        </is>
      </c>
      <c r="BT15" t="inlineStr">
        <is>
          <t>VC BD, Funding 7￡(50pcs)</t>
        </is>
      </c>
      <c r="BU15" t="inlineStr">
        <is>
          <t>VC BD, Funding 7￡(50pcs)</t>
        </is>
      </c>
      <c r="BV15" t="inlineStr">
        <is>
          <t>VC BD, Funding 7￡(50pcs)</t>
        </is>
      </c>
      <c r="BW15" t="inlineStr">
        <is>
          <t>VC BD, Funding 7￡(50pcs)</t>
        </is>
      </c>
      <c r="BX15" t="inlineStr">
        <is>
          <t>VC BD, Funding 7￡(50pcs)</t>
        </is>
      </c>
      <c r="BY15" t="inlineStr">
        <is>
          <t>VC BD, Funding 7￡(50pcs)</t>
        </is>
      </c>
      <c r="BZ15" t="inlineStr">
        <is>
          <t>VC BD, Funding 7￡(50pcs)</t>
        </is>
      </c>
      <c r="CA15" t="inlineStr">
        <is>
          <t>VC BD, Funding 7￡(50pcs)</t>
        </is>
      </c>
      <c r="CB15" t="inlineStr">
        <is>
          <t>VC BD, Funding 7￡(50pcs)</t>
        </is>
      </c>
      <c r="CC15" t="inlineStr">
        <is>
          <t>无</t>
        </is>
      </c>
      <c r="CD15" t="inlineStr">
        <is>
          <t>无</t>
        </is>
      </c>
      <c r="CE15" t="inlineStr">
        <is>
          <t>无</t>
        </is>
      </c>
      <c r="CF15" t="inlineStr">
        <is>
          <t>无</t>
        </is>
      </c>
      <c r="CG15" t="inlineStr">
        <is>
          <t>无</t>
        </is>
      </c>
      <c r="CH15" t="inlineStr">
        <is>
          <t>VC BD, Funding 1.9€(100pcs)</t>
        </is>
      </c>
      <c r="CI15" t="inlineStr">
        <is>
          <t>VC BD, Funding 1.9€(100pcs)</t>
        </is>
      </c>
      <c r="CJ15" t="inlineStr">
        <is>
          <t>VC BD, Funding 1.9€(100pcs)</t>
        </is>
      </c>
      <c r="CK15" t="inlineStr">
        <is>
          <t>VC BD, Funding 1.9€(100pcs)</t>
        </is>
      </c>
      <c r="CL15" t="inlineStr">
        <is>
          <t>VC BD, Funding 1.9€(100pcs)</t>
        </is>
      </c>
      <c r="CM15" t="inlineStr">
        <is>
          <t>VC BD, Funding 1.9€(100pcs)</t>
        </is>
      </c>
      <c r="CN15" t="inlineStr">
        <is>
          <t>VC BD, Funding 1.9€(100pcs)</t>
        </is>
      </c>
      <c r="CO15" t="inlineStr">
        <is>
          <t>无</t>
        </is>
      </c>
      <c r="CP15" t="inlineStr">
        <is>
          <t>无</t>
        </is>
      </c>
      <c r="CQ15" t="inlineStr">
        <is>
          <t>无</t>
        </is>
      </c>
      <c r="CR15" t="inlineStr">
        <is>
          <t>无</t>
        </is>
      </c>
      <c r="CS15" t="inlineStr">
        <is>
          <t>无</t>
        </is>
      </c>
      <c r="CT15" t="inlineStr">
        <is>
          <t>无</t>
        </is>
      </c>
      <c r="CU15" t="inlineStr">
        <is>
          <t>无</t>
        </is>
      </c>
      <c r="CV15" t="inlineStr">
        <is>
          <t>无</t>
        </is>
      </c>
      <c r="CW15" t="inlineStr">
        <is>
          <t>无</t>
        </is>
      </c>
      <c r="CX15" t="inlineStr">
        <is>
          <t>无</t>
        </is>
      </c>
      <c r="CY15" t="inlineStr">
        <is>
          <t>无</t>
        </is>
      </c>
      <c r="CZ15" t="inlineStr">
        <is>
          <t>无</t>
        </is>
      </c>
      <c r="DA15" t="inlineStr">
        <is>
          <t>无</t>
        </is>
      </c>
      <c r="DB15" t="inlineStr">
        <is>
          <t>无</t>
        </is>
      </c>
      <c r="DC15" t="inlineStr">
        <is>
          <t>无</t>
        </is>
      </c>
      <c r="DD15" t="inlineStr">
        <is>
          <t>无</t>
        </is>
      </c>
      <c r="DE15" t="inlineStr">
        <is>
          <t>无</t>
        </is>
      </c>
      <c r="DF15" t="inlineStr">
        <is>
          <t>无</t>
        </is>
      </c>
      <c r="DG15" t="inlineStr">
        <is>
          <t>无</t>
        </is>
      </c>
      <c r="DH15" t="inlineStr">
        <is>
          <t>无</t>
        </is>
      </c>
      <c r="DI15" t="inlineStr">
        <is>
          <t>无</t>
        </is>
      </c>
      <c r="DJ15" t="inlineStr">
        <is>
          <t>无</t>
        </is>
      </c>
      <c r="DK15" t="inlineStr">
        <is>
          <t>无</t>
        </is>
      </c>
      <c r="DL15" t="inlineStr">
        <is>
          <t>无</t>
        </is>
      </c>
      <c r="DM15" t="inlineStr">
        <is>
          <t>无</t>
        </is>
      </c>
      <c r="DN15" t="inlineStr">
        <is>
          <t>无</t>
        </is>
      </c>
      <c r="DO15" t="inlineStr">
        <is>
          <t>无</t>
        </is>
      </c>
      <c r="DP15" t="inlineStr">
        <is>
          <t>无</t>
        </is>
      </c>
      <c r="DQ15" t="inlineStr">
        <is>
          <t>无</t>
        </is>
      </c>
      <c r="DR15" t="inlineStr">
        <is>
          <t>无</t>
        </is>
      </c>
      <c r="DS15" t="inlineStr">
        <is>
          <t>无</t>
        </is>
      </c>
      <c r="DT15" t="inlineStr">
        <is>
          <t>无</t>
        </is>
      </c>
      <c r="DU15" t="inlineStr">
        <is>
          <t>无</t>
        </is>
      </c>
      <c r="DV15" t="inlineStr">
        <is>
          <t>无</t>
        </is>
      </c>
      <c r="DW15" t="inlineStr">
        <is>
          <t>无</t>
        </is>
      </c>
      <c r="DX15" t="inlineStr">
        <is>
          <t>无</t>
        </is>
      </c>
      <c r="DY15" t="inlineStr">
        <is>
          <t>无</t>
        </is>
      </c>
      <c r="DZ15" t="inlineStr">
        <is>
          <t>无</t>
        </is>
      </c>
      <c r="EA15" t="inlineStr">
        <is>
          <t>无</t>
        </is>
      </c>
      <c r="EB15" t="inlineStr">
        <is>
          <t>无</t>
        </is>
      </c>
      <c r="EC15" t="inlineStr">
        <is>
          <t>无</t>
        </is>
      </c>
      <c r="ED15" t="inlineStr">
        <is>
          <t>无</t>
        </is>
      </c>
      <c r="EE15" t="inlineStr">
        <is>
          <t>无</t>
        </is>
      </c>
      <c r="EF15" t="inlineStr">
        <is>
          <t>无</t>
        </is>
      </c>
      <c r="EG15" t="inlineStr">
        <is>
          <t>无</t>
        </is>
      </c>
      <c r="EH15"/>
      <c r="EI15"/>
      <c r="EJ15"/>
    </row>
    <row r="16" ht="25.5" customHeight="1">
      <c r="A16"/>
      <c r="B16" t="inlineStr">
        <is>
          <t>IT</t>
        </is>
      </c>
      <c r="C16" t="inlineStr">
        <is>
          <t>优惠券</t>
        </is>
      </c>
      <c r="D16" t="inlineStr">
        <is>
          <t>0.15</t>
        </is>
      </c>
      <c r="E16" t="inlineStr">
        <is>
          <t>无</t>
        </is>
      </c>
      <c r="F16" t="inlineStr">
        <is>
          <t>无</t>
        </is>
      </c>
      <c r="G16" t="inlineStr">
        <is>
          <t>无</t>
        </is>
      </c>
      <c r="H16" t="inlineStr">
        <is>
          <t>VC BFCM, Funding 8.75￡</t>
        </is>
      </c>
      <c r="I16" t="inlineStr">
        <is>
          <t>VC BFCM, Funding 8.75￡</t>
        </is>
      </c>
      <c r="J16" t="inlineStr">
        <is>
          <t>VC BFCM, Funding 8.75￡</t>
        </is>
      </c>
      <c r="K16" t="inlineStr">
        <is>
          <t>VC BFCM, Funding 8.75￡</t>
        </is>
      </c>
      <c r="L16" t="inlineStr">
        <is>
          <t>VC BFCM, Funding 8.75￡</t>
        </is>
      </c>
      <c r="M16" t="inlineStr">
        <is>
          <t>VC BFCM, Funding 8.75￡</t>
        </is>
      </c>
      <c r="N16" t="inlineStr">
        <is>
          <t>VC BFCM, Funding 8.75￡</t>
        </is>
      </c>
      <c r="O16" t="inlineStr">
        <is>
          <t>VC BFCM, Funding 8.75￡</t>
        </is>
      </c>
      <c r="P16" t="inlineStr">
        <is>
          <t>VC BFCM, Funding 8.75￡</t>
        </is>
      </c>
      <c r="Q16" t="inlineStr">
        <is>
          <t>VC BFCM, Funding 8.75￡</t>
        </is>
      </c>
      <c r="R16" t="inlineStr">
        <is>
          <t>VC BFCM, Funding 8.75￡</t>
        </is>
      </c>
      <c r="S16" t="inlineStr">
        <is>
          <t>VC BFCM, Funding 8.75￡</t>
        </is>
      </c>
      <c r="T16" t="inlineStr">
        <is>
          <t>无</t>
        </is>
      </c>
      <c r="U16" t="inlineStr">
        <is>
          <t>无</t>
        </is>
      </c>
      <c r="V16" t="inlineStr">
        <is>
          <t>无</t>
        </is>
      </c>
      <c r="W16" t="inlineStr">
        <is>
          <t>无</t>
        </is>
      </c>
      <c r="X16" t="inlineStr">
        <is>
          <t>无</t>
        </is>
      </c>
      <c r="Y16" t="inlineStr">
        <is>
          <t>无</t>
        </is>
      </c>
      <c r="Z16" t="inlineStr">
        <is>
          <t>无</t>
        </is>
      </c>
      <c r="AA16" t="inlineStr">
        <is>
          <t>无</t>
        </is>
      </c>
      <c r="AB16" t="inlineStr">
        <is>
          <t>无</t>
        </is>
      </c>
      <c r="AC16" t="inlineStr">
        <is>
          <t>无</t>
        </is>
      </c>
      <c r="AD16" t="inlineStr">
        <is>
          <t>无</t>
        </is>
      </c>
      <c r="AE16" t="inlineStr">
        <is>
          <t>无</t>
        </is>
      </c>
      <c r="AF16" t="inlineStr">
        <is>
          <t>VC BD, Funding 8.75€(100pcs)</t>
        </is>
      </c>
      <c r="AG16" t="inlineStr">
        <is>
          <t>VC BD, Funding 8.75€(100pcs)</t>
        </is>
      </c>
      <c r="AH16" t="inlineStr">
        <is>
          <t>VC BD, Funding 8.75€(100pcs)</t>
        </is>
      </c>
      <c r="AI16" t="inlineStr">
        <is>
          <t>VC BD, Funding 8.75€(100pcs)</t>
        </is>
      </c>
      <c r="AJ16" t="inlineStr">
        <is>
          <t>VC BD, Funding 8.75€(100pcs)</t>
        </is>
      </c>
      <c r="AK16" t="inlineStr">
        <is>
          <t>VC BD, Funding 8.75€(100pcs)</t>
        </is>
      </c>
      <c r="AL16" t="inlineStr">
        <is>
          <t>VC BD, Funding 8.75€(100pcs)</t>
        </is>
      </c>
      <c r="AM16" t="inlineStr">
        <is>
          <t>VC BD, Funding 8.75€(100pcs)</t>
        </is>
      </c>
      <c r="AN16" t="inlineStr">
        <is>
          <t>VC BD, Funding 8.75€(100pcs)</t>
        </is>
      </c>
      <c r="AO16" t="inlineStr">
        <is>
          <t>VC BD, Funding 8.75€(100pcs)</t>
        </is>
      </c>
      <c r="AP16" t="inlineStr">
        <is>
          <t>VC BD, Funding 8.75€(100pcs)</t>
        </is>
      </c>
      <c r="AQ16" t="inlineStr">
        <is>
          <t>VC BD, Funding 8.75€(100pcs)</t>
        </is>
      </c>
      <c r="AR16" t="inlineStr">
        <is>
          <t>VC BD, Funding 8.75€(100pcs)</t>
        </is>
      </c>
      <c r="AS16" t="inlineStr">
        <is>
          <t>VC BD, Funding 8.75€(100pcs)</t>
        </is>
      </c>
      <c r="AT16" t="inlineStr">
        <is>
          <t>无</t>
        </is>
      </c>
      <c r="AU16" t="inlineStr">
        <is>
          <t>无</t>
        </is>
      </c>
      <c r="AV16" t="inlineStr">
        <is>
          <t>无</t>
        </is>
      </c>
      <c r="AW16" t="inlineStr">
        <is>
          <t>无</t>
        </is>
      </c>
      <c r="AX16" t="inlineStr">
        <is>
          <t>无</t>
        </is>
      </c>
      <c r="AY16" t="inlineStr">
        <is>
          <t>无</t>
        </is>
      </c>
      <c r="AZ16" t="inlineStr">
        <is>
          <t>无</t>
        </is>
      </c>
      <c r="BA16" t="inlineStr">
        <is>
          <t>无</t>
        </is>
      </c>
      <c r="BB16" t="inlineStr">
        <is>
          <t>无</t>
        </is>
      </c>
      <c r="BC16" t="inlineStr">
        <is>
          <t>无</t>
        </is>
      </c>
      <c r="BD16" t="inlineStr">
        <is>
          <t>无</t>
        </is>
      </c>
      <c r="BE16" t="inlineStr">
        <is>
          <t>无</t>
        </is>
      </c>
      <c r="BF16" t="inlineStr">
        <is>
          <t>无</t>
        </is>
      </c>
      <c r="BG16" t="inlineStr">
        <is>
          <t>无</t>
        </is>
      </c>
      <c r="BH16" t="inlineStr">
        <is>
          <t>无</t>
        </is>
      </c>
      <c r="BI16"/>
      <c r="BJ16"/>
      <c r="BK16"/>
      <c r="BL16"/>
      <c r="BM16"/>
      <c r="BN16"/>
      <c r="BO16"/>
      <c r="BP16"/>
      <c r="BQ16" t="inlineStr">
        <is>
          <t>无</t>
        </is>
      </c>
      <c r="BR16" t="inlineStr">
        <is>
          <t>无</t>
        </is>
      </c>
      <c r="BS16" t="inlineStr">
        <is>
          <t>无</t>
        </is>
      </c>
      <c r="BT16" t="inlineStr">
        <is>
          <t>无</t>
        </is>
      </c>
      <c r="BU16" t="inlineStr">
        <is>
          <t>无</t>
        </is>
      </c>
      <c r="BV16" t="inlineStr">
        <is>
          <t>无</t>
        </is>
      </c>
      <c r="BW16" t="inlineStr">
        <is>
          <t>无</t>
        </is>
      </c>
      <c r="BX16" t="inlineStr">
        <is>
          <t>无</t>
        </is>
      </c>
      <c r="BY16" t="inlineStr">
        <is>
          <t>无</t>
        </is>
      </c>
      <c r="BZ16" t="inlineStr">
        <is>
          <t>Coupon 10%</t>
        </is>
      </c>
      <c r="CA16" t="inlineStr">
        <is>
          <t>Coupon 10%</t>
        </is>
      </c>
      <c r="CB16" t="inlineStr">
        <is>
          <t>Coupon 10%</t>
        </is>
      </c>
      <c r="CC16" t="inlineStr">
        <is>
          <t>Coupon 10%</t>
        </is>
      </c>
      <c r="CD16" t="inlineStr">
        <is>
          <t>Coupon 10%</t>
        </is>
      </c>
      <c r="CE16" t="inlineStr">
        <is>
          <t>Coupon 10%</t>
        </is>
      </c>
      <c r="CF16" t="inlineStr">
        <is>
          <t>Coupon 10%</t>
        </is>
      </c>
      <c r="CG16" t="inlineStr">
        <is>
          <t>Coupon 10%</t>
        </is>
      </c>
      <c r="CH16" t="inlineStr">
        <is>
          <t>Coupon 10%</t>
        </is>
      </c>
      <c r="CI16" t="inlineStr">
        <is>
          <t>Coupon 10%</t>
        </is>
      </c>
      <c r="CJ16" t="inlineStr">
        <is>
          <t>Coupon 10%</t>
        </is>
      </c>
      <c r="CK16" t="inlineStr">
        <is>
          <t>无</t>
        </is>
      </c>
      <c r="CL16" t="inlineStr">
        <is>
          <t>无</t>
        </is>
      </c>
      <c r="CM16" t="inlineStr">
        <is>
          <t>无</t>
        </is>
      </c>
      <c r="CN16" t="inlineStr">
        <is>
          <t>无</t>
        </is>
      </c>
      <c r="CO16" t="inlineStr">
        <is>
          <t>Coupon 5%</t>
        </is>
      </c>
      <c r="CP16" t="inlineStr">
        <is>
          <t>Coupon 5%</t>
        </is>
      </c>
      <c r="CQ16" t="inlineStr">
        <is>
          <t>Coupon 5%</t>
        </is>
      </c>
      <c r="CR16" t="inlineStr">
        <is>
          <t>Coupon 5%</t>
        </is>
      </c>
      <c r="CS16" t="inlineStr">
        <is>
          <t>Coupon 5%</t>
        </is>
      </c>
      <c r="CT16" t="inlineStr">
        <is>
          <t>Coupon 5%</t>
        </is>
      </c>
      <c r="CU16" t="inlineStr">
        <is>
          <t>Coupon 5%</t>
        </is>
      </c>
      <c r="CV16" t="inlineStr">
        <is>
          <t>Coupon 5%</t>
        </is>
      </c>
      <c r="CW16" t="inlineStr">
        <is>
          <t>Coupon 5%</t>
        </is>
      </c>
      <c r="CX16" t="inlineStr">
        <is>
          <t>Coupon 5%</t>
        </is>
      </c>
      <c r="CY16" t="inlineStr">
        <is>
          <t>Coupon 5%</t>
        </is>
      </c>
      <c r="CZ16" t="inlineStr">
        <is>
          <t>Coupon 5%</t>
        </is>
      </c>
      <c r="DA16" t="inlineStr">
        <is>
          <t>Coupon 5%</t>
        </is>
      </c>
      <c r="DB16" t="inlineStr">
        <is>
          <t>无</t>
        </is>
      </c>
      <c r="DC16" t="inlineStr">
        <is>
          <t>无</t>
        </is>
      </c>
      <c r="DD16" t="inlineStr">
        <is>
          <t>无</t>
        </is>
      </c>
      <c r="DE16" t="inlineStr">
        <is>
          <t>无</t>
        </is>
      </c>
      <c r="DF16" t="inlineStr">
        <is>
          <t>无</t>
        </is>
      </c>
      <c r="DG16" t="inlineStr">
        <is>
          <t>Coupon 8%</t>
        </is>
      </c>
      <c r="DH16" t="inlineStr">
        <is>
          <t>Coupon 8%</t>
        </is>
      </c>
      <c r="DI16" t="inlineStr">
        <is>
          <t>Coupon 8%</t>
        </is>
      </c>
      <c r="DJ16" t="inlineStr">
        <is>
          <t>Coupon 8%</t>
        </is>
      </c>
      <c r="DK16" t="inlineStr">
        <is>
          <t>Coupon 8%</t>
        </is>
      </c>
      <c r="DL16" t="inlineStr">
        <is>
          <t>Coupon 8%</t>
        </is>
      </c>
      <c r="DM16" t="inlineStr">
        <is>
          <t>Coupon 8%</t>
        </is>
      </c>
      <c r="DN16" t="inlineStr">
        <is>
          <t>Coupon 8%</t>
        </is>
      </c>
      <c r="DO16" t="inlineStr">
        <is>
          <t>Coupon 8%</t>
        </is>
      </c>
      <c r="DP16" t="inlineStr">
        <is>
          <t>Coupon 8%</t>
        </is>
      </c>
      <c r="DQ16" t="inlineStr">
        <is>
          <t>Coupon 8%</t>
        </is>
      </c>
      <c r="DR16" t="inlineStr">
        <is>
          <t>Coupon 8%</t>
        </is>
      </c>
      <c r="DS16" t="inlineStr">
        <is>
          <t>Coupon 8%</t>
        </is>
      </c>
      <c r="DT16" t="inlineStr">
        <is>
          <t>Coupon 5%</t>
        </is>
      </c>
      <c r="DU16" t="inlineStr">
        <is>
          <t>Coupon 5%</t>
        </is>
      </c>
      <c r="DV16" t="inlineStr">
        <is>
          <t>Coupon 5%</t>
        </is>
      </c>
      <c r="DW16" t="inlineStr">
        <is>
          <t>Coupon 5%</t>
        </is>
      </c>
      <c r="DX16" t="inlineStr">
        <is>
          <t>Coupon 5%</t>
        </is>
      </c>
      <c r="DY16" t="inlineStr">
        <is>
          <t>Coupon 5%</t>
        </is>
      </c>
      <c r="DZ16" t="inlineStr">
        <is>
          <t>Coupon 5%</t>
        </is>
      </c>
      <c r="EA16" t="inlineStr">
        <is>
          <t>Coupon 5%</t>
        </is>
      </c>
      <c r="EB16" t="inlineStr">
        <is>
          <t>Coupon 5%</t>
        </is>
      </c>
      <c r="EC16" t="inlineStr">
        <is>
          <t>Coupon 5%</t>
        </is>
      </c>
      <c r="ED16" t="inlineStr">
        <is>
          <t>Coupon 5%</t>
        </is>
      </c>
      <c r="EE16" t="inlineStr">
        <is>
          <t>Coupon 5%</t>
        </is>
      </c>
      <c r="EF16" t="inlineStr">
        <is>
          <t>Coupon 5%</t>
        </is>
      </c>
      <c r="EG16" t="inlineStr">
        <is>
          <t>Coupon 5%</t>
        </is>
      </c>
      <c r="EH16"/>
      <c r="EI16"/>
      <c r="EJ16"/>
    </row>
    <row r="17" ht="25.5" customHeight="1">
      <c r="A17"/>
      <c r="B17" t="inlineStr">
        <is>
          <t>IT</t>
        </is>
      </c>
      <c r="C17" t="inlineStr">
        <is>
          <t>活动</t>
        </is>
      </c>
      <c r="D17" t="inlineStr">
        <is>
          <t>Funding 7.8，广告5，毛利1.57</t>
        </is>
      </c>
      <c r="E17" t="inlineStr">
        <is>
          <t>无</t>
        </is>
      </c>
      <c r="F17" t="inlineStr">
        <is>
          <t>无</t>
        </is>
      </c>
      <c r="G17" t="inlineStr">
        <is>
          <t>无</t>
        </is>
      </c>
      <c r="H17" t="inlineStr">
        <is>
          <t>VC BFCM, Funding 8.75￡</t>
        </is>
      </c>
      <c r="I17" t="inlineStr">
        <is>
          <t>VC BFCM, Funding 8.75￡</t>
        </is>
      </c>
      <c r="J17" t="inlineStr">
        <is>
          <t>VC BFCM, Funding 8.75￡</t>
        </is>
      </c>
      <c r="K17" t="inlineStr">
        <is>
          <t>VC BFCM, Funding 8.75￡</t>
        </is>
      </c>
      <c r="L17" t="inlineStr">
        <is>
          <t>VC BFCM, Funding 8.75￡</t>
        </is>
      </c>
      <c r="M17" t="inlineStr">
        <is>
          <t>VC BFCM, Funding 8.75￡</t>
        </is>
      </c>
      <c r="N17" t="inlineStr">
        <is>
          <t>VC BFCM, Funding 8.75￡</t>
        </is>
      </c>
      <c r="O17" t="inlineStr">
        <is>
          <t>VC BFCM, Funding 8.75￡</t>
        </is>
      </c>
      <c r="P17" t="inlineStr">
        <is>
          <t>VC BFCM, Funding 8.75￡</t>
        </is>
      </c>
      <c r="Q17" t="inlineStr">
        <is>
          <t>VC BFCM, Funding 8.75￡</t>
        </is>
      </c>
      <c r="R17" t="inlineStr">
        <is>
          <t>VC BFCM, Funding 8.75￡</t>
        </is>
      </c>
      <c r="S17" t="inlineStr">
        <is>
          <t>VC BFCM, Funding 8.75￡</t>
        </is>
      </c>
      <c r="T17" t="inlineStr">
        <is>
          <t>无</t>
        </is>
      </c>
      <c r="U17" t="inlineStr">
        <is>
          <t>无</t>
        </is>
      </c>
      <c r="V17" t="inlineStr">
        <is>
          <t>无</t>
        </is>
      </c>
      <c r="W17" t="inlineStr">
        <is>
          <t>无</t>
        </is>
      </c>
      <c r="X17" t="inlineStr">
        <is>
          <t>无</t>
        </is>
      </c>
      <c r="Y17" t="inlineStr">
        <is>
          <t>无</t>
        </is>
      </c>
      <c r="Z17" t="inlineStr">
        <is>
          <t>无</t>
        </is>
      </c>
      <c r="AA17" t="inlineStr">
        <is>
          <t>无</t>
        </is>
      </c>
      <c r="AB17" t="inlineStr">
        <is>
          <t>无</t>
        </is>
      </c>
      <c r="AC17" t="inlineStr">
        <is>
          <t>无</t>
        </is>
      </c>
      <c r="AD17" t="inlineStr">
        <is>
          <t>无</t>
        </is>
      </c>
      <c r="AE17" t="inlineStr">
        <is>
          <t>无</t>
        </is>
      </c>
      <c r="AF17" t="inlineStr">
        <is>
          <t>VC BD, Funding 8.75€(100pcs)</t>
        </is>
      </c>
      <c r="AG17" t="inlineStr">
        <is>
          <t>VC BD, Funding 8.75€(100pcs)</t>
        </is>
      </c>
      <c r="AH17" t="inlineStr">
        <is>
          <t>VC BD, Funding 8.75€(100pcs)</t>
        </is>
      </c>
      <c r="AI17" t="inlineStr">
        <is>
          <t>VC BD, Funding 8.75€(100pcs)</t>
        </is>
      </c>
      <c r="AJ17" t="inlineStr">
        <is>
          <t>VC BD, Funding 8.75€(100pcs)</t>
        </is>
      </c>
      <c r="AK17" t="inlineStr">
        <is>
          <t>VC BD, Funding 8.75€(100pcs)</t>
        </is>
      </c>
      <c r="AL17" t="inlineStr">
        <is>
          <t>VC BD, Funding 8.75€(100pcs)</t>
        </is>
      </c>
      <c r="AM17" t="inlineStr">
        <is>
          <t>VC BD, Funding 8.75€(100pcs)</t>
        </is>
      </c>
      <c r="AN17" t="inlineStr">
        <is>
          <t>VC BD, Funding 8.75€(100pcs)</t>
        </is>
      </c>
      <c r="AO17" t="inlineStr">
        <is>
          <t>VC BD, Funding 8.75€(100pcs)</t>
        </is>
      </c>
      <c r="AP17" t="inlineStr">
        <is>
          <t>VC BD, Funding 8.75€(100pcs)</t>
        </is>
      </c>
      <c r="AQ17" t="inlineStr">
        <is>
          <t>VC BD, Funding 8.75€(100pcs)</t>
        </is>
      </c>
      <c r="AR17" t="inlineStr">
        <is>
          <t>VC BD, Funding 8.75€(100pcs)</t>
        </is>
      </c>
      <c r="AS17" t="inlineStr">
        <is>
          <t>VC BD, Funding 8.75€(100pcs)</t>
        </is>
      </c>
      <c r="AT17" t="inlineStr">
        <is>
          <t>无</t>
        </is>
      </c>
      <c r="AU17" t="inlineStr">
        <is>
          <t>无</t>
        </is>
      </c>
      <c r="AV17" t="inlineStr">
        <is>
          <t>无</t>
        </is>
      </c>
      <c r="AW17" t="inlineStr">
        <is>
          <t>无</t>
        </is>
      </c>
      <c r="AX17" t="inlineStr">
        <is>
          <t>无</t>
        </is>
      </c>
      <c r="AY17" t="inlineStr">
        <is>
          <t>无</t>
        </is>
      </c>
      <c r="AZ17" t="inlineStr">
        <is>
          <t>无</t>
        </is>
      </c>
      <c r="BA17" t="inlineStr">
        <is>
          <t>无</t>
        </is>
      </c>
      <c r="BB17" t="inlineStr">
        <is>
          <t>无</t>
        </is>
      </c>
      <c r="BC17" t="inlineStr">
        <is>
          <t>无</t>
        </is>
      </c>
      <c r="BD17" t="inlineStr">
        <is>
          <t>无</t>
        </is>
      </c>
      <c r="BE17" t="inlineStr">
        <is>
          <t>无</t>
        </is>
      </c>
      <c r="BF17" t="inlineStr">
        <is>
          <t>无</t>
        </is>
      </c>
      <c r="BG17" t="inlineStr">
        <is>
          <t>无</t>
        </is>
      </c>
      <c r="BH17" t="inlineStr">
        <is>
          <t>无</t>
        </is>
      </c>
      <c r="BI17" t="inlineStr">
        <is>
          <t>无</t>
        </is>
      </c>
      <c r="BJ17" t="inlineStr">
        <is>
          <t>无</t>
        </is>
      </c>
      <c r="BK17" t="inlineStr">
        <is>
          <t>无</t>
        </is>
      </c>
      <c r="BL17" t="inlineStr">
        <is>
          <t>无</t>
        </is>
      </c>
      <c r="BM17" t="inlineStr">
        <is>
          <t>无</t>
        </is>
      </c>
      <c r="BN17" t="inlineStr">
        <is>
          <t>无</t>
        </is>
      </c>
      <c r="BO17" t="inlineStr">
        <is>
          <t>无</t>
        </is>
      </c>
      <c r="BP17" t="inlineStr">
        <is>
          <t>VC BD, Funding 8.25￡(50pcs)</t>
        </is>
      </c>
      <c r="BQ17" t="inlineStr">
        <is>
          <t>VC BD, Funding 8.25￡(50pcs)</t>
        </is>
      </c>
      <c r="BR17" t="inlineStr">
        <is>
          <t>VC BD, Funding 8.25￡(50pcs)</t>
        </is>
      </c>
      <c r="BS17" t="inlineStr">
        <is>
          <t>VC BD, Funding 8.25￡(50pcs)</t>
        </is>
      </c>
      <c r="BT17" t="inlineStr">
        <is>
          <t>VC BD, Funding 8.25￡(50pcs)</t>
        </is>
      </c>
      <c r="BU17" t="inlineStr">
        <is>
          <t>VC BD, Funding 8.25￡(50pcs)</t>
        </is>
      </c>
      <c r="BV17" t="inlineStr">
        <is>
          <t>VC BD, Funding 8.25￡(50pcs)</t>
        </is>
      </c>
      <c r="BW17" t="inlineStr">
        <is>
          <t>VC BD, Funding 8.25￡(50pcs)</t>
        </is>
      </c>
      <c r="BX17" t="inlineStr">
        <is>
          <t>VC BD, Funding 8.25￡(50pcs)</t>
        </is>
      </c>
      <c r="BY17" t="inlineStr">
        <is>
          <t>VC BD, Funding 8.25￡(50pcs)</t>
        </is>
      </c>
      <c r="BZ17" t="inlineStr">
        <is>
          <t>无</t>
        </is>
      </c>
      <c r="CA17" t="inlineStr">
        <is>
          <t>无</t>
        </is>
      </c>
      <c r="CB17" t="inlineStr">
        <is>
          <t>无</t>
        </is>
      </c>
      <c r="CC17" t="inlineStr">
        <is>
          <t>无</t>
        </is>
      </c>
      <c r="CD17" t="inlineStr">
        <is>
          <t>无</t>
        </is>
      </c>
      <c r="CE17" t="inlineStr">
        <is>
          <t>无</t>
        </is>
      </c>
      <c r="CF17" t="inlineStr">
        <is>
          <t>无</t>
        </is>
      </c>
      <c r="CG17" t="inlineStr">
        <is>
          <t>无</t>
        </is>
      </c>
      <c r="CH17" t="inlineStr">
        <is>
          <t>VC BD, Funding 7.02€(50pcs)</t>
        </is>
      </c>
      <c r="CI17" t="inlineStr">
        <is>
          <t>VC BD, Funding 7.02€(50pcs)</t>
        </is>
      </c>
      <c r="CJ17" t="inlineStr">
        <is>
          <t>VC BD, Funding 7.02€(50pcs)</t>
        </is>
      </c>
      <c r="CK17" t="inlineStr">
        <is>
          <t>VC BD, Funding 7.02€(50pcs)</t>
        </is>
      </c>
      <c r="CL17" t="inlineStr">
        <is>
          <t>VC BD, Funding 7.02€(50pcs)</t>
        </is>
      </c>
      <c r="CM17" t="inlineStr">
        <is>
          <t>VC BD, Funding 7.02€(50pcs)</t>
        </is>
      </c>
      <c r="CN17" t="inlineStr">
        <is>
          <t>VC BD, Funding 7.02€(50pcs)</t>
        </is>
      </c>
      <c r="CO17" t="inlineStr">
        <is>
          <t>无</t>
        </is>
      </c>
      <c r="CP17" t="inlineStr">
        <is>
          <t>无</t>
        </is>
      </c>
      <c r="CQ17" t="inlineStr">
        <is>
          <t>无</t>
        </is>
      </c>
      <c r="CR17" t="inlineStr">
        <is>
          <t>无</t>
        </is>
      </c>
      <c r="CS17" t="inlineStr">
        <is>
          <t>无</t>
        </is>
      </c>
      <c r="CT17" t="inlineStr">
        <is>
          <t>无</t>
        </is>
      </c>
      <c r="CU17" t="inlineStr">
        <is>
          <t>无</t>
        </is>
      </c>
      <c r="CV17" t="inlineStr">
        <is>
          <t>无</t>
        </is>
      </c>
      <c r="CW17" t="inlineStr">
        <is>
          <t>无</t>
        </is>
      </c>
      <c r="CX17" t="inlineStr">
        <is>
          <t>无</t>
        </is>
      </c>
      <c r="CY17" t="inlineStr">
        <is>
          <t>无</t>
        </is>
      </c>
      <c r="CZ17" t="inlineStr">
        <is>
          <t>无</t>
        </is>
      </c>
      <c r="DA17" t="inlineStr">
        <is>
          <t>无</t>
        </is>
      </c>
      <c r="DB17" t="inlineStr">
        <is>
          <t>无</t>
        </is>
      </c>
      <c r="DC17" t="inlineStr">
        <is>
          <t>无</t>
        </is>
      </c>
      <c r="DD17" t="inlineStr">
        <is>
          <t>无</t>
        </is>
      </c>
      <c r="DE17" t="inlineStr">
        <is>
          <t>无</t>
        </is>
      </c>
      <c r="DF17" t="inlineStr">
        <is>
          <t>无</t>
        </is>
      </c>
      <c r="DG17" t="inlineStr">
        <is>
          <t>无</t>
        </is>
      </c>
      <c r="DH17" t="inlineStr">
        <is>
          <t>无</t>
        </is>
      </c>
      <c r="DI17" t="inlineStr">
        <is>
          <t>无</t>
        </is>
      </c>
      <c r="DJ17" t="inlineStr">
        <is>
          <t>无</t>
        </is>
      </c>
      <c r="DK17" t="inlineStr">
        <is>
          <t>无</t>
        </is>
      </c>
      <c r="DL17" t="inlineStr">
        <is>
          <t>无</t>
        </is>
      </c>
      <c r="DM17" t="inlineStr">
        <is>
          <t>无</t>
        </is>
      </c>
      <c r="DN17" t="inlineStr">
        <is>
          <t>无</t>
        </is>
      </c>
      <c r="DO17" t="inlineStr">
        <is>
          <t>无</t>
        </is>
      </c>
      <c r="DP17" t="inlineStr">
        <is>
          <t>无</t>
        </is>
      </c>
      <c r="DQ17" t="inlineStr">
        <is>
          <t>无</t>
        </is>
      </c>
      <c r="DR17" t="inlineStr">
        <is>
          <t>无</t>
        </is>
      </c>
      <c r="DS17" t="inlineStr">
        <is>
          <t>无</t>
        </is>
      </c>
      <c r="DT17" t="inlineStr">
        <is>
          <t>无</t>
        </is>
      </c>
      <c r="DU17" t="inlineStr">
        <is>
          <t>无</t>
        </is>
      </c>
      <c r="DV17" t="inlineStr">
        <is>
          <t>无</t>
        </is>
      </c>
      <c r="DW17" t="inlineStr">
        <is>
          <t>无</t>
        </is>
      </c>
      <c r="DX17" t="inlineStr">
        <is>
          <t>无</t>
        </is>
      </c>
      <c r="DY17" t="inlineStr">
        <is>
          <t>无</t>
        </is>
      </c>
      <c r="DZ17" t="inlineStr">
        <is>
          <t>无</t>
        </is>
      </c>
      <c r="EA17" t="inlineStr">
        <is>
          <t>无</t>
        </is>
      </c>
      <c r="EB17" t="inlineStr">
        <is>
          <t>无</t>
        </is>
      </c>
      <c r="EC17" t="inlineStr">
        <is>
          <t>无</t>
        </is>
      </c>
      <c r="ED17" t="inlineStr">
        <is>
          <t>无</t>
        </is>
      </c>
      <c r="EE17" t="inlineStr">
        <is>
          <t>无</t>
        </is>
      </c>
      <c r="EF17" t="inlineStr">
        <is>
          <t>无</t>
        </is>
      </c>
      <c r="EG17" t="inlineStr">
        <is>
          <t>无</t>
        </is>
      </c>
      <c r="EH17"/>
      <c r="EI17"/>
      <c r="EJ17"/>
    </row>
    <row r="18" ht="25.5" customHeight="1">
      <c r="A18"/>
      <c r="B18" t="inlineStr">
        <is>
          <t>ES</t>
        </is>
      </c>
      <c r="C18" t="inlineStr">
        <is>
          <t>优惠券</t>
        </is>
      </c>
      <c r="D18" t="inlineStr">
        <is>
          <t>0.15</t>
        </is>
      </c>
      <c r="E18" t="inlineStr">
        <is>
          <t>无</t>
        </is>
      </c>
      <c r="F18" t="inlineStr">
        <is>
          <t>无</t>
        </is>
      </c>
      <c r="G18" t="inlineStr">
        <is>
          <t>无</t>
        </is>
      </c>
      <c r="H18" t="inlineStr">
        <is>
          <t>VC BFCM, Funding 8.75￡</t>
        </is>
      </c>
      <c r="I18" t="inlineStr">
        <is>
          <t>VC BFCM, Funding 8.75￡</t>
        </is>
      </c>
      <c r="J18" t="inlineStr">
        <is>
          <t>VC BFCM, Funding 8.75￡</t>
        </is>
      </c>
      <c r="K18" t="inlineStr">
        <is>
          <t>VC BFCM, Funding 8.75￡</t>
        </is>
      </c>
      <c r="L18" t="inlineStr">
        <is>
          <t>VC BFCM, Funding 8.75￡</t>
        </is>
      </c>
      <c r="M18" t="inlineStr">
        <is>
          <t>VC BFCM, Funding 8.75￡</t>
        </is>
      </c>
      <c r="N18" t="inlineStr">
        <is>
          <t>VC BFCM, Funding 8.75￡</t>
        </is>
      </c>
      <c r="O18" t="inlineStr">
        <is>
          <t>VC BFCM, Funding 8.75￡</t>
        </is>
      </c>
      <c r="P18" t="inlineStr">
        <is>
          <t>VC BFCM, Funding 8.75￡</t>
        </is>
      </c>
      <c r="Q18" t="inlineStr">
        <is>
          <t>VC BFCM, Funding 8.75￡</t>
        </is>
      </c>
      <c r="R18" t="inlineStr">
        <is>
          <t>VC BFCM, Funding 8.75￡</t>
        </is>
      </c>
      <c r="S18" t="inlineStr">
        <is>
          <t>VC BFCM, Funding 8.75￡</t>
        </is>
      </c>
      <c r="T18" t="inlineStr">
        <is>
          <t>无</t>
        </is>
      </c>
      <c r="U18" t="inlineStr">
        <is>
          <t>无</t>
        </is>
      </c>
      <c r="V18" t="inlineStr">
        <is>
          <t>无</t>
        </is>
      </c>
      <c r="W18" t="inlineStr">
        <is>
          <t>无</t>
        </is>
      </c>
      <c r="X18" t="inlineStr">
        <is>
          <t>无</t>
        </is>
      </c>
      <c r="Y18" t="inlineStr">
        <is>
          <t>无</t>
        </is>
      </c>
      <c r="Z18" t="inlineStr">
        <is>
          <t>无</t>
        </is>
      </c>
      <c r="AA18" t="inlineStr">
        <is>
          <t>无</t>
        </is>
      </c>
      <c r="AB18" t="inlineStr">
        <is>
          <t>无</t>
        </is>
      </c>
      <c r="AC18" t="inlineStr">
        <is>
          <t>无</t>
        </is>
      </c>
      <c r="AD18" t="inlineStr">
        <is>
          <t>无</t>
        </is>
      </c>
      <c r="AE18" t="inlineStr">
        <is>
          <t>无</t>
        </is>
      </c>
      <c r="AF18" t="inlineStr">
        <is>
          <t>VC BD, Funding 8.75€(100pcs)</t>
        </is>
      </c>
      <c r="AG18" t="inlineStr">
        <is>
          <t>VC BD, Funding 8.75€(100pcs)</t>
        </is>
      </c>
      <c r="AH18" t="inlineStr">
        <is>
          <t>VC BD, Funding 8.75€(100pcs)</t>
        </is>
      </c>
      <c r="AI18" t="inlineStr">
        <is>
          <t>VC BD, Funding 8.75€(100pcs)</t>
        </is>
      </c>
      <c r="AJ18" t="inlineStr">
        <is>
          <t>VC BD, Funding 8.75€(100pcs)</t>
        </is>
      </c>
      <c r="AK18" t="inlineStr">
        <is>
          <t>VC BD, Funding 8.75€(100pcs)</t>
        </is>
      </c>
      <c r="AL18" t="inlineStr">
        <is>
          <t>VC BD, Funding 8.75€(100pcs)</t>
        </is>
      </c>
      <c r="AM18" t="inlineStr">
        <is>
          <t>VC BD, Funding 8.75€(100pcs)</t>
        </is>
      </c>
      <c r="AN18" t="inlineStr">
        <is>
          <t>VC BD, Funding 8.75€(100pcs)</t>
        </is>
      </c>
      <c r="AO18" t="inlineStr">
        <is>
          <t>VC BD, Funding 8.75€(100pcs)</t>
        </is>
      </c>
      <c r="AP18" t="inlineStr">
        <is>
          <t>VC BD, Funding 8.75€(100pcs)</t>
        </is>
      </c>
      <c r="AQ18" t="inlineStr">
        <is>
          <t>VC BD, Funding 8.75€(100pcs)</t>
        </is>
      </c>
      <c r="AR18" t="inlineStr">
        <is>
          <t>VC BD, Funding 8.75€(100pcs)</t>
        </is>
      </c>
      <c r="AS18" t="inlineStr">
        <is>
          <t>VC BD, Funding 8.75€(100pcs)</t>
        </is>
      </c>
      <c r="AT18" t="inlineStr">
        <is>
          <t>无</t>
        </is>
      </c>
      <c r="AU18" t="inlineStr">
        <is>
          <t>无</t>
        </is>
      </c>
      <c r="AV18" t="inlineStr">
        <is>
          <t>无</t>
        </is>
      </c>
      <c r="AW18" t="inlineStr">
        <is>
          <t>无</t>
        </is>
      </c>
      <c r="AX18" t="inlineStr">
        <is>
          <t>无</t>
        </is>
      </c>
      <c r="AY18" t="inlineStr">
        <is>
          <t>无</t>
        </is>
      </c>
      <c r="AZ18" t="inlineStr">
        <is>
          <t>无</t>
        </is>
      </c>
      <c r="BA18" t="inlineStr">
        <is>
          <t>无</t>
        </is>
      </c>
      <c r="BB18" t="inlineStr">
        <is>
          <t>无</t>
        </is>
      </c>
      <c r="BC18" t="inlineStr">
        <is>
          <t>无</t>
        </is>
      </c>
      <c r="BD18" t="inlineStr">
        <is>
          <t>无</t>
        </is>
      </c>
      <c r="BE18" t="inlineStr">
        <is>
          <t>无</t>
        </is>
      </c>
      <c r="BF18" t="inlineStr">
        <is>
          <t>无</t>
        </is>
      </c>
      <c r="BG18" t="inlineStr">
        <is>
          <t>无</t>
        </is>
      </c>
      <c r="BH18" t="inlineStr">
        <is>
          <t>无</t>
        </is>
      </c>
      <c r="BI18" t="inlineStr">
        <is>
          <t>无</t>
        </is>
      </c>
      <c r="BJ18" t="inlineStr">
        <is>
          <t>无</t>
        </is>
      </c>
      <c r="BK18" t="inlineStr">
        <is>
          <t>无</t>
        </is>
      </c>
      <c r="BL18" t="inlineStr">
        <is>
          <t>无</t>
        </is>
      </c>
      <c r="BM18" t="inlineStr">
        <is>
          <t>COUPON 10%</t>
        </is>
      </c>
      <c r="BN18" t="inlineStr">
        <is>
          <t>COUPON 10%</t>
        </is>
      </c>
      <c r="BO18" t="inlineStr">
        <is>
          <t>COUPON 10%</t>
        </is>
      </c>
      <c r="BP18" t="inlineStr">
        <is>
          <t>无</t>
        </is>
      </c>
      <c r="BQ18" t="inlineStr">
        <is>
          <t>无</t>
        </is>
      </c>
      <c r="BR18" t="inlineStr">
        <is>
          <t>无</t>
        </is>
      </c>
      <c r="BS18" t="inlineStr">
        <is>
          <t>无</t>
        </is>
      </c>
      <c r="BT18" t="inlineStr">
        <is>
          <t>无</t>
        </is>
      </c>
      <c r="BU18" t="inlineStr">
        <is>
          <t>无</t>
        </is>
      </c>
      <c r="BV18" t="inlineStr">
        <is>
          <t>无</t>
        </is>
      </c>
      <c r="BW18" t="inlineStr">
        <is>
          <t>无</t>
        </is>
      </c>
      <c r="BX18" t="inlineStr">
        <is>
          <t>无</t>
        </is>
      </c>
      <c r="BY18" t="inlineStr">
        <is>
          <t>无</t>
        </is>
      </c>
      <c r="BZ18" t="inlineStr">
        <is>
          <t>Coupon 10%</t>
        </is>
      </c>
      <c r="CA18" t="inlineStr">
        <is>
          <t>Coupon 10%</t>
        </is>
      </c>
      <c r="CB18" t="inlineStr">
        <is>
          <t>Coupon 10%</t>
        </is>
      </c>
      <c r="CC18" t="inlineStr">
        <is>
          <t>Coupon 10%</t>
        </is>
      </c>
      <c r="CD18" t="inlineStr">
        <is>
          <t>Coupon 10%</t>
        </is>
      </c>
      <c r="CE18" t="inlineStr">
        <is>
          <t>Coupon 10%</t>
        </is>
      </c>
      <c r="CF18" t="inlineStr">
        <is>
          <t>Coupon 10%</t>
        </is>
      </c>
      <c r="CG18" t="inlineStr">
        <is>
          <t>Coupon 10%</t>
        </is>
      </c>
      <c r="CH18" t="inlineStr">
        <is>
          <t>Coupon 10%</t>
        </is>
      </c>
      <c r="CI18" t="inlineStr">
        <is>
          <t>Coupon 10%</t>
        </is>
      </c>
      <c r="CJ18" t="inlineStr">
        <is>
          <t>Coupon 10%</t>
        </is>
      </c>
      <c r="CK18" t="inlineStr">
        <is>
          <t>无</t>
        </is>
      </c>
      <c r="CL18" t="inlineStr">
        <is>
          <t>无</t>
        </is>
      </c>
      <c r="CM18" t="inlineStr">
        <is>
          <t>无</t>
        </is>
      </c>
      <c r="CN18" t="inlineStr">
        <is>
          <t>无</t>
        </is>
      </c>
      <c r="CO18" t="inlineStr">
        <is>
          <t>Coupon 5%</t>
        </is>
      </c>
      <c r="CP18" t="inlineStr">
        <is>
          <t>Coupon 5%</t>
        </is>
      </c>
      <c r="CQ18" t="inlineStr">
        <is>
          <t>Coupon 5%</t>
        </is>
      </c>
      <c r="CR18" t="inlineStr">
        <is>
          <t>Coupon 5%</t>
        </is>
      </c>
      <c r="CS18" t="inlineStr">
        <is>
          <t>Coupon 5%</t>
        </is>
      </c>
      <c r="CT18" t="inlineStr">
        <is>
          <t>Coupon 5%</t>
        </is>
      </c>
      <c r="CU18" t="inlineStr">
        <is>
          <t>Coupon 5%</t>
        </is>
      </c>
      <c r="CV18" t="inlineStr">
        <is>
          <t>Coupon 5%</t>
        </is>
      </c>
      <c r="CW18" t="inlineStr">
        <is>
          <t>Coupon 5%</t>
        </is>
      </c>
      <c r="CX18" t="inlineStr">
        <is>
          <t>Coupon 5%</t>
        </is>
      </c>
      <c r="CY18" t="inlineStr">
        <is>
          <t>Coupon 5%</t>
        </is>
      </c>
      <c r="CZ18" t="inlineStr">
        <is>
          <t>Coupon 5%</t>
        </is>
      </c>
      <c r="DA18" t="inlineStr">
        <is>
          <t>Coupon 5%</t>
        </is>
      </c>
      <c r="DB18" t="inlineStr">
        <is>
          <t>无</t>
        </is>
      </c>
      <c r="DC18" t="inlineStr">
        <is>
          <t>无</t>
        </is>
      </c>
      <c r="DD18" t="inlineStr">
        <is>
          <t>无</t>
        </is>
      </c>
      <c r="DE18" t="inlineStr">
        <is>
          <t>无</t>
        </is>
      </c>
      <c r="DF18" t="inlineStr">
        <is>
          <t>无</t>
        </is>
      </c>
      <c r="DG18" t="inlineStr">
        <is>
          <t>Coupon 8%</t>
        </is>
      </c>
      <c r="DH18" t="inlineStr">
        <is>
          <t>Coupon 8%</t>
        </is>
      </c>
      <c r="DI18" t="inlineStr">
        <is>
          <t>Coupon 8%</t>
        </is>
      </c>
      <c r="DJ18" t="inlineStr">
        <is>
          <t>Coupon 8%</t>
        </is>
      </c>
      <c r="DK18" t="inlineStr">
        <is>
          <t>Coupon 8%</t>
        </is>
      </c>
      <c r="DL18" t="inlineStr">
        <is>
          <t>Coupon 8%</t>
        </is>
      </c>
      <c r="DM18" t="inlineStr">
        <is>
          <t>Coupon 8%</t>
        </is>
      </c>
      <c r="DN18" t="inlineStr">
        <is>
          <t>Coupon 8%</t>
        </is>
      </c>
      <c r="DO18" t="inlineStr">
        <is>
          <t>Coupon 8%</t>
        </is>
      </c>
      <c r="DP18" t="inlineStr">
        <is>
          <t>Coupon 8%</t>
        </is>
      </c>
      <c r="DQ18" t="inlineStr">
        <is>
          <t>Coupon 8%</t>
        </is>
      </c>
      <c r="DR18" t="inlineStr">
        <is>
          <t>Coupon 8%</t>
        </is>
      </c>
      <c r="DS18" t="inlineStr">
        <is>
          <t>Coupon 8%</t>
        </is>
      </c>
      <c r="DT18" t="inlineStr">
        <is>
          <t>Coupon 5%</t>
        </is>
      </c>
      <c r="DU18" t="inlineStr">
        <is>
          <t>Coupon 5%</t>
        </is>
      </c>
      <c r="DV18" t="inlineStr">
        <is>
          <t>Coupon 5%</t>
        </is>
      </c>
      <c r="DW18" t="inlineStr">
        <is>
          <t>Coupon 5%</t>
        </is>
      </c>
      <c r="DX18" t="inlineStr">
        <is>
          <t>Coupon 5%</t>
        </is>
      </c>
      <c r="DY18" t="inlineStr">
        <is>
          <t>Coupon 5%</t>
        </is>
      </c>
      <c r="DZ18" t="inlineStr">
        <is>
          <t>Coupon 5%</t>
        </is>
      </c>
      <c r="EA18" t="inlineStr">
        <is>
          <t>Coupon 5%</t>
        </is>
      </c>
      <c r="EB18" t="inlineStr">
        <is>
          <t>Coupon 5%</t>
        </is>
      </c>
      <c r="EC18" t="inlineStr">
        <is>
          <t>Coupon 5%</t>
        </is>
      </c>
      <c r="ED18" t="inlineStr">
        <is>
          <t>Coupon 5%</t>
        </is>
      </c>
      <c r="EE18" t="inlineStr">
        <is>
          <t>Coupon 5%</t>
        </is>
      </c>
      <c r="EF18" t="inlineStr">
        <is>
          <t>Coupon 5%</t>
        </is>
      </c>
      <c r="EG18" t="inlineStr">
        <is>
          <t>Coupon 5%</t>
        </is>
      </c>
      <c r="EH18"/>
      <c r="EI18"/>
      <c r="EJ18"/>
    </row>
    <row r="19" ht="25.5" customHeight="1">
      <c r="A19"/>
      <c r="B19" t="inlineStr">
        <is>
          <t>ES</t>
        </is>
      </c>
      <c r="C19" t="inlineStr">
        <is>
          <t>活动</t>
        </is>
      </c>
      <c r="D19" t="inlineStr">
        <is>
          <t>Funding 7.8，广告5，毛利1.68</t>
        </is>
      </c>
      <c r="E19" t="inlineStr">
        <is>
          <t>无</t>
        </is>
      </c>
      <c r="F19" t="inlineStr">
        <is>
          <t>无</t>
        </is>
      </c>
      <c r="G19" t="inlineStr">
        <is>
          <t>无</t>
        </is>
      </c>
      <c r="H19" t="inlineStr">
        <is>
          <t>VC BFCM, Funding 8.75￡</t>
        </is>
      </c>
      <c r="I19" t="inlineStr">
        <is>
          <t>VC BFCM, Funding 8.75￡</t>
        </is>
      </c>
      <c r="J19" t="inlineStr">
        <is>
          <t>VC BFCM, Funding 8.75￡</t>
        </is>
      </c>
      <c r="K19" t="inlineStr">
        <is>
          <t>VC BFCM, Funding 8.75￡</t>
        </is>
      </c>
      <c r="L19" t="inlineStr">
        <is>
          <t>VC BFCM, Funding 8.75￡</t>
        </is>
      </c>
      <c r="M19" t="inlineStr">
        <is>
          <t>VC BFCM, Funding 8.75￡</t>
        </is>
      </c>
      <c r="N19" t="inlineStr">
        <is>
          <t>VC BFCM, Funding 8.75￡</t>
        </is>
      </c>
      <c r="O19" t="inlineStr">
        <is>
          <t>VC BFCM, Funding 8.75￡</t>
        </is>
      </c>
      <c r="P19" t="inlineStr">
        <is>
          <t>VC BFCM, Funding 8.75￡</t>
        </is>
      </c>
      <c r="Q19" t="inlineStr">
        <is>
          <t>VC BFCM, Funding 8.75￡</t>
        </is>
      </c>
      <c r="R19" t="inlineStr">
        <is>
          <t>VC BFCM, Funding 8.75￡</t>
        </is>
      </c>
      <c r="S19" t="inlineStr">
        <is>
          <t>VC BFCM, Funding 8.75￡</t>
        </is>
      </c>
      <c r="T19" t="inlineStr">
        <is>
          <t>无</t>
        </is>
      </c>
      <c r="U19" t="inlineStr">
        <is>
          <t>无</t>
        </is>
      </c>
      <c r="V19" t="inlineStr">
        <is>
          <t>无</t>
        </is>
      </c>
      <c r="W19" t="inlineStr">
        <is>
          <t>无</t>
        </is>
      </c>
      <c r="X19" t="inlineStr">
        <is>
          <t>无</t>
        </is>
      </c>
      <c r="Y19" t="inlineStr">
        <is>
          <t>无</t>
        </is>
      </c>
      <c r="Z19" t="inlineStr">
        <is>
          <t>无</t>
        </is>
      </c>
      <c r="AA19" t="inlineStr">
        <is>
          <t>无</t>
        </is>
      </c>
      <c r="AB19" t="inlineStr">
        <is>
          <t>无</t>
        </is>
      </c>
      <c r="AC19" t="inlineStr">
        <is>
          <t>无</t>
        </is>
      </c>
      <c r="AD19" t="inlineStr">
        <is>
          <t>无</t>
        </is>
      </c>
      <c r="AE19" t="inlineStr">
        <is>
          <t>无</t>
        </is>
      </c>
      <c r="AF19" t="inlineStr">
        <is>
          <t>VC BD, Funding 8.75€(100pcs)</t>
        </is>
      </c>
      <c r="AG19" t="inlineStr">
        <is>
          <t>VC BD, Funding 8.75€(100pcs)</t>
        </is>
      </c>
      <c r="AH19" t="inlineStr">
        <is>
          <t>VC BD, Funding 8.75€(100pcs)</t>
        </is>
      </c>
      <c r="AI19" t="inlineStr">
        <is>
          <t>VC BD, Funding 8.75€(100pcs)</t>
        </is>
      </c>
      <c r="AJ19" t="inlineStr">
        <is>
          <t>VC BD, Funding 8.75€(100pcs)</t>
        </is>
      </c>
      <c r="AK19" t="inlineStr">
        <is>
          <t>VC BD, Funding 8.75€(100pcs)</t>
        </is>
      </c>
      <c r="AL19" t="inlineStr">
        <is>
          <t>VC BD, Funding 8.75€(100pcs)</t>
        </is>
      </c>
      <c r="AM19" t="inlineStr">
        <is>
          <t>VC BD, Funding 8.75€(100pcs)</t>
        </is>
      </c>
      <c r="AN19" t="inlineStr">
        <is>
          <t>VC BD, Funding 8.75€(100pcs)</t>
        </is>
      </c>
      <c r="AO19" t="inlineStr">
        <is>
          <t>VC BD, Funding 8.75€(100pcs)</t>
        </is>
      </c>
      <c r="AP19" t="inlineStr">
        <is>
          <t>VC BD, Funding 8.75€(100pcs)</t>
        </is>
      </c>
      <c r="AQ19" t="inlineStr">
        <is>
          <t>VC BD, Funding 8.75€(100pcs)</t>
        </is>
      </c>
      <c r="AR19" t="inlineStr">
        <is>
          <t>VC BD, Funding 8.75€(100pcs)</t>
        </is>
      </c>
      <c r="AS19" t="inlineStr">
        <is>
          <t>VC BD, Funding 8.75€(100pcs)</t>
        </is>
      </c>
      <c r="AT19" t="inlineStr">
        <is>
          <t>无</t>
        </is>
      </c>
      <c r="AU19" t="inlineStr">
        <is>
          <t>无</t>
        </is>
      </c>
      <c r="AV19" t="inlineStr">
        <is>
          <t>无</t>
        </is>
      </c>
      <c r="AW19" t="inlineStr">
        <is>
          <t>无</t>
        </is>
      </c>
      <c r="AX19" t="inlineStr">
        <is>
          <t>无</t>
        </is>
      </c>
      <c r="AY19" t="inlineStr">
        <is>
          <t>无</t>
        </is>
      </c>
      <c r="AZ19" t="inlineStr">
        <is>
          <t>无</t>
        </is>
      </c>
      <c r="BA19" t="inlineStr">
        <is>
          <t>无</t>
        </is>
      </c>
      <c r="BB19" t="inlineStr">
        <is>
          <t>无</t>
        </is>
      </c>
      <c r="BC19" t="inlineStr">
        <is>
          <t>无</t>
        </is>
      </c>
      <c r="BD19" t="inlineStr">
        <is>
          <t>无</t>
        </is>
      </c>
      <c r="BE19" t="inlineStr">
        <is>
          <t>无</t>
        </is>
      </c>
      <c r="BF19" t="inlineStr">
        <is>
          <t>无</t>
        </is>
      </c>
      <c r="BG19" t="inlineStr">
        <is>
          <t>无</t>
        </is>
      </c>
      <c r="BH19" t="inlineStr">
        <is>
          <t>无</t>
        </is>
      </c>
      <c r="BI19" t="inlineStr">
        <is>
          <t>无</t>
        </is>
      </c>
      <c r="BJ19" t="inlineStr">
        <is>
          <t>无</t>
        </is>
      </c>
      <c r="BK19" t="inlineStr">
        <is>
          <t>无</t>
        </is>
      </c>
      <c r="BL19" t="inlineStr">
        <is>
          <t>无</t>
        </is>
      </c>
      <c r="BM19" t="inlineStr">
        <is>
          <t>无</t>
        </is>
      </c>
      <c r="BN19" t="inlineStr">
        <is>
          <t>无</t>
        </is>
      </c>
      <c r="BO19" t="inlineStr">
        <is>
          <t>无</t>
        </is>
      </c>
      <c r="BP19" t="inlineStr">
        <is>
          <t>VC BD, Funding 6.82￡(50pcs)</t>
        </is>
      </c>
      <c r="BQ19" t="inlineStr">
        <is>
          <t>VC BD, Funding 6.82￡(50pcs)</t>
        </is>
      </c>
      <c r="BR19" t="inlineStr">
        <is>
          <t>VC BD, Funding 6.82￡(50pcs)</t>
        </is>
      </c>
      <c r="BS19" t="inlineStr">
        <is>
          <t>VC BD, Funding 6.82￡(50pcs)</t>
        </is>
      </c>
      <c r="BT19" t="inlineStr">
        <is>
          <t>VC BD, Funding 6.82￡(50pcs)</t>
        </is>
      </c>
      <c r="BU19" t="inlineStr">
        <is>
          <t>VC BD, Funding 6.82￡(50pcs)</t>
        </is>
      </c>
      <c r="BV19" t="inlineStr">
        <is>
          <t>VC BD, Funding 6.82￡(50pcs)</t>
        </is>
      </c>
      <c r="BW19" t="inlineStr">
        <is>
          <t>VC BD, Funding 6.82￡(50pcs)</t>
        </is>
      </c>
      <c r="BX19" t="inlineStr">
        <is>
          <t>VC BD, Funding 6.82￡(50pcs)</t>
        </is>
      </c>
      <c r="BY19" t="inlineStr">
        <is>
          <t>VC BD, Funding 6.82￡(50pcs)</t>
        </is>
      </c>
      <c r="BZ19" t="inlineStr">
        <is>
          <t>无</t>
        </is>
      </c>
      <c r="CA19" t="inlineStr">
        <is>
          <t>无</t>
        </is>
      </c>
      <c r="CB19" t="inlineStr">
        <is>
          <t>无</t>
        </is>
      </c>
      <c r="CC19" t="inlineStr">
        <is>
          <t>无</t>
        </is>
      </c>
      <c r="CD19" t="inlineStr">
        <is>
          <t>无</t>
        </is>
      </c>
      <c r="CE19" t="inlineStr">
        <is>
          <t>无</t>
        </is>
      </c>
      <c r="CF19" t="inlineStr">
        <is>
          <t>无</t>
        </is>
      </c>
      <c r="CG19" t="inlineStr">
        <is>
          <t>无</t>
        </is>
      </c>
      <c r="CH19" t="inlineStr">
        <is>
          <t>VC BD, Funding 5.8€(80pcs)</t>
        </is>
      </c>
      <c r="CI19" t="inlineStr">
        <is>
          <t>VC BD, Funding 5.8€(80pcs)</t>
        </is>
      </c>
      <c r="CJ19" t="inlineStr">
        <is>
          <t>VC BD, Funding 5.8€(80pcs)</t>
        </is>
      </c>
      <c r="CK19" t="inlineStr">
        <is>
          <t>VC BD, Funding 5.8€(80pcs)</t>
        </is>
      </c>
      <c r="CL19" t="inlineStr">
        <is>
          <t>VC BD, Funding 5.8€(80pcs)</t>
        </is>
      </c>
      <c r="CM19" t="inlineStr">
        <is>
          <t>VC BD, Funding 5.8€(80pcs)</t>
        </is>
      </c>
      <c r="CN19" t="inlineStr">
        <is>
          <t>VC BD, Funding 5.8€(80pcs)</t>
        </is>
      </c>
      <c r="CO19" t="inlineStr">
        <is>
          <t>无</t>
        </is>
      </c>
      <c r="CP19" t="inlineStr">
        <is>
          <t>无</t>
        </is>
      </c>
      <c r="CQ19" t="inlineStr">
        <is>
          <t>无</t>
        </is>
      </c>
      <c r="CR19" t="inlineStr">
        <is>
          <t>无</t>
        </is>
      </c>
      <c r="CS19" t="inlineStr">
        <is>
          <t>无</t>
        </is>
      </c>
      <c r="CT19" t="inlineStr">
        <is>
          <t>无</t>
        </is>
      </c>
      <c r="CU19" t="inlineStr">
        <is>
          <t>无</t>
        </is>
      </c>
      <c r="CV19" t="inlineStr">
        <is>
          <t>无</t>
        </is>
      </c>
      <c r="CW19" t="inlineStr">
        <is>
          <t>无</t>
        </is>
      </c>
      <c r="CX19" t="inlineStr">
        <is>
          <t>无</t>
        </is>
      </c>
      <c r="CY19" t="inlineStr">
        <is>
          <t>无</t>
        </is>
      </c>
      <c r="CZ19" t="inlineStr">
        <is>
          <t>无</t>
        </is>
      </c>
      <c r="DA19" t="inlineStr">
        <is>
          <t>无</t>
        </is>
      </c>
      <c r="DB19" t="inlineStr">
        <is>
          <t>无</t>
        </is>
      </c>
      <c r="DC19" t="inlineStr">
        <is>
          <t>无</t>
        </is>
      </c>
      <c r="DD19" t="inlineStr">
        <is>
          <t>无</t>
        </is>
      </c>
      <c r="DE19" t="inlineStr">
        <is>
          <t>无</t>
        </is>
      </c>
      <c r="DF19" t="inlineStr">
        <is>
          <t>无</t>
        </is>
      </c>
      <c r="DG19" t="inlineStr">
        <is>
          <t>无</t>
        </is>
      </c>
      <c r="DH19" t="inlineStr">
        <is>
          <t>无</t>
        </is>
      </c>
      <c r="DI19" t="inlineStr">
        <is>
          <t>无</t>
        </is>
      </c>
      <c r="DJ19" t="inlineStr">
        <is>
          <t>无</t>
        </is>
      </c>
      <c r="DK19" t="inlineStr">
        <is>
          <t>无</t>
        </is>
      </c>
      <c r="DL19" t="inlineStr">
        <is>
          <t>无</t>
        </is>
      </c>
      <c r="DM19" t="inlineStr">
        <is>
          <t>无</t>
        </is>
      </c>
      <c r="DN19" t="inlineStr">
        <is>
          <t>无</t>
        </is>
      </c>
      <c r="DO19" t="inlineStr">
        <is>
          <t>无</t>
        </is>
      </c>
      <c r="DP19" t="inlineStr">
        <is>
          <t>无</t>
        </is>
      </c>
      <c r="DQ19" t="inlineStr">
        <is>
          <t>无</t>
        </is>
      </c>
      <c r="DR19" t="inlineStr">
        <is>
          <t>无</t>
        </is>
      </c>
      <c r="DS19" t="inlineStr">
        <is>
          <t>无</t>
        </is>
      </c>
      <c r="DT19" t="inlineStr">
        <is>
          <t>无</t>
        </is>
      </c>
      <c r="DU19" t="inlineStr">
        <is>
          <t>无</t>
        </is>
      </c>
      <c r="DV19" t="inlineStr">
        <is>
          <t>无</t>
        </is>
      </c>
      <c r="DW19" t="inlineStr">
        <is>
          <t>无</t>
        </is>
      </c>
      <c r="DX19" t="inlineStr">
        <is>
          <t>无</t>
        </is>
      </c>
      <c r="DY19" t="inlineStr">
        <is>
          <t>无</t>
        </is>
      </c>
      <c r="DZ19" t="inlineStr">
        <is>
          <t>无</t>
        </is>
      </c>
      <c r="EA19" t="inlineStr">
        <is>
          <t>无</t>
        </is>
      </c>
      <c r="EB19" t="inlineStr">
        <is>
          <t>无</t>
        </is>
      </c>
      <c r="EC19" t="inlineStr">
        <is>
          <t>无</t>
        </is>
      </c>
      <c r="ED19" t="inlineStr">
        <is>
          <t>无</t>
        </is>
      </c>
      <c r="EE19" t="inlineStr">
        <is>
          <t>无</t>
        </is>
      </c>
      <c r="EF19" t="inlineStr">
        <is>
          <t>无</t>
        </is>
      </c>
      <c r="EG19" t="inlineStr">
        <is>
          <t>无</t>
        </is>
      </c>
      <c r="EH19"/>
      <c r="EI19"/>
      <c r="EJ19"/>
    </row>
    <row r="20" ht="25.5" customHeight="1">
      <c r="A20"/>
      <c r="B20" t="inlineStr">
        <is>
          <t>UK</t>
        </is>
      </c>
      <c r="C20" t="inlineStr">
        <is>
          <t>优惠券</t>
        </is>
      </c>
      <c r="D20" t="inlineStr">
        <is>
          <t>0.15</t>
        </is>
      </c>
      <c r="E20" t="inlineStr">
        <is>
          <t>无</t>
        </is>
      </c>
      <c r="F20" t="inlineStr">
        <is>
          <t>无</t>
        </is>
      </c>
      <c r="G20" t="inlineStr">
        <is>
          <t>无</t>
        </is>
      </c>
      <c r="H20" t="inlineStr">
        <is>
          <t>VC BFCM, Funding 8.75￡</t>
        </is>
      </c>
      <c r="I20" t="inlineStr">
        <is>
          <t>VC BFCM, Funding 8.75￡</t>
        </is>
      </c>
      <c r="J20" t="inlineStr">
        <is>
          <t>VC BFCM, Funding 8.75￡</t>
        </is>
      </c>
      <c r="K20" t="inlineStr">
        <is>
          <t>VC BFCM, Funding 8.75￡</t>
        </is>
      </c>
      <c r="L20" t="inlineStr">
        <is>
          <t>VC BFCM, Funding 8.75￡</t>
        </is>
      </c>
      <c r="M20" t="inlineStr">
        <is>
          <t>VC BFCM, Funding 8.75￡</t>
        </is>
      </c>
      <c r="N20" t="inlineStr">
        <is>
          <t>VC BFCM, Funding 8.75￡</t>
        </is>
      </c>
      <c r="O20" t="inlineStr">
        <is>
          <t>VC BFCM, Funding 8.75￡</t>
        </is>
      </c>
      <c r="P20" t="inlineStr">
        <is>
          <t>VC BFCM, Funding 8.75￡</t>
        </is>
      </c>
      <c r="Q20" t="inlineStr">
        <is>
          <t>VC BFCM, Funding 8.75￡</t>
        </is>
      </c>
      <c r="R20" t="inlineStr">
        <is>
          <t>VC BFCM, Funding 8.75￡</t>
        </is>
      </c>
      <c r="S20" t="inlineStr">
        <is>
          <t>VC BFCM, Funding 8.75￡</t>
        </is>
      </c>
      <c r="T20" t="inlineStr">
        <is>
          <t>无</t>
        </is>
      </c>
      <c r="U20" t="inlineStr">
        <is>
          <t>无</t>
        </is>
      </c>
      <c r="V20" t="inlineStr">
        <is>
          <t>无</t>
        </is>
      </c>
      <c r="W20" t="inlineStr">
        <is>
          <t>无</t>
        </is>
      </c>
      <c r="X20" t="inlineStr">
        <is>
          <t>无</t>
        </is>
      </c>
      <c r="Y20" t="inlineStr">
        <is>
          <t>无</t>
        </is>
      </c>
      <c r="Z20" t="inlineStr">
        <is>
          <t>无</t>
        </is>
      </c>
      <c r="AA20" t="inlineStr">
        <is>
          <t>无</t>
        </is>
      </c>
      <c r="AB20" t="inlineStr">
        <is>
          <t>无</t>
        </is>
      </c>
      <c r="AC20" t="inlineStr">
        <is>
          <t>无</t>
        </is>
      </c>
      <c r="AD20" t="inlineStr">
        <is>
          <t>无</t>
        </is>
      </c>
      <c r="AE20" t="inlineStr">
        <is>
          <t>无</t>
        </is>
      </c>
      <c r="AF20" t="inlineStr">
        <is>
          <t>VC BD, Funding 8.75€(100pcs)</t>
        </is>
      </c>
      <c r="AG20" t="inlineStr">
        <is>
          <t>VC BD, Funding 8.75€(100pcs)</t>
        </is>
      </c>
      <c r="AH20" t="inlineStr">
        <is>
          <t>VC BD, Funding 8.75€(100pcs)</t>
        </is>
      </c>
      <c r="AI20" t="inlineStr">
        <is>
          <t>VC BD, Funding 8.75€(100pcs)</t>
        </is>
      </c>
      <c r="AJ20" t="inlineStr">
        <is>
          <t>VC BD, Funding 8.75€(100pcs)</t>
        </is>
      </c>
      <c r="AK20" t="inlineStr">
        <is>
          <t>VC BD, Funding 8.75€(100pcs)</t>
        </is>
      </c>
      <c r="AL20" t="inlineStr">
        <is>
          <t>VC BD, Funding 8.75€(100pcs)</t>
        </is>
      </c>
      <c r="AM20" t="inlineStr">
        <is>
          <t>VC BD, Funding 8.75€(100pcs)</t>
        </is>
      </c>
      <c r="AN20" t="inlineStr">
        <is>
          <t>VC BD, Funding 8.75€(100pcs)</t>
        </is>
      </c>
      <c r="AO20" t="inlineStr">
        <is>
          <t>VC BD, Funding 8.75€(100pcs)</t>
        </is>
      </c>
      <c r="AP20" t="inlineStr">
        <is>
          <t>VC BD, Funding 8.75€(100pcs)</t>
        </is>
      </c>
      <c r="AQ20" t="inlineStr">
        <is>
          <t>VC BD, Funding 8.75€(100pcs)</t>
        </is>
      </c>
      <c r="AR20" t="inlineStr">
        <is>
          <t>VC BD, Funding 8.75€(100pcs)</t>
        </is>
      </c>
      <c r="AS20" t="inlineStr">
        <is>
          <t>VC BD, Funding 8.75€(100pcs)</t>
        </is>
      </c>
      <c r="AT20" t="inlineStr">
        <is>
          <t>无</t>
        </is>
      </c>
      <c r="AU20" t="inlineStr">
        <is>
          <t>无</t>
        </is>
      </c>
      <c r="AV20" t="inlineStr">
        <is>
          <t>无</t>
        </is>
      </c>
      <c r="AW20" t="inlineStr">
        <is>
          <t>无</t>
        </is>
      </c>
      <c r="AX20" t="inlineStr">
        <is>
          <t>无</t>
        </is>
      </c>
      <c r="AY20" t="inlineStr">
        <is>
          <t>无</t>
        </is>
      </c>
      <c r="AZ20" t="inlineStr">
        <is>
          <t>无</t>
        </is>
      </c>
      <c r="BA20" t="inlineStr">
        <is>
          <t>无</t>
        </is>
      </c>
      <c r="BB20" t="inlineStr">
        <is>
          <t>COUPON 10%</t>
        </is>
      </c>
      <c r="BC20"/>
      <c r="BD20"/>
      <c r="BE20"/>
      <c r="BF20"/>
      <c r="BG20"/>
      <c r="BH20"/>
      <c r="BI20"/>
      <c r="BJ20"/>
      <c r="BK20"/>
      <c r="BL20"/>
      <c r="BM20" t="inlineStr">
        <is>
          <t>无</t>
        </is>
      </c>
      <c r="BN20" t="inlineStr">
        <is>
          <t>无</t>
        </is>
      </c>
      <c r="BO20" t="inlineStr">
        <is>
          <t>无</t>
        </is>
      </c>
      <c r="BP20" t="inlineStr">
        <is>
          <t>无</t>
        </is>
      </c>
      <c r="BQ20" t="inlineStr">
        <is>
          <t>无</t>
        </is>
      </c>
      <c r="BR20" t="inlineStr">
        <is>
          <t>无</t>
        </is>
      </c>
      <c r="BS20" t="inlineStr">
        <is>
          <t>无</t>
        </is>
      </c>
      <c r="BT20" t="inlineStr">
        <is>
          <t>无</t>
        </is>
      </c>
      <c r="BU20" t="inlineStr">
        <is>
          <t>无</t>
        </is>
      </c>
      <c r="BV20" t="inlineStr">
        <is>
          <t>无</t>
        </is>
      </c>
      <c r="BW20" t="inlineStr">
        <is>
          <t>无</t>
        </is>
      </c>
      <c r="BX20" t="inlineStr">
        <is>
          <t>无</t>
        </is>
      </c>
      <c r="BY20" t="inlineStr">
        <is>
          <t>无</t>
        </is>
      </c>
      <c r="BZ20" t="inlineStr">
        <is>
          <t>无</t>
        </is>
      </c>
      <c r="CA20" t="inlineStr">
        <is>
          <t>无</t>
        </is>
      </c>
      <c r="CB20" t="inlineStr">
        <is>
          <t>无</t>
        </is>
      </c>
      <c r="CC20" t="inlineStr">
        <is>
          <t>Coupon 10%</t>
        </is>
      </c>
      <c r="CD20" t="inlineStr">
        <is>
          <t>Coupon 10%</t>
        </is>
      </c>
      <c r="CE20" t="inlineStr">
        <is>
          <t>Coupon 10%</t>
        </is>
      </c>
      <c r="CF20" t="inlineStr">
        <is>
          <t>Coupon 10%</t>
        </is>
      </c>
      <c r="CG20" t="inlineStr">
        <is>
          <t>Coupon 10%</t>
        </is>
      </c>
      <c r="CH20" t="inlineStr">
        <is>
          <t>Coupon 10%</t>
        </is>
      </c>
      <c r="CI20" t="inlineStr">
        <is>
          <t>Coupon 10%</t>
        </is>
      </c>
      <c r="CJ20" t="inlineStr">
        <is>
          <t>Coupon 10%</t>
        </is>
      </c>
      <c r="CK20" t="inlineStr">
        <is>
          <t>无</t>
        </is>
      </c>
      <c r="CL20" t="inlineStr">
        <is>
          <t>无</t>
        </is>
      </c>
      <c r="CM20" t="inlineStr">
        <is>
          <t>无</t>
        </is>
      </c>
      <c r="CN20" t="inlineStr">
        <is>
          <t>无</t>
        </is>
      </c>
      <c r="CO20" t="inlineStr">
        <is>
          <t>Coupon 10%</t>
        </is>
      </c>
      <c r="CP20" t="inlineStr">
        <is>
          <t>Coupon 10%</t>
        </is>
      </c>
      <c r="CQ20" t="inlineStr">
        <is>
          <t>Coupon 10%</t>
        </is>
      </c>
      <c r="CR20" t="inlineStr">
        <is>
          <t>Coupon 10%</t>
        </is>
      </c>
      <c r="CS20" t="inlineStr">
        <is>
          <t>Coupon 10%</t>
        </is>
      </c>
      <c r="CT20" t="inlineStr">
        <is>
          <t>Coupon 10%</t>
        </is>
      </c>
      <c r="CU20" t="inlineStr">
        <is>
          <t>Coupon 10%</t>
        </is>
      </c>
      <c r="CV20" t="inlineStr">
        <is>
          <t>Coupon 10%</t>
        </is>
      </c>
      <c r="CW20" t="inlineStr">
        <is>
          <t>Coupon 10%</t>
        </is>
      </c>
      <c r="CX20" t="inlineStr">
        <is>
          <t>Coupon 10%</t>
        </is>
      </c>
      <c r="CY20" t="inlineStr">
        <is>
          <t>Coupon 10%</t>
        </is>
      </c>
      <c r="CZ20" t="inlineStr">
        <is>
          <t>Coupon 10%</t>
        </is>
      </c>
      <c r="DA20" t="inlineStr">
        <is>
          <t>Coupon 10%</t>
        </is>
      </c>
      <c r="DB20" t="inlineStr">
        <is>
          <t>无</t>
        </is>
      </c>
      <c r="DC20" t="inlineStr">
        <is>
          <t>无</t>
        </is>
      </c>
      <c r="DD20" t="inlineStr">
        <is>
          <t>无</t>
        </is>
      </c>
      <c r="DE20" t="inlineStr">
        <is>
          <t>无</t>
        </is>
      </c>
      <c r="DF20" t="inlineStr">
        <is>
          <t>无</t>
        </is>
      </c>
      <c r="DG20" t="inlineStr">
        <is>
          <t>无</t>
        </is>
      </c>
      <c r="DH20" t="inlineStr">
        <is>
          <t>无</t>
        </is>
      </c>
      <c r="DI20" t="inlineStr">
        <is>
          <t>无</t>
        </is>
      </c>
      <c r="DJ20" t="inlineStr">
        <is>
          <t>无</t>
        </is>
      </c>
      <c r="DK20" t="inlineStr">
        <is>
          <t>无</t>
        </is>
      </c>
      <c r="DL20" t="inlineStr">
        <is>
          <t>无</t>
        </is>
      </c>
      <c r="DM20" t="inlineStr">
        <is>
          <t>无</t>
        </is>
      </c>
      <c r="DN20" t="inlineStr">
        <is>
          <t>无</t>
        </is>
      </c>
      <c r="DO20" t="inlineStr">
        <is>
          <t>无</t>
        </is>
      </c>
      <c r="DP20" t="inlineStr">
        <is>
          <t>无</t>
        </is>
      </c>
      <c r="DQ20" t="inlineStr">
        <is>
          <t>无</t>
        </is>
      </c>
      <c r="DR20" t="inlineStr">
        <is>
          <t>无</t>
        </is>
      </c>
      <c r="DS20" t="inlineStr">
        <is>
          <t>无</t>
        </is>
      </c>
      <c r="DT20" t="inlineStr">
        <is>
          <t>无</t>
        </is>
      </c>
      <c r="DU20" t="inlineStr">
        <is>
          <t>无</t>
        </is>
      </c>
      <c r="DV20" t="inlineStr">
        <is>
          <t>无</t>
        </is>
      </c>
      <c r="DW20" t="inlineStr">
        <is>
          <t>无</t>
        </is>
      </c>
      <c r="DX20" t="inlineStr">
        <is>
          <t>无</t>
        </is>
      </c>
      <c r="DY20" t="inlineStr">
        <is>
          <t>无</t>
        </is>
      </c>
      <c r="DZ20" t="inlineStr">
        <is>
          <t>无</t>
        </is>
      </c>
      <c r="EA20" t="inlineStr">
        <is>
          <t>无</t>
        </is>
      </c>
      <c r="EB20" t="inlineStr">
        <is>
          <t>无</t>
        </is>
      </c>
      <c r="EC20" t="inlineStr">
        <is>
          <t>无</t>
        </is>
      </c>
      <c r="ED20" t="inlineStr">
        <is>
          <t>无</t>
        </is>
      </c>
      <c r="EE20" t="inlineStr">
        <is>
          <t>无</t>
        </is>
      </c>
      <c r="EF20" t="inlineStr">
        <is>
          <t>无</t>
        </is>
      </c>
      <c r="EG20" t="inlineStr">
        <is>
          <t>无</t>
        </is>
      </c>
      <c r="EH20" t="inlineStr">
        <is>
          <t>无</t>
        </is>
      </c>
      <c r="EI20" t="inlineStr">
        <is>
          <t>无</t>
        </is>
      </c>
      <c r="EJ20"/>
    </row>
    <row r="21" ht="25.5" customHeight="1">
      <c r="A21"/>
      <c r="B21" t="inlineStr">
        <is>
          <t>UK</t>
        </is>
      </c>
      <c r="C21" t="inlineStr">
        <is>
          <t>活动</t>
        </is>
      </c>
      <c r="D21" t="inlineStr">
        <is>
          <t>Funding 6.9，广告5，毛利1.13</t>
        </is>
      </c>
      <c r="E21" t="inlineStr">
        <is>
          <t>无</t>
        </is>
      </c>
      <c r="F21" t="inlineStr">
        <is>
          <t>无</t>
        </is>
      </c>
      <c r="G21" t="inlineStr">
        <is>
          <t>无</t>
        </is>
      </c>
      <c r="H21" t="inlineStr">
        <is>
          <t>VC BFCM, Funding 8.75￡</t>
        </is>
      </c>
      <c r="I21" t="inlineStr">
        <is>
          <t>VC BFCM, Funding 8.75￡</t>
        </is>
      </c>
      <c r="J21" t="inlineStr">
        <is>
          <t>VC BFCM, Funding 8.75￡</t>
        </is>
      </c>
      <c r="K21" t="inlineStr">
        <is>
          <t>VC BFCM, Funding 8.75￡</t>
        </is>
      </c>
      <c r="L21" t="inlineStr">
        <is>
          <t>VC BFCM, Funding 8.75￡</t>
        </is>
      </c>
      <c r="M21" t="inlineStr">
        <is>
          <t>VC BFCM, Funding 8.75￡</t>
        </is>
      </c>
      <c r="N21" t="inlineStr">
        <is>
          <t>VC BFCM, Funding 8.75￡</t>
        </is>
      </c>
      <c r="O21" t="inlineStr">
        <is>
          <t>VC BFCM, Funding 8.75￡</t>
        </is>
      </c>
      <c r="P21" t="inlineStr">
        <is>
          <t>VC BFCM, Funding 8.75￡</t>
        </is>
      </c>
      <c r="Q21" t="inlineStr">
        <is>
          <t>VC BFCM, Funding 8.75￡</t>
        </is>
      </c>
      <c r="R21" t="inlineStr">
        <is>
          <t>VC BFCM, Funding 8.75￡</t>
        </is>
      </c>
      <c r="S21" t="inlineStr">
        <is>
          <t>VC BFCM, Funding 8.75￡</t>
        </is>
      </c>
      <c r="T21" t="inlineStr">
        <is>
          <t>无</t>
        </is>
      </c>
      <c r="U21" t="inlineStr">
        <is>
          <t>无</t>
        </is>
      </c>
      <c r="V21" t="inlineStr">
        <is>
          <t>无</t>
        </is>
      </c>
      <c r="W21" t="inlineStr">
        <is>
          <t>无</t>
        </is>
      </c>
      <c r="X21" t="inlineStr">
        <is>
          <t>无</t>
        </is>
      </c>
      <c r="Y21" t="inlineStr">
        <is>
          <t>无</t>
        </is>
      </c>
      <c r="Z21" t="inlineStr">
        <is>
          <t>无</t>
        </is>
      </c>
      <c r="AA21" t="inlineStr">
        <is>
          <t>无</t>
        </is>
      </c>
      <c r="AB21" t="inlineStr">
        <is>
          <t>无</t>
        </is>
      </c>
      <c r="AC21" t="inlineStr">
        <is>
          <t>无</t>
        </is>
      </c>
      <c r="AD21" t="inlineStr">
        <is>
          <t>无</t>
        </is>
      </c>
      <c r="AE21" t="inlineStr">
        <is>
          <t>无</t>
        </is>
      </c>
      <c r="AF21" t="inlineStr">
        <is>
          <t>VC BD, Funding 8.75€(100pcs)</t>
        </is>
      </c>
      <c r="AG21" t="inlineStr">
        <is>
          <t>VC BD, Funding 8.75€(100pcs)</t>
        </is>
      </c>
      <c r="AH21" t="inlineStr">
        <is>
          <t>VC BD, Funding 8.75€(100pcs)</t>
        </is>
      </c>
      <c r="AI21" t="inlineStr">
        <is>
          <t>VC BD, Funding 8.75€(100pcs)</t>
        </is>
      </c>
      <c r="AJ21" t="inlineStr">
        <is>
          <t>VC BD, Funding 8.75€(100pcs)</t>
        </is>
      </c>
      <c r="AK21" t="inlineStr">
        <is>
          <t>VC BD, Funding 8.75€(100pcs)</t>
        </is>
      </c>
      <c r="AL21" t="inlineStr">
        <is>
          <t>VC BD, Funding 8.75€(100pcs)</t>
        </is>
      </c>
      <c r="AM21" t="inlineStr">
        <is>
          <t>VC BD, Funding 8.75€(100pcs)</t>
        </is>
      </c>
      <c r="AN21" t="inlineStr">
        <is>
          <t>VC BD, Funding 8.75€(100pcs)</t>
        </is>
      </c>
      <c r="AO21" t="inlineStr">
        <is>
          <t>VC BD, Funding 8.75€(100pcs)</t>
        </is>
      </c>
      <c r="AP21" t="inlineStr">
        <is>
          <t>VC BD, Funding 8.75€(100pcs)</t>
        </is>
      </c>
      <c r="AQ21" t="inlineStr">
        <is>
          <t>VC BD, Funding 8.75€(100pcs)</t>
        </is>
      </c>
      <c r="AR21" t="inlineStr">
        <is>
          <t>VC BD, Funding 8.75€(100pcs)</t>
        </is>
      </c>
      <c r="AS21" t="inlineStr">
        <is>
          <t>VC BD, Funding 8.75€(100pcs)</t>
        </is>
      </c>
      <c r="AT21" t="inlineStr">
        <is>
          <t>无</t>
        </is>
      </c>
      <c r="AU21" t="inlineStr">
        <is>
          <t>无</t>
        </is>
      </c>
      <c r="AV21" t="inlineStr">
        <is>
          <t>无</t>
        </is>
      </c>
      <c r="AW21" t="inlineStr">
        <is>
          <t>无</t>
        </is>
      </c>
      <c r="AX21" t="inlineStr">
        <is>
          <t>无</t>
        </is>
      </c>
      <c r="AY21" t="inlineStr">
        <is>
          <t>无</t>
        </is>
      </c>
      <c r="AZ21" t="inlineStr">
        <is>
          <t>无</t>
        </is>
      </c>
      <c r="BA21" t="inlineStr">
        <is>
          <t>无</t>
        </is>
      </c>
      <c r="BB21" t="inlineStr">
        <is>
          <t>无</t>
        </is>
      </c>
      <c r="BC21" t="inlineStr">
        <is>
          <t>无</t>
        </is>
      </c>
      <c r="BD21" t="inlineStr">
        <is>
          <t>无</t>
        </is>
      </c>
      <c r="BE21" t="inlineStr">
        <is>
          <t>无</t>
        </is>
      </c>
      <c r="BF21" t="inlineStr">
        <is>
          <t>无</t>
        </is>
      </c>
      <c r="BG21" t="inlineStr">
        <is>
          <t>无</t>
        </is>
      </c>
      <c r="BH21" t="inlineStr">
        <is>
          <t>无</t>
        </is>
      </c>
      <c r="BI21" t="inlineStr">
        <is>
          <t>无</t>
        </is>
      </c>
      <c r="BJ21" t="inlineStr">
        <is>
          <t>无</t>
        </is>
      </c>
      <c r="BK21" t="inlineStr">
        <is>
          <t>无</t>
        </is>
      </c>
      <c r="BL21" t="inlineStr">
        <is>
          <t>无</t>
        </is>
      </c>
      <c r="BM21" t="inlineStr">
        <is>
          <t>VC BD, Funding 6.25￡(50pcs)</t>
        </is>
      </c>
      <c r="BN21" t="inlineStr">
        <is>
          <t>VC BD, Funding 6.25￡(50pcs)</t>
        </is>
      </c>
      <c r="BO21" t="inlineStr">
        <is>
          <t>VC BD, Funding 6.25￡(50pcs)</t>
        </is>
      </c>
      <c r="BP21" t="inlineStr">
        <is>
          <t>VC BD, Funding 6.25￡(50pcs)</t>
        </is>
      </c>
      <c r="BQ21" t="inlineStr">
        <is>
          <t>VC BD, Funding 6.25￡(50pcs)</t>
        </is>
      </c>
      <c r="BR21" t="inlineStr">
        <is>
          <t>VC BD, Funding 6.25￡(50pcs)</t>
        </is>
      </c>
      <c r="BS21" t="inlineStr">
        <is>
          <t>VC BD, Funding 6.25￡(50pcs)</t>
        </is>
      </c>
      <c r="BT21" t="inlineStr">
        <is>
          <t>VC BD, Funding 6.25￡(50pcs)</t>
        </is>
      </c>
      <c r="BU21" t="inlineStr">
        <is>
          <t>VC BD, Funding 6.25￡(50pcs)</t>
        </is>
      </c>
      <c r="BV21" t="inlineStr">
        <is>
          <t>VC BD, Funding 6.25￡(50pcs)</t>
        </is>
      </c>
      <c r="BW21" t="inlineStr">
        <is>
          <t>VC BD, Funding 6.25￡(50pcs)</t>
        </is>
      </c>
      <c r="BX21" t="inlineStr">
        <is>
          <t>VC BD, Funding 6.25￡(50pcs)</t>
        </is>
      </c>
      <c r="BY21" t="inlineStr">
        <is>
          <t>VC BD, Funding 6.25￡(50pcs)</t>
        </is>
      </c>
      <c r="BZ21" t="inlineStr">
        <is>
          <t>VC BD, Funding 6.25￡(50pcs)</t>
        </is>
      </c>
      <c r="CA21" t="inlineStr">
        <is>
          <t>VC BD, Funding 6.25￡(50pcs)</t>
        </is>
      </c>
      <c r="CB21" t="inlineStr">
        <is>
          <t>无</t>
        </is>
      </c>
      <c r="CC21" t="inlineStr">
        <is>
          <t>无</t>
        </is>
      </c>
      <c r="CD21" t="inlineStr">
        <is>
          <t>无</t>
        </is>
      </c>
      <c r="CE21" t="inlineStr">
        <is>
          <t>无</t>
        </is>
      </c>
      <c r="CF21" t="inlineStr">
        <is>
          <t>无</t>
        </is>
      </c>
      <c r="CG21" t="inlineStr">
        <is>
          <t>无</t>
        </is>
      </c>
      <c r="CH21" t="inlineStr">
        <is>
          <t>VC BD, Funding 5.63€(50pcs)</t>
        </is>
      </c>
      <c r="CI21" t="inlineStr">
        <is>
          <t>VC BD, Funding 5.63€(50pcs)</t>
        </is>
      </c>
      <c r="CJ21" t="inlineStr">
        <is>
          <t>VC BD, Funding 5.63€(50pcs)</t>
        </is>
      </c>
      <c r="CK21" t="inlineStr">
        <is>
          <t>VC BD, Funding 5.63€(50pcs)</t>
        </is>
      </c>
      <c r="CL21" t="inlineStr">
        <is>
          <t>VC BD, Funding 5.63€(50pcs)</t>
        </is>
      </c>
      <c r="CM21" t="inlineStr">
        <is>
          <t>VC BD, Funding 5.63€(50pcs)</t>
        </is>
      </c>
      <c r="CN21" t="inlineStr">
        <is>
          <t>VC BD, Funding 5.63€(50pcs)</t>
        </is>
      </c>
      <c r="CO21" t="inlineStr">
        <is>
          <t>无</t>
        </is>
      </c>
      <c r="CP21" t="inlineStr">
        <is>
          <t>无</t>
        </is>
      </c>
      <c r="CQ21" t="inlineStr">
        <is>
          <t>无</t>
        </is>
      </c>
      <c r="CR21" t="inlineStr">
        <is>
          <t>无</t>
        </is>
      </c>
      <c r="CS21" t="inlineStr">
        <is>
          <t>无</t>
        </is>
      </c>
      <c r="CT21" t="inlineStr">
        <is>
          <t>无</t>
        </is>
      </c>
      <c r="CU21" t="inlineStr">
        <is>
          <t>无</t>
        </is>
      </c>
      <c r="CV21" t="inlineStr">
        <is>
          <t>无</t>
        </is>
      </c>
      <c r="CW21" t="inlineStr">
        <is>
          <t>无</t>
        </is>
      </c>
      <c r="CX21" t="inlineStr">
        <is>
          <t>无</t>
        </is>
      </c>
      <c r="CY21" t="inlineStr">
        <is>
          <t>无</t>
        </is>
      </c>
      <c r="CZ21" t="inlineStr">
        <is>
          <t>无</t>
        </is>
      </c>
      <c r="DA21" t="inlineStr">
        <is>
          <t>无</t>
        </is>
      </c>
      <c r="DB21" t="inlineStr">
        <is>
          <t>无</t>
        </is>
      </c>
      <c r="DC21" t="inlineStr">
        <is>
          <t>无</t>
        </is>
      </c>
      <c r="DD21" t="inlineStr">
        <is>
          <t>无</t>
        </is>
      </c>
      <c r="DE21" t="inlineStr">
        <is>
          <t>无</t>
        </is>
      </c>
      <c r="DF21" t="inlineStr">
        <is>
          <t>VC BD, Funding 5.32€(50pcs)</t>
        </is>
      </c>
      <c r="DG21" t="inlineStr">
        <is>
          <t>VC BD, Funding 5.32€(50pcs)</t>
        </is>
      </c>
      <c r="DH21" t="inlineStr">
        <is>
          <t>VC BD, Funding 5.32€(50pcs)</t>
        </is>
      </c>
      <c r="DI21" t="inlineStr">
        <is>
          <t>VC BD, Funding 5.32€(50pcs)</t>
        </is>
      </c>
      <c r="DJ21" t="inlineStr">
        <is>
          <t>VC BD, Funding 5.32€(50pcs)</t>
        </is>
      </c>
      <c r="DK21" t="inlineStr">
        <is>
          <t>VC BD, Funding 5.32€(50pcs)</t>
        </is>
      </c>
      <c r="DL21" t="inlineStr">
        <is>
          <t>VC BD, Funding 5.32€(50pcs)</t>
        </is>
      </c>
      <c r="DM21" t="inlineStr">
        <is>
          <t>VC BD, Funding 5.32€(50pcs)</t>
        </is>
      </c>
      <c r="DN21" t="inlineStr">
        <is>
          <t>无</t>
        </is>
      </c>
      <c r="DO21" t="inlineStr">
        <is>
          <t>无</t>
        </is>
      </c>
      <c r="DP21" t="inlineStr">
        <is>
          <t>无</t>
        </is>
      </c>
      <c r="DQ21" t="inlineStr">
        <is>
          <t>无</t>
        </is>
      </c>
      <c r="DR21" t="inlineStr">
        <is>
          <t>无</t>
        </is>
      </c>
      <c r="DS21" t="inlineStr">
        <is>
          <t>无</t>
        </is>
      </c>
      <c r="DT21" t="inlineStr">
        <is>
          <t>无</t>
        </is>
      </c>
      <c r="DU21" t="inlineStr">
        <is>
          <t>无</t>
        </is>
      </c>
      <c r="DV21" t="inlineStr">
        <is>
          <t>无</t>
        </is>
      </c>
      <c r="DW21" t="inlineStr">
        <is>
          <t>VC BD, Funding 5.18€</t>
        </is>
      </c>
      <c r="DX21" t="inlineStr">
        <is>
          <t>VC BD, Funding 5.18€</t>
        </is>
      </c>
      <c r="DY21" t="inlineStr">
        <is>
          <t>VC BD, Funding 5.18€</t>
        </is>
      </c>
      <c r="DZ21" t="inlineStr">
        <is>
          <t>VC BD, Funding 5.18€</t>
        </is>
      </c>
      <c r="EA21" t="inlineStr">
        <is>
          <t>VC BD, Funding 5.18€</t>
        </is>
      </c>
      <c r="EB21" t="inlineStr">
        <is>
          <t>VC BD, Funding 5.18€</t>
        </is>
      </c>
      <c r="EC21" t="inlineStr">
        <is>
          <t>VC BD, Funding 5.18€</t>
        </is>
      </c>
      <c r="ED21" t="inlineStr">
        <is>
          <t>VC BD, Funding 5.18€</t>
        </is>
      </c>
      <c r="EE21" t="inlineStr">
        <is>
          <t>VC BD, Funding 5.18€</t>
        </is>
      </c>
      <c r="EF21" t="inlineStr">
        <is>
          <t>VC BD, Funding 5.18€</t>
        </is>
      </c>
      <c r="EG21" t="inlineStr">
        <is>
          <t>VC BD, Funding 5.18€</t>
        </is>
      </c>
      <c r="EH21" t="inlineStr">
        <is>
          <t>VC BD, Funding 5.18€</t>
        </is>
      </c>
      <c r="EI21" t="inlineStr">
        <is>
          <t>VC BD;Funding 5.18€</t>
        </is>
      </c>
      <c r="EJ21"/>
    </row>
    <row r="22" ht="25.5" customHeight="1">
      <c r="A22"/>
      <c r="B22" t="inlineStr">
        <is>
          <t>DE</t>
        </is>
      </c>
      <c r="C22" t="inlineStr">
        <is>
          <t>优惠券</t>
        </is>
      </c>
      <c r="D22" t="inlineStr">
        <is>
          <t>0.15</t>
        </is>
      </c>
      <c r="E22" t="inlineStr">
        <is>
          <t>Discount：3.5€</t>
        </is>
      </c>
      <c r="F22" t="inlineStr">
        <is>
          <t>Discount：3.5€</t>
        </is>
      </c>
      <c r="G22" t="inlineStr">
        <is>
          <t>Discount：3.5€</t>
        </is>
      </c>
      <c r="H22" t="inlineStr">
        <is>
          <t>Discount：5€</t>
        </is>
      </c>
      <c r="I22" t="inlineStr">
        <is>
          <t>Discount：5€</t>
        </is>
      </c>
      <c r="J22" t="inlineStr">
        <is>
          <t>Discount：5€</t>
        </is>
      </c>
      <c r="K22" t="inlineStr">
        <is>
          <t>Discount：5€</t>
        </is>
      </c>
      <c r="L22" t="inlineStr">
        <is>
          <t>Discount：5€</t>
        </is>
      </c>
      <c r="M22" t="inlineStr">
        <is>
          <t>Discount：5€</t>
        </is>
      </c>
      <c r="N22" t="inlineStr">
        <is>
          <t>Discount：5€</t>
        </is>
      </c>
      <c r="O22" t="inlineStr">
        <is>
          <t>Discount：5€</t>
        </is>
      </c>
      <c r="P22" t="inlineStr">
        <is>
          <t>Discount：5€</t>
        </is>
      </c>
      <c r="Q22" t="inlineStr">
        <is>
          <t>Discount：5€</t>
        </is>
      </c>
      <c r="R22" t="inlineStr">
        <is>
          <t>Discount：5€</t>
        </is>
      </c>
      <c r="S22" t="inlineStr">
        <is>
          <t>Discount：5€</t>
        </is>
      </c>
      <c r="T22" t="inlineStr">
        <is>
          <t>SC:优惠券10%</t>
        </is>
      </c>
      <c r="U22" t="inlineStr">
        <is>
          <t>SC:优惠券10%</t>
        </is>
      </c>
      <c r="V22" t="inlineStr">
        <is>
          <t>SC:优惠券10%</t>
        </is>
      </c>
      <c r="W22" t="inlineStr">
        <is>
          <t>SC:优惠券10%</t>
        </is>
      </c>
      <c r="X22" t="inlineStr">
        <is>
          <t>SC:优惠券10%</t>
        </is>
      </c>
      <c r="Y22" t="inlineStr">
        <is>
          <t>SC:优惠券10%</t>
        </is>
      </c>
      <c r="Z22" t="inlineStr">
        <is>
          <t>SC:优惠券10%</t>
        </is>
      </c>
      <c r="AA22" t="inlineStr">
        <is>
          <t>SC:优惠券10%</t>
        </is>
      </c>
      <c r="AB22" t="inlineStr">
        <is>
          <t>SC:优惠券10%</t>
        </is>
      </c>
      <c r="AC22" t="inlineStr">
        <is>
          <t>SC:优惠券10%</t>
        </is>
      </c>
      <c r="AD22" t="inlineStr">
        <is>
          <t>SC:优惠券10%</t>
        </is>
      </c>
      <c r="AE22" t="inlineStr">
        <is>
          <t>SC:优惠券10%</t>
        </is>
      </c>
      <c r="AF22" t="inlineStr">
        <is>
          <t>SC:优惠券10%</t>
        </is>
      </c>
      <c r="AG22" t="inlineStr">
        <is>
          <t>SC:优惠券10%</t>
        </is>
      </c>
      <c r="AH22" t="inlineStr">
        <is>
          <t>SC:优惠券10%</t>
        </is>
      </c>
      <c r="AI22" t="inlineStr">
        <is>
          <t>SC:优惠券10%</t>
        </is>
      </c>
      <c r="AJ22" t="inlineStr">
        <is>
          <t>SC:优惠券10%</t>
        </is>
      </c>
      <c r="AK22" t="inlineStr">
        <is>
          <t>SC:优惠券10%</t>
        </is>
      </c>
      <c r="AL22" t="inlineStr">
        <is>
          <t>SC:优惠券10%</t>
        </is>
      </c>
      <c r="AM22"/>
      <c r="AN22"/>
      <c r="AO22"/>
      <c r="AP22"/>
      <c r="AQ22"/>
      <c r="AR22"/>
      <c r="AS22"/>
      <c r="AT22"/>
      <c r="AU22"/>
      <c r="AV22"/>
      <c r="AW22"/>
      <c r="AX22" t="inlineStr">
        <is>
          <t>无</t>
        </is>
      </c>
      <c r="AY22" t="inlineStr">
        <is>
          <t>无</t>
        </is>
      </c>
      <c r="AZ22" t="inlineStr">
        <is>
          <t>无</t>
        </is>
      </c>
      <c r="BA22" t="inlineStr">
        <is>
          <t>无</t>
        </is>
      </c>
      <c r="BB22" t="inlineStr">
        <is>
          <t>无</t>
        </is>
      </c>
      <c r="BC22" t="inlineStr">
        <is>
          <t>无</t>
        </is>
      </c>
      <c r="BD22" t="inlineStr">
        <is>
          <t>无</t>
        </is>
      </c>
      <c r="BE22" t="inlineStr">
        <is>
          <t>无</t>
        </is>
      </c>
      <c r="BF22" t="inlineStr">
        <is>
          <t>COUPON 20% SC</t>
        </is>
      </c>
      <c r="BG22"/>
      <c r="BH22"/>
      <c r="BI22"/>
      <c r="BJ22"/>
      <c r="BK22"/>
      <c r="BL22"/>
      <c r="BM22"/>
      <c r="BN22"/>
      <c r="BO22"/>
      <c r="BP22"/>
      <c r="BQ22"/>
      <c r="BR22" t="inlineStr">
        <is>
          <t>COUPON 10% VC</t>
        </is>
      </c>
      <c r="BS22" t="inlineStr">
        <is>
          <t>COUPON 10% VC</t>
        </is>
      </c>
      <c r="BT22" t="inlineStr">
        <is>
          <t>COUPON 10% VC</t>
        </is>
      </c>
      <c r="BU22" t="inlineStr">
        <is>
          <t>COUPON 10% VC</t>
        </is>
      </c>
      <c r="BV22" t="inlineStr">
        <is>
          <t>COUPON 10% VC</t>
        </is>
      </c>
      <c r="BW22" t="inlineStr">
        <is>
          <t>COUPON 10% VC</t>
        </is>
      </c>
      <c r="BX22" t="inlineStr">
        <is>
          <t>COUPON 10% VC</t>
        </is>
      </c>
      <c r="BY22" t="inlineStr">
        <is>
          <t>COUPON 10% VC</t>
        </is>
      </c>
      <c r="BZ22" t="inlineStr">
        <is>
          <t>COUPON 10% VC</t>
        </is>
      </c>
      <c r="CA22" t="inlineStr">
        <is>
          <t>COUPON 10% VC</t>
        </is>
      </c>
      <c r="CB22" t="inlineStr">
        <is>
          <t>COUPON 10% VC</t>
        </is>
      </c>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row>
    <row r="23" ht="25.5" customHeight="1">
      <c r="A23"/>
      <c r="B23" t="inlineStr">
        <is>
          <t>DE</t>
        </is>
      </c>
      <c r="C23" t="inlineStr">
        <is>
          <t>活动</t>
        </is>
      </c>
      <c r="D23" t="inlineStr">
        <is>
          <t>Funding 5.25，广告2，毛利-0.02</t>
        </is>
      </c>
      <c r="E23" t="inlineStr">
        <is>
          <t>无</t>
        </is>
      </c>
      <c r="F23" t="inlineStr">
        <is>
          <t>无</t>
        </is>
      </c>
      <c r="G23" t="inlineStr">
        <is>
          <t>无</t>
        </is>
      </c>
      <c r="H23" t="inlineStr">
        <is>
          <t>无</t>
        </is>
      </c>
      <c r="I23" t="inlineStr">
        <is>
          <t>无</t>
        </is>
      </c>
      <c r="J23" t="inlineStr">
        <is>
          <t>无</t>
        </is>
      </c>
      <c r="K23" t="inlineStr">
        <is>
          <t>无</t>
        </is>
      </c>
      <c r="L23" t="inlineStr">
        <is>
          <t>无</t>
        </is>
      </c>
      <c r="M23" t="inlineStr">
        <is>
          <t>无</t>
        </is>
      </c>
      <c r="N23" t="inlineStr">
        <is>
          <t>无</t>
        </is>
      </c>
      <c r="O23" t="inlineStr">
        <is>
          <t>无</t>
        </is>
      </c>
      <c r="P23" t="inlineStr">
        <is>
          <t>无</t>
        </is>
      </c>
      <c r="Q23" t="inlineStr">
        <is>
          <t>无</t>
        </is>
      </c>
      <c r="R23" t="inlineStr">
        <is>
          <t>无</t>
        </is>
      </c>
      <c r="S23" t="inlineStr">
        <is>
          <t>无</t>
        </is>
      </c>
      <c r="T23" t="inlineStr">
        <is>
          <t>无</t>
        </is>
      </c>
      <c r="U23" t="inlineStr">
        <is>
          <t>无</t>
        </is>
      </c>
      <c r="V23" t="inlineStr">
        <is>
          <t>无</t>
        </is>
      </c>
      <c r="W23" t="inlineStr">
        <is>
          <t>无</t>
        </is>
      </c>
      <c r="X23" t="inlineStr">
        <is>
          <t>无</t>
        </is>
      </c>
      <c r="Y23" t="inlineStr">
        <is>
          <t>无</t>
        </is>
      </c>
      <c r="Z23" t="inlineStr">
        <is>
          <t>无</t>
        </is>
      </c>
      <c r="AA23" t="inlineStr">
        <is>
          <t>无</t>
        </is>
      </c>
      <c r="AB23" t="inlineStr">
        <is>
          <t>无</t>
        </is>
      </c>
      <c r="AC23" t="inlineStr">
        <is>
          <t>无</t>
        </is>
      </c>
      <c r="AD23" t="inlineStr">
        <is>
          <t>无</t>
        </is>
      </c>
      <c r="AE23" t="inlineStr">
        <is>
          <t>无</t>
        </is>
      </c>
      <c r="AF23" t="inlineStr">
        <is>
          <t>无</t>
        </is>
      </c>
      <c r="AG23" t="inlineStr">
        <is>
          <t>无</t>
        </is>
      </c>
      <c r="AH23" t="inlineStr">
        <is>
          <t>无</t>
        </is>
      </c>
      <c r="AI23" t="inlineStr">
        <is>
          <t>无</t>
        </is>
      </c>
      <c r="AJ23" t="inlineStr">
        <is>
          <t>无</t>
        </is>
      </c>
      <c r="AK23" t="inlineStr">
        <is>
          <t>无</t>
        </is>
      </c>
      <c r="AL23" t="inlineStr">
        <is>
          <t>无</t>
        </is>
      </c>
      <c r="AM23"/>
      <c r="AN23"/>
      <c r="AO23"/>
      <c r="AP23"/>
      <c r="AQ23"/>
      <c r="AR23"/>
      <c r="AS23"/>
      <c r="AT23"/>
      <c r="AU23"/>
      <c r="AV23"/>
      <c r="AW23"/>
      <c r="AX23" t="inlineStr">
        <is>
          <t>无</t>
        </is>
      </c>
      <c r="AY23" t="inlineStr">
        <is>
          <t>无</t>
        </is>
      </c>
      <c r="AZ23" t="inlineStr">
        <is>
          <t>无</t>
        </is>
      </c>
      <c r="BA23" t="inlineStr">
        <is>
          <t>无</t>
        </is>
      </c>
      <c r="BB23" t="inlineStr">
        <is>
          <t>无</t>
        </is>
      </c>
      <c r="BC23" t="inlineStr">
        <is>
          <t>无</t>
        </is>
      </c>
      <c r="BD23" t="inlineStr">
        <is>
          <t>无</t>
        </is>
      </c>
      <c r="BE23" t="inlineStr">
        <is>
          <t>无</t>
        </is>
      </c>
      <c r="BF23" t="inlineStr">
        <is>
          <t>无</t>
        </is>
      </c>
      <c r="BG23" t="inlineStr">
        <is>
          <t>无</t>
        </is>
      </c>
      <c r="BH23" t="inlineStr">
        <is>
          <t>无</t>
        </is>
      </c>
      <c r="BI23" t="inlineStr">
        <is>
          <t>无</t>
        </is>
      </c>
      <c r="BJ23" t="inlineStr">
        <is>
          <t>无</t>
        </is>
      </c>
      <c r="BK23" t="inlineStr">
        <is>
          <t>无</t>
        </is>
      </c>
      <c r="BL23" t="inlineStr">
        <is>
          <t>无</t>
        </is>
      </c>
      <c r="BM23" t="inlineStr">
        <is>
          <t>无</t>
        </is>
      </c>
      <c r="BN23" t="inlineStr">
        <is>
          <t>无</t>
        </is>
      </c>
      <c r="BO23" t="inlineStr">
        <is>
          <t>无</t>
        </is>
      </c>
      <c r="BP23" t="inlineStr">
        <is>
          <t>无</t>
        </is>
      </c>
      <c r="BQ23" t="inlineStr">
        <is>
          <t>无</t>
        </is>
      </c>
      <c r="BR23" t="inlineStr">
        <is>
          <t>无</t>
        </is>
      </c>
      <c r="BS23" t="inlineStr">
        <is>
          <t>无</t>
        </is>
      </c>
      <c r="BT23" t="inlineStr">
        <is>
          <t>无</t>
        </is>
      </c>
      <c r="BU23" t="inlineStr">
        <is>
          <t>无</t>
        </is>
      </c>
      <c r="BV23" t="inlineStr">
        <is>
          <t>无</t>
        </is>
      </c>
      <c r="BW23" t="inlineStr">
        <is>
          <t>无</t>
        </is>
      </c>
      <c r="BX23" t="inlineStr">
        <is>
          <t>无</t>
        </is>
      </c>
      <c r="BY23" t="inlineStr">
        <is>
          <t>无</t>
        </is>
      </c>
      <c r="BZ23" t="inlineStr">
        <is>
          <t>无</t>
        </is>
      </c>
      <c r="CA23" t="inlineStr">
        <is>
          <t>无</t>
        </is>
      </c>
      <c r="CB23" t="inlineStr">
        <is>
          <t>无</t>
        </is>
      </c>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row>
    <row r="24" ht="25.5" customHeight="1">
      <c r="A24"/>
      <c r="B24" t="inlineStr">
        <is>
          <t>FR</t>
        </is>
      </c>
      <c r="C24" t="inlineStr">
        <is>
          <t>优惠券</t>
        </is>
      </c>
      <c r="D24" t="inlineStr">
        <is>
          <t>0.15</t>
        </is>
      </c>
      <c r="E24" t="inlineStr">
        <is>
          <t>无</t>
        </is>
      </c>
      <c r="F24" t="inlineStr">
        <is>
          <t>无</t>
        </is>
      </c>
      <c r="G24" t="inlineStr">
        <is>
          <t>无</t>
        </is>
      </c>
      <c r="H24" t="inlineStr">
        <is>
          <t>无</t>
        </is>
      </c>
      <c r="I24" t="inlineStr">
        <is>
          <t>无</t>
        </is>
      </c>
      <c r="J24" t="inlineStr">
        <is>
          <t>无</t>
        </is>
      </c>
      <c r="K24" t="inlineStr">
        <is>
          <t>无</t>
        </is>
      </c>
      <c r="L24" t="inlineStr">
        <is>
          <t>无</t>
        </is>
      </c>
      <c r="M24" t="inlineStr">
        <is>
          <t>无</t>
        </is>
      </c>
      <c r="N24" t="inlineStr">
        <is>
          <t>无</t>
        </is>
      </c>
      <c r="O24" t="inlineStr">
        <is>
          <t>无</t>
        </is>
      </c>
      <c r="P24" t="inlineStr">
        <is>
          <t>无</t>
        </is>
      </c>
      <c r="Q24" t="inlineStr">
        <is>
          <t>无</t>
        </is>
      </c>
      <c r="R24" t="inlineStr">
        <is>
          <t>无</t>
        </is>
      </c>
      <c r="S24" t="inlineStr">
        <is>
          <t>无</t>
        </is>
      </c>
      <c r="T24" t="inlineStr">
        <is>
          <t>SC:优惠券15%</t>
        </is>
      </c>
      <c r="U24" t="inlineStr">
        <is>
          <t>SC:优惠券15%</t>
        </is>
      </c>
      <c r="V24" t="inlineStr">
        <is>
          <t>SC:优惠券15%</t>
        </is>
      </c>
      <c r="W24" t="inlineStr">
        <is>
          <t>SC:优惠券15%</t>
        </is>
      </c>
      <c r="X24" t="inlineStr">
        <is>
          <t>SC:优惠券15%</t>
        </is>
      </c>
      <c r="Y24" t="inlineStr">
        <is>
          <t>SC:优惠券15%</t>
        </is>
      </c>
      <c r="Z24" t="inlineStr">
        <is>
          <t>SC:优惠券15%</t>
        </is>
      </c>
      <c r="AA24" t="inlineStr">
        <is>
          <t>SC:优惠券15%</t>
        </is>
      </c>
      <c r="AB24" t="inlineStr">
        <is>
          <t>SC:优惠券15%</t>
        </is>
      </c>
      <c r="AC24" t="inlineStr">
        <is>
          <t>SC:优惠券15%</t>
        </is>
      </c>
      <c r="AD24" t="inlineStr">
        <is>
          <t>SC:优惠券15%</t>
        </is>
      </c>
      <c r="AE24" t="inlineStr">
        <is>
          <t>SC:优惠券15%</t>
        </is>
      </c>
      <c r="AF24" t="inlineStr">
        <is>
          <t>SC:优惠券15%</t>
        </is>
      </c>
      <c r="AG24" t="inlineStr">
        <is>
          <t>SC:优惠券15%</t>
        </is>
      </c>
      <c r="AH24" t="inlineStr">
        <is>
          <t>SC:优惠券15%</t>
        </is>
      </c>
      <c r="AI24" t="inlineStr">
        <is>
          <t>SC:优惠券15%</t>
        </is>
      </c>
      <c r="AJ24" t="inlineStr">
        <is>
          <t>SC:优惠券15%</t>
        </is>
      </c>
      <c r="AK24" t="inlineStr">
        <is>
          <t>SC:优惠券15%</t>
        </is>
      </c>
      <c r="AL24" t="inlineStr">
        <is>
          <t>SC:优惠券15%</t>
        </is>
      </c>
      <c r="AM24"/>
      <c r="AN24"/>
      <c r="AO24"/>
      <c r="AP24"/>
      <c r="AQ24"/>
      <c r="AR24"/>
      <c r="AS24"/>
      <c r="AT24"/>
      <c r="AU24"/>
      <c r="AV24"/>
      <c r="AW24"/>
      <c r="AX24" t="inlineStr">
        <is>
          <t>无</t>
        </is>
      </c>
      <c r="AY24" t="inlineStr">
        <is>
          <t>无</t>
        </is>
      </c>
      <c r="AZ24" t="inlineStr">
        <is>
          <t>无</t>
        </is>
      </c>
      <c r="BA24" t="inlineStr">
        <is>
          <t>无</t>
        </is>
      </c>
      <c r="BB24" t="inlineStr">
        <is>
          <t>无</t>
        </is>
      </c>
      <c r="BC24" t="inlineStr">
        <is>
          <t>无</t>
        </is>
      </c>
      <c r="BD24" t="inlineStr">
        <is>
          <t>无</t>
        </is>
      </c>
      <c r="BE24" t="inlineStr">
        <is>
          <t>无</t>
        </is>
      </c>
      <c r="BF24" t="inlineStr">
        <is>
          <t>COUPON 20% SC</t>
        </is>
      </c>
      <c r="BG24"/>
      <c r="BH24"/>
      <c r="BI24"/>
      <c r="BJ24"/>
      <c r="BK24"/>
      <c r="BL24"/>
      <c r="BM24"/>
      <c r="BN24"/>
      <c r="BO24"/>
      <c r="BP24"/>
      <c r="BQ24"/>
      <c r="BR24" t="inlineStr">
        <is>
          <t>COUPON 10% VC</t>
        </is>
      </c>
      <c r="BS24" t="inlineStr">
        <is>
          <t>COUPON 10% VC</t>
        </is>
      </c>
      <c r="BT24" t="inlineStr">
        <is>
          <t>COUPON 10% VC</t>
        </is>
      </c>
      <c r="BU24" t="inlineStr">
        <is>
          <t>COUPON 10% VC</t>
        </is>
      </c>
      <c r="BV24" t="inlineStr">
        <is>
          <t>COUPON 10% VC</t>
        </is>
      </c>
      <c r="BW24" t="inlineStr">
        <is>
          <t>COUPON 10% VC</t>
        </is>
      </c>
      <c r="BX24" t="inlineStr">
        <is>
          <t>COUPON 10% VC</t>
        </is>
      </c>
      <c r="BY24" t="inlineStr">
        <is>
          <t>COUPON 10% VC</t>
        </is>
      </c>
      <c r="BZ24" t="inlineStr">
        <is>
          <t>COUPON 10% VC</t>
        </is>
      </c>
      <c r="CA24" t="inlineStr">
        <is>
          <t>COUPON 10% VC</t>
        </is>
      </c>
      <c r="CB24" t="inlineStr">
        <is>
          <t>COUPON 10% VC</t>
        </is>
      </c>
      <c r="CC24" t="inlineStr">
        <is>
          <t>无</t>
        </is>
      </c>
      <c r="CD24" t="inlineStr">
        <is>
          <t>无</t>
        </is>
      </c>
      <c r="CE24" t="inlineStr">
        <is>
          <t>无</t>
        </is>
      </c>
      <c r="CF24" t="inlineStr">
        <is>
          <t>无</t>
        </is>
      </c>
      <c r="CG24" t="inlineStr">
        <is>
          <t>无</t>
        </is>
      </c>
      <c r="CH24" t="inlineStr">
        <is>
          <t>无</t>
        </is>
      </c>
      <c r="CI24" t="inlineStr">
        <is>
          <t>无</t>
        </is>
      </c>
      <c r="CJ24" t="inlineStr">
        <is>
          <t>无</t>
        </is>
      </c>
      <c r="CK24" t="inlineStr">
        <is>
          <t>无</t>
        </is>
      </c>
      <c r="CL24" t="inlineStr">
        <is>
          <t>无</t>
        </is>
      </c>
      <c r="CM24" t="inlineStr">
        <is>
          <t>无</t>
        </is>
      </c>
      <c r="CN24" t="inlineStr">
        <is>
          <t>无</t>
        </is>
      </c>
      <c r="CO24" t="inlineStr">
        <is>
          <t>无</t>
        </is>
      </c>
      <c r="CP24" t="inlineStr">
        <is>
          <t>无</t>
        </is>
      </c>
      <c r="CQ24" t="inlineStr">
        <is>
          <t>无</t>
        </is>
      </c>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row>
    <row r="25" ht="25.5" customHeight="1">
      <c r="A25"/>
      <c r="B25" t="inlineStr">
        <is>
          <t>FR</t>
        </is>
      </c>
      <c r="C25" t="inlineStr">
        <is>
          <t>活动</t>
        </is>
      </c>
      <c r="D25" t="inlineStr">
        <is>
          <t>Funding 5.25，广告2，毛利-1.03</t>
        </is>
      </c>
      <c r="E25" t="inlineStr">
        <is>
          <t>VC Price discount:Funding 4.38€</t>
        </is>
      </c>
      <c r="F25" t="inlineStr">
        <is>
          <t>VC Price discount:Funding 4.38€</t>
        </is>
      </c>
      <c r="G25" t="inlineStr">
        <is>
          <t>VC Price discount:Funding 4.38€</t>
        </is>
      </c>
      <c r="H25" t="inlineStr">
        <is>
          <t>VC BD, Funding 5.62€, 无广告预算</t>
        </is>
      </c>
      <c r="I25" t="inlineStr">
        <is>
          <t>VC BD, Funding 5.62€, 无广告预算</t>
        </is>
      </c>
      <c r="J25" t="inlineStr">
        <is>
          <t>VC BD, Funding 5.62€, 无广告预算</t>
        </is>
      </c>
      <c r="K25" t="inlineStr">
        <is>
          <t>VC BD, Funding 5.62€, 无广告预算</t>
        </is>
      </c>
      <c r="L25" t="inlineStr">
        <is>
          <t>VC BD, Funding 5.62€, 无广告预算</t>
        </is>
      </c>
      <c r="M25" t="inlineStr">
        <is>
          <t>VC BD, Funding 5.62€, 无广告预算</t>
        </is>
      </c>
      <c r="N25" t="inlineStr">
        <is>
          <t>VC BD, Funding 5.62€, 无广告预算</t>
        </is>
      </c>
      <c r="O25" t="inlineStr">
        <is>
          <t>VC BD, Funding 5.62€, 无广告预算</t>
        </is>
      </c>
      <c r="P25" t="inlineStr">
        <is>
          <t>VC BD, Funding 5.62€, 无广告预算</t>
        </is>
      </c>
      <c r="Q25" t="inlineStr">
        <is>
          <t>VC BD, Funding 5.62€, 无广告预算</t>
        </is>
      </c>
      <c r="R25" t="inlineStr">
        <is>
          <t>VC BD, Funding 5.62€, 无广告预算</t>
        </is>
      </c>
      <c r="S25" t="inlineStr">
        <is>
          <t>VC BD, Funding 5.62€, 无广告预算</t>
        </is>
      </c>
      <c r="T25" t="inlineStr">
        <is>
          <t>无</t>
        </is>
      </c>
      <c r="U25" t="inlineStr">
        <is>
          <t>无</t>
        </is>
      </c>
      <c r="V25" t="inlineStr">
        <is>
          <t>无</t>
        </is>
      </c>
      <c r="W25" t="inlineStr">
        <is>
          <t>无</t>
        </is>
      </c>
      <c r="X25" t="inlineStr">
        <is>
          <t>无</t>
        </is>
      </c>
      <c r="Y25" t="inlineStr">
        <is>
          <t>无</t>
        </is>
      </c>
      <c r="Z25" t="inlineStr">
        <is>
          <t>无</t>
        </is>
      </c>
      <c r="AA25" t="inlineStr">
        <is>
          <t>无</t>
        </is>
      </c>
      <c r="AB25" t="inlineStr">
        <is>
          <t>无</t>
        </is>
      </c>
      <c r="AC25" t="inlineStr">
        <is>
          <t>无</t>
        </is>
      </c>
      <c r="AD25" t="inlineStr">
        <is>
          <t>无</t>
        </is>
      </c>
      <c r="AE25" t="inlineStr">
        <is>
          <t>无</t>
        </is>
      </c>
      <c r="AF25" t="inlineStr">
        <is>
          <t>无</t>
        </is>
      </c>
      <c r="AG25" t="inlineStr">
        <is>
          <t>无</t>
        </is>
      </c>
      <c r="AH25" t="inlineStr">
        <is>
          <t>无</t>
        </is>
      </c>
      <c r="AI25" t="inlineStr">
        <is>
          <t>无</t>
        </is>
      </c>
      <c r="AJ25" t="inlineStr">
        <is>
          <t>无</t>
        </is>
      </c>
      <c r="AK25" t="inlineStr">
        <is>
          <t>无</t>
        </is>
      </c>
      <c r="AL25" t="inlineStr">
        <is>
          <t>无</t>
        </is>
      </c>
      <c r="AM25"/>
      <c r="AN25"/>
      <c r="AO25"/>
      <c r="AP25"/>
      <c r="AQ25"/>
      <c r="AR25"/>
      <c r="AS25"/>
      <c r="AT25"/>
      <c r="AU25"/>
      <c r="AV25"/>
      <c r="AW25"/>
      <c r="AX25" t="inlineStr">
        <is>
          <t>无</t>
        </is>
      </c>
      <c r="AY25" t="inlineStr">
        <is>
          <t>无</t>
        </is>
      </c>
      <c r="AZ25" t="inlineStr">
        <is>
          <t>无</t>
        </is>
      </c>
      <c r="BA25" t="inlineStr">
        <is>
          <t>无</t>
        </is>
      </c>
      <c r="BB25" t="inlineStr">
        <is>
          <t>无</t>
        </is>
      </c>
      <c r="BC25" t="inlineStr">
        <is>
          <t>无</t>
        </is>
      </c>
      <c r="BD25" t="inlineStr">
        <is>
          <t>无</t>
        </is>
      </c>
      <c r="BE25" t="inlineStr">
        <is>
          <t>无</t>
        </is>
      </c>
      <c r="BF25" t="inlineStr">
        <is>
          <t>无</t>
        </is>
      </c>
      <c r="BG25" t="inlineStr">
        <is>
          <t>无</t>
        </is>
      </c>
      <c r="BH25" t="inlineStr">
        <is>
          <t>无</t>
        </is>
      </c>
      <c r="BI25" t="inlineStr">
        <is>
          <t>无</t>
        </is>
      </c>
      <c r="BJ25" t="inlineStr">
        <is>
          <t>无</t>
        </is>
      </c>
      <c r="BK25" t="inlineStr">
        <is>
          <t>无</t>
        </is>
      </c>
      <c r="BL25" t="inlineStr">
        <is>
          <t>无</t>
        </is>
      </c>
      <c r="BM25" t="inlineStr">
        <is>
          <t>无</t>
        </is>
      </c>
      <c r="BN25" t="inlineStr">
        <is>
          <t>无</t>
        </is>
      </c>
      <c r="BO25" t="inlineStr">
        <is>
          <t>无</t>
        </is>
      </c>
      <c r="BP25" t="inlineStr">
        <is>
          <t>无</t>
        </is>
      </c>
      <c r="BQ25" t="inlineStr">
        <is>
          <t>无</t>
        </is>
      </c>
      <c r="BR25" t="inlineStr">
        <is>
          <t>无</t>
        </is>
      </c>
      <c r="BS25" t="inlineStr">
        <is>
          <t>无</t>
        </is>
      </c>
      <c r="BT25" t="inlineStr">
        <is>
          <t>无</t>
        </is>
      </c>
      <c r="BU25" t="inlineStr">
        <is>
          <t>无</t>
        </is>
      </c>
      <c r="BV25" t="inlineStr">
        <is>
          <t>无</t>
        </is>
      </c>
      <c r="BW25" t="inlineStr">
        <is>
          <t>无</t>
        </is>
      </c>
      <c r="BX25" t="inlineStr">
        <is>
          <t>无</t>
        </is>
      </c>
      <c r="BY25" t="inlineStr">
        <is>
          <t>无</t>
        </is>
      </c>
      <c r="BZ25" t="inlineStr">
        <is>
          <t>无</t>
        </is>
      </c>
      <c r="CA25" t="inlineStr">
        <is>
          <t>无</t>
        </is>
      </c>
      <c r="CB25" t="inlineStr">
        <is>
          <t>无</t>
        </is>
      </c>
      <c r="CC25" t="inlineStr">
        <is>
          <t>无</t>
        </is>
      </c>
      <c r="CD25" t="inlineStr">
        <is>
          <t>VC BD, Funding 3€(100pcs)</t>
        </is>
      </c>
      <c r="CE25" t="inlineStr">
        <is>
          <t>VC BD, Funding 3€(100pcs)</t>
        </is>
      </c>
      <c r="CF25" t="inlineStr">
        <is>
          <t>VC BD, Funding 3€(100pcs)</t>
        </is>
      </c>
      <c r="CG25" t="inlineStr">
        <is>
          <t>VC BD, Funding 3€(100pcs)</t>
        </is>
      </c>
      <c r="CH25" t="inlineStr">
        <is>
          <t>VC BD, Funding 3€(100pcs)</t>
        </is>
      </c>
      <c r="CI25" t="inlineStr">
        <is>
          <t>VC BD, Funding 3€(100pcs)</t>
        </is>
      </c>
      <c r="CJ25" t="inlineStr">
        <is>
          <t>VC BD, Funding 3€(100pcs)</t>
        </is>
      </c>
      <c r="CK25" t="inlineStr">
        <is>
          <t>VC BD, Funding 3€(100pcs)</t>
        </is>
      </c>
      <c r="CL25" t="inlineStr">
        <is>
          <t>VC BD, Funding 3€(100pcs)</t>
        </is>
      </c>
      <c r="CM25" t="inlineStr">
        <is>
          <t>VC BD, Funding 3€(100pcs)</t>
        </is>
      </c>
      <c r="CN25" t="inlineStr">
        <is>
          <t>VC BD, Funding 3€(100pcs)</t>
        </is>
      </c>
      <c r="CO25" t="inlineStr">
        <is>
          <t>VC BD, Funding 3€(100pcs)</t>
        </is>
      </c>
      <c r="CP25" t="inlineStr">
        <is>
          <t>VC BD, Funding 3€(100pcs)</t>
        </is>
      </c>
      <c r="CQ25" t="inlineStr">
        <is>
          <t>VC BD, Funding 3€(100pcs)</t>
        </is>
      </c>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row>
    <row r="26" ht="25.5" customHeight="1">
      <c r="A26"/>
      <c r="B26" t="inlineStr">
        <is>
          <t>IT</t>
        </is>
      </c>
      <c r="C26" t="inlineStr">
        <is>
          <t>优惠券</t>
        </is>
      </c>
      <c r="D26" t="inlineStr">
        <is>
          <t>0.15</t>
        </is>
      </c>
      <c r="E26" t="inlineStr">
        <is>
          <t>无</t>
        </is>
      </c>
      <c r="F26" t="inlineStr">
        <is>
          <t>无</t>
        </is>
      </c>
      <c r="G26" t="inlineStr">
        <is>
          <t>无</t>
        </is>
      </c>
      <c r="H26" t="inlineStr">
        <is>
          <t>无</t>
        </is>
      </c>
      <c r="I26" t="inlineStr">
        <is>
          <t>无</t>
        </is>
      </c>
      <c r="J26" t="inlineStr">
        <is>
          <t>无</t>
        </is>
      </c>
      <c r="K26" t="inlineStr">
        <is>
          <t>无</t>
        </is>
      </c>
      <c r="L26" t="inlineStr">
        <is>
          <t>无</t>
        </is>
      </c>
      <c r="M26" t="inlineStr">
        <is>
          <t>无</t>
        </is>
      </c>
      <c r="N26" t="inlineStr">
        <is>
          <t>无</t>
        </is>
      </c>
      <c r="O26" t="inlineStr">
        <is>
          <t>无</t>
        </is>
      </c>
      <c r="P26" t="inlineStr">
        <is>
          <t>无</t>
        </is>
      </c>
      <c r="Q26" t="inlineStr">
        <is>
          <t>无</t>
        </is>
      </c>
      <c r="R26" t="inlineStr">
        <is>
          <t>无</t>
        </is>
      </c>
      <c r="S26" t="inlineStr">
        <is>
          <t>无</t>
        </is>
      </c>
      <c r="T26" t="inlineStr">
        <is>
          <t>SC:优惠券15%</t>
        </is>
      </c>
      <c r="U26" t="inlineStr">
        <is>
          <t>SC:优惠券15%</t>
        </is>
      </c>
      <c r="V26" t="inlineStr">
        <is>
          <t>SC:优惠券15%</t>
        </is>
      </c>
      <c r="W26" t="inlineStr">
        <is>
          <t>SC:优惠券15%</t>
        </is>
      </c>
      <c r="X26" t="inlineStr">
        <is>
          <t>SC:优惠券15%</t>
        </is>
      </c>
      <c r="Y26" t="inlineStr">
        <is>
          <t>SC:优惠券15%</t>
        </is>
      </c>
      <c r="Z26" t="inlineStr">
        <is>
          <t>SC:优惠券15%</t>
        </is>
      </c>
      <c r="AA26" t="inlineStr">
        <is>
          <t>SC:优惠券15%</t>
        </is>
      </c>
      <c r="AB26" t="inlineStr">
        <is>
          <t>SC:优惠券15%</t>
        </is>
      </c>
      <c r="AC26" t="inlineStr">
        <is>
          <t>SC:优惠券15%</t>
        </is>
      </c>
      <c r="AD26" t="inlineStr">
        <is>
          <t>SC:优惠券15%</t>
        </is>
      </c>
      <c r="AE26" t="inlineStr">
        <is>
          <t>SC:优惠券15%</t>
        </is>
      </c>
      <c r="AF26" t="inlineStr">
        <is>
          <t>SC:优惠券15%</t>
        </is>
      </c>
      <c r="AG26" t="inlineStr">
        <is>
          <t>SC:优惠券15%</t>
        </is>
      </c>
      <c r="AH26" t="inlineStr">
        <is>
          <t>SC:优惠券15%</t>
        </is>
      </c>
      <c r="AI26" t="inlineStr">
        <is>
          <t>SC:优惠券15%</t>
        </is>
      </c>
      <c r="AJ26" t="inlineStr">
        <is>
          <t>SC:优惠券15%</t>
        </is>
      </c>
      <c r="AK26" t="inlineStr">
        <is>
          <t>SC:优惠券15%</t>
        </is>
      </c>
      <c r="AL26" t="inlineStr">
        <is>
          <t>SC:优惠券15%</t>
        </is>
      </c>
      <c r="AM26"/>
      <c r="AN26"/>
      <c r="AO26"/>
      <c r="AP26"/>
      <c r="AQ26"/>
      <c r="AR26"/>
      <c r="AS26"/>
      <c r="AT26"/>
      <c r="AU26"/>
      <c r="AV26"/>
      <c r="AW26"/>
      <c r="AX26" t="inlineStr">
        <is>
          <t>无</t>
        </is>
      </c>
      <c r="AY26" t="inlineStr">
        <is>
          <t>无</t>
        </is>
      </c>
      <c r="AZ26" t="inlineStr">
        <is>
          <t>无</t>
        </is>
      </c>
      <c r="BA26" t="inlineStr">
        <is>
          <t>无</t>
        </is>
      </c>
      <c r="BB26" t="inlineStr">
        <is>
          <t>无</t>
        </is>
      </c>
      <c r="BC26" t="inlineStr">
        <is>
          <t>无</t>
        </is>
      </c>
      <c r="BD26" t="inlineStr">
        <is>
          <t>无</t>
        </is>
      </c>
      <c r="BE26" t="inlineStr">
        <is>
          <t>无</t>
        </is>
      </c>
      <c r="BF26" t="inlineStr">
        <is>
          <t>无</t>
        </is>
      </c>
      <c r="BG26" t="inlineStr">
        <is>
          <t>无</t>
        </is>
      </c>
      <c r="BH26" t="inlineStr">
        <is>
          <t>无</t>
        </is>
      </c>
      <c r="BI26" t="inlineStr">
        <is>
          <t>无</t>
        </is>
      </c>
      <c r="BJ26" t="inlineStr">
        <is>
          <t>无</t>
        </is>
      </c>
      <c r="BK26" t="inlineStr">
        <is>
          <t>无</t>
        </is>
      </c>
      <c r="BL26" t="inlineStr">
        <is>
          <t>无</t>
        </is>
      </c>
      <c r="BM26" t="inlineStr">
        <is>
          <t>无</t>
        </is>
      </c>
      <c r="BN26" t="inlineStr">
        <is>
          <t>无</t>
        </is>
      </c>
      <c r="BO26" t="inlineStr">
        <is>
          <t>无</t>
        </is>
      </c>
      <c r="BP26" t="inlineStr">
        <is>
          <t>无</t>
        </is>
      </c>
      <c r="BQ26" t="inlineStr">
        <is>
          <t>无</t>
        </is>
      </c>
      <c r="BR26" t="inlineStr">
        <is>
          <t>COUPON 10% VC</t>
        </is>
      </c>
      <c r="BS26" t="inlineStr">
        <is>
          <t>COUPON 10% VC</t>
        </is>
      </c>
      <c r="BT26" t="inlineStr">
        <is>
          <t>COUPON 10% VC</t>
        </is>
      </c>
      <c r="BU26" t="inlineStr">
        <is>
          <t>COUPON 10% VC</t>
        </is>
      </c>
      <c r="BV26" t="inlineStr">
        <is>
          <t>COUPON 10% VC</t>
        </is>
      </c>
      <c r="BW26" t="inlineStr">
        <is>
          <t>COUPON 10% VC</t>
        </is>
      </c>
      <c r="BX26" t="inlineStr">
        <is>
          <t>COUPON 10% VC</t>
        </is>
      </c>
      <c r="BY26" t="inlineStr">
        <is>
          <t>COUPON 10% VC</t>
        </is>
      </c>
      <c r="BZ26" t="inlineStr">
        <is>
          <t>COUPON 10% VC</t>
        </is>
      </c>
      <c r="CA26" t="inlineStr">
        <is>
          <t>COUPON 10% VC</t>
        </is>
      </c>
      <c r="CB26" t="inlineStr">
        <is>
          <t>COUPON 10% VC</t>
        </is>
      </c>
      <c r="CC26" t="inlineStr">
        <is>
          <t>无</t>
        </is>
      </c>
      <c r="CD26" t="inlineStr">
        <is>
          <t>无</t>
        </is>
      </c>
      <c r="CE26" t="inlineStr">
        <is>
          <t>无</t>
        </is>
      </c>
      <c r="CF26" t="inlineStr">
        <is>
          <t>无</t>
        </is>
      </c>
      <c r="CG26" t="inlineStr">
        <is>
          <t>无</t>
        </is>
      </c>
      <c r="CH26" t="inlineStr">
        <is>
          <t>无</t>
        </is>
      </c>
      <c r="CI26" t="inlineStr">
        <is>
          <t>无</t>
        </is>
      </c>
      <c r="CJ26" t="inlineStr">
        <is>
          <t>无</t>
        </is>
      </c>
      <c r="CK26" t="inlineStr">
        <is>
          <t>无</t>
        </is>
      </c>
      <c r="CL26" t="inlineStr">
        <is>
          <t>无</t>
        </is>
      </c>
      <c r="CM26" t="inlineStr">
        <is>
          <t>无</t>
        </is>
      </c>
      <c r="CN26" t="inlineStr">
        <is>
          <t>无</t>
        </is>
      </c>
      <c r="CO26" t="inlineStr">
        <is>
          <t>无</t>
        </is>
      </c>
      <c r="CP26" t="inlineStr">
        <is>
          <t>无</t>
        </is>
      </c>
      <c r="CQ26" t="inlineStr">
        <is>
          <t>无</t>
        </is>
      </c>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row>
    <row r="27" ht="25.5" customHeight="1">
      <c r="A27"/>
      <c r="B27" t="inlineStr">
        <is>
          <t>IT</t>
        </is>
      </c>
      <c r="C27" t="inlineStr">
        <is>
          <t>活动</t>
        </is>
      </c>
      <c r="D27" t="inlineStr">
        <is>
          <t>Funding 5.25，广告2，毛利-0.75</t>
        </is>
      </c>
      <c r="E27" t="inlineStr">
        <is>
          <t>VC Price discount:Funding 4.31€</t>
        </is>
      </c>
      <c r="F27" t="inlineStr">
        <is>
          <t>VC Price discount:Funding 4.31€</t>
        </is>
      </c>
      <c r="G27" t="inlineStr">
        <is>
          <t>VC Price discount:Funding 4.31€</t>
        </is>
      </c>
      <c r="H27" t="inlineStr">
        <is>
          <t>VC Price discount:Funding 3€</t>
        </is>
      </c>
      <c r="I27" t="inlineStr">
        <is>
          <t>VC Price discount:Funding 3€</t>
        </is>
      </c>
      <c r="J27" t="inlineStr">
        <is>
          <t>VC Price discount:Funding 3€</t>
        </is>
      </c>
      <c r="K27" t="inlineStr">
        <is>
          <t>VC Price discount:Funding 3€</t>
        </is>
      </c>
      <c r="L27" t="inlineStr">
        <is>
          <t>VC Price discount:Funding 3€</t>
        </is>
      </c>
      <c r="M27" t="inlineStr">
        <is>
          <t>VC Price discount:Funding 3€</t>
        </is>
      </c>
      <c r="N27" t="inlineStr">
        <is>
          <t>VC Price discount:Funding 3€</t>
        </is>
      </c>
      <c r="O27" t="inlineStr">
        <is>
          <t>VC Price discount:Funding 3€</t>
        </is>
      </c>
      <c r="P27" t="inlineStr">
        <is>
          <t>VC Price discount:Funding 3€</t>
        </is>
      </c>
      <c r="Q27" t="inlineStr">
        <is>
          <t>VC Price discount:Funding 3€</t>
        </is>
      </c>
      <c r="R27" t="inlineStr">
        <is>
          <t>VC Price discount:Funding 3€</t>
        </is>
      </c>
      <c r="S27" t="inlineStr">
        <is>
          <t>VC Price discount:Funding 3€</t>
        </is>
      </c>
      <c r="T27" t="inlineStr">
        <is>
          <t>无</t>
        </is>
      </c>
      <c r="U27" t="inlineStr">
        <is>
          <t>无</t>
        </is>
      </c>
      <c r="V27" t="inlineStr">
        <is>
          <t>无</t>
        </is>
      </c>
      <c r="W27" t="inlineStr">
        <is>
          <t>无</t>
        </is>
      </c>
      <c r="X27" t="inlineStr">
        <is>
          <t>无</t>
        </is>
      </c>
      <c r="Y27" t="inlineStr">
        <is>
          <t>无</t>
        </is>
      </c>
      <c r="Z27" t="inlineStr">
        <is>
          <t>无</t>
        </is>
      </c>
      <c r="AA27" t="inlineStr">
        <is>
          <t>无</t>
        </is>
      </c>
      <c r="AB27" t="inlineStr">
        <is>
          <t>无</t>
        </is>
      </c>
      <c r="AC27" t="inlineStr">
        <is>
          <t>无</t>
        </is>
      </c>
      <c r="AD27" t="inlineStr">
        <is>
          <t>无</t>
        </is>
      </c>
      <c r="AE27" t="inlineStr">
        <is>
          <t>无</t>
        </is>
      </c>
      <c r="AF27" t="inlineStr">
        <is>
          <t>无</t>
        </is>
      </c>
      <c r="AG27" t="inlineStr">
        <is>
          <t>无</t>
        </is>
      </c>
      <c r="AH27" t="inlineStr">
        <is>
          <t>无</t>
        </is>
      </c>
      <c r="AI27" t="inlineStr">
        <is>
          <t>无</t>
        </is>
      </c>
      <c r="AJ27" t="inlineStr">
        <is>
          <t>无</t>
        </is>
      </c>
      <c r="AK27" t="inlineStr">
        <is>
          <t>无</t>
        </is>
      </c>
      <c r="AL27" t="inlineStr">
        <is>
          <t>无</t>
        </is>
      </c>
      <c r="AM27"/>
      <c r="AN27"/>
      <c r="AO27"/>
      <c r="AP27"/>
      <c r="AQ27"/>
      <c r="AR27"/>
      <c r="AS27"/>
      <c r="AT27"/>
      <c r="AU27"/>
      <c r="AV27"/>
      <c r="AW27"/>
      <c r="AX27" t="inlineStr">
        <is>
          <t>无</t>
        </is>
      </c>
      <c r="AY27" t="inlineStr">
        <is>
          <t>无</t>
        </is>
      </c>
      <c r="AZ27" t="inlineStr">
        <is>
          <t>无</t>
        </is>
      </c>
      <c r="BA27" t="inlineStr">
        <is>
          <t>无</t>
        </is>
      </c>
      <c r="BB27" t="inlineStr">
        <is>
          <t>无</t>
        </is>
      </c>
      <c r="BC27" t="inlineStr">
        <is>
          <t>无</t>
        </is>
      </c>
      <c r="BD27" t="inlineStr">
        <is>
          <t>无</t>
        </is>
      </c>
      <c r="BE27" t="inlineStr">
        <is>
          <t>无</t>
        </is>
      </c>
      <c r="BF27" t="inlineStr">
        <is>
          <t>无</t>
        </is>
      </c>
      <c r="BG27" t="inlineStr">
        <is>
          <t>无</t>
        </is>
      </c>
      <c r="BH27" t="inlineStr">
        <is>
          <t>无</t>
        </is>
      </c>
      <c r="BI27" t="inlineStr">
        <is>
          <t>无</t>
        </is>
      </c>
      <c r="BJ27" t="inlineStr">
        <is>
          <t>无</t>
        </is>
      </c>
      <c r="BK27" t="inlineStr">
        <is>
          <t>无</t>
        </is>
      </c>
      <c r="BL27" t="inlineStr">
        <is>
          <t>无</t>
        </is>
      </c>
      <c r="BM27" t="inlineStr">
        <is>
          <t>无</t>
        </is>
      </c>
      <c r="BN27" t="inlineStr">
        <is>
          <t>无</t>
        </is>
      </c>
      <c r="BO27" t="inlineStr">
        <is>
          <t>无</t>
        </is>
      </c>
      <c r="BP27" t="inlineStr">
        <is>
          <t>无</t>
        </is>
      </c>
      <c r="BQ27" t="inlineStr">
        <is>
          <t>无</t>
        </is>
      </c>
      <c r="BR27" t="inlineStr">
        <is>
          <t>无</t>
        </is>
      </c>
      <c r="BS27" t="inlineStr">
        <is>
          <t>无</t>
        </is>
      </c>
      <c r="BT27" t="inlineStr">
        <is>
          <t>无</t>
        </is>
      </c>
      <c r="BU27" t="inlineStr">
        <is>
          <t>无</t>
        </is>
      </c>
      <c r="BV27" t="inlineStr">
        <is>
          <t>无</t>
        </is>
      </c>
      <c r="BW27" t="inlineStr">
        <is>
          <t>无</t>
        </is>
      </c>
      <c r="BX27" t="inlineStr">
        <is>
          <t>无</t>
        </is>
      </c>
      <c r="BY27" t="inlineStr">
        <is>
          <t>无</t>
        </is>
      </c>
      <c r="BZ27" t="inlineStr">
        <is>
          <t>无</t>
        </is>
      </c>
      <c r="CA27" t="inlineStr">
        <is>
          <t>无</t>
        </is>
      </c>
      <c r="CB27" t="inlineStr">
        <is>
          <t>无</t>
        </is>
      </c>
      <c r="CC27" t="inlineStr">
        <is>
          <t>无</t>
        </is>
      </c>
      <c r="CD27" t="inlineStr">
        <is>
          <t>VC BD, Funding 4.31€(50pcs)</t>
        </is>
      </c>
      <c r="CE27" t="inlineStr">
        <is>
          <t>VC BD, Funding 4.31€(50pcs)</t>
        </is>
      </c>
      <c r="CF27" t="inlineStr">
        <is>
          <t>VC BD, Funding 4.31€(50pcs)</t>
        </is>
      </c>
      <c r="CG27" t="inlineStr">
        <is>
          <t>VC BD, Funding 4.31€(50pcs)</t>
        </is>
      </c>
      <c r="CH27" t="inlineStr">
        <is>
          <t>VC BD, Funding 4.31€(50pcs)</t>
        </is>
      </c>
      <c r="CI27" t="inlineStr">
        <is>
          <t>VC BD, Funding 4.31€(50pcs)</t>
        </is>
      </c>
      <c r="CJ27" t="inlineStr">
        <is>
          <t>VC BD, Funding 4.31€(50pcs)</t>
        </is>
      </c>
      <c r="CK27" t="inlineStr">
        <is>
          <t>VC BD, Funding 4.31€(50pcs)</t>
        </is>
      </c>
      <c r="CL27" t="inlineStr">
        <is>
          <t>VC BD, Funding 4.31€(50pcs)</t>
        </is>
      </c>
      <c r="CM27" t="inlineStr">
        <is>
          <t>VC BD, Funding 4.31€(50pcs)</t>
        </is>
      </c>
      <c r="CN27" t="inlineStr">
        <is>
          <t>VC BD, Funding 4.31€(50pcs)</t>
        </is>
      </c>
      <c r="CO27" t="inlineStr">
        <is>
          <t>VC BD, Funding 4.31€(50pcs)</t>
        </is>
      </c>
      <c r="CP27" t="inlineStr">
        <is>
          <t>VC BD, Funding 4.31€(50pcs)</t>
        </is>
      </c>
      <c r="CQ27" t="inlineStr">
        <is>
          <t>VC BD, Funding 4.31€(50pcs)</t>
        </is>
      </c>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row>
    <row r="28" ht="25.5" customHeight="1">
      <c r="A28"/>
      <c r="B28" t="inlineStr">
        <is>
          <t>ES</t>
        </is>
      </c>
      <c r="C28" t="inlineStr">
        <is>
          <t>优惠券</t>
        </is>
      </c>
      <c r="D28" t="inlineStr">
        <is>
          <t>0.15</t>
        </is>
      </c>
      <c r="E28" t="inlineStr">
        <is>
          <t>无</t>
        </is>
      </c>
      <c r="F28" t="inlineStr">
        <is>
          <t>无</t>
        </is>
      </c>
      <c r="G28" t="inlineStr">
        <is>
          <t>无</t>
        </is>
      </c>
      <c r="H28" t="inlineStr">
        <is>
          <t>无</t>
        </is>
      </c>
      <c r="I28" t="inlineStr">
        <is>
          <t>无</t>
        </is>
      </c>
      <c r="J28" t="inlineStr">
        <is>
          <t>无</t>
        </is>
      </c>
      <c r="K28" t="inlineStr">
        <is>
          <t>无</t>
        </is>
      </c>
      <c r="L28" t="inlineStr">
        <is>
          <t>无</t>
        </is>
      </c>
      <c r="M28" t="inlineStr">
        <is>
          <t>无</t>
        </is>
      </c>
      <c r="N28" t="inlineStr">
        <is>
          <t>无</t>
        </is>
      </c>
      <c r="O28" t="inlineStr">
        <is>
          <t>无</t>
        </is>
      </c>
      <c r="P28" t="inlineStr">
        <is>
          <t>无</t>
        </is>
      </c>
      <c r="Q28" t="inlineStr">
        <is>
          <t>无</t>
        </is>
      </c>
      <c r="R28" t="inlineStr">
        <is>
          <t>无</t>
        </is>
      </c>
      <c r="S28" t="inlineStr">
        <is>
          <t>无</t>
        </is>
      </c>
      <c r="T28" t="inlineStr">
        <is>
          <t>SC:优惠券17%</t>
        </is>
      </c>
      <c r="U28" t="inlineStr">
        <is>
          <t>SC:优惠券17%</t>
        </is>
      </c>
      <c r="V28" t="inlineStr">
        <is>
          <t>SC:优惠券17%</t>
        </is>
      </c>
      <c r="W28" t="inlineStr">
        <is>
          <t>SC:优惠券17%</t>
        </is>
      </c>
      <c r="X28" t="inlineStr">
        <is>
          <t>SC:优惠券17%</t>
        </is>
      </c>
      <c r="Y28" t="inlineStr">
        <is>
          <t>SC:优惠券17%</t>
        </is>
      </c>
      <c r="Z28" t="inlineStr">
        <is>
          <t>SC:优惠券17%</t>
        </is>
      </c>
      <c r="AA28" t="inlineStr">
        <is>
          <t>SC:优惠券17%</t>
        </is>
      </c>
      <c r="AB28" t="inlineStr">
        <is>
          <t>SC:优惠券17%</t>
        </is>
      </c>
      <c r="AC28" t="inlineStr">
        <is>
          <t>SC:优惠券17%</t>
        </is>
      </c>
      <c r="AD28" t="inlineStr">
        <is>
          <t>SC:优惠券17%</t>
        </is>
      </c>
      <c r="AE28" t="inlineStr">
        <is>
          <t>SC:优惠券17%</t>
        </is>
      </c>
      <c r="AF28" t="inlineStr">
        <is>
          <t>SC:优惠券17%</t>
        </is>
      </c>
      <c r="AG28" t="inlineStr">
        <is>
          <t>SC:优惠券17%</t>
        </is>
      </c>
      <c r="AH28" t="inlineStr">
        <is>
          <t>SC:优惠券17%</t>
        </is>
      </c>
      <c r="AI28" t="inlineStr">
        <is>
          <t>SC:优惠券17%</t>
        </is>
      </c>
      <c r="AJ28" t="inlineStr">
        <is>
          <t>SC:优惠券17%</t>
        </is>
      </c>
      <c r="AK28" t="inlineStr">
        <is>
          <t>SC:优惠券17%</t>
        </is>
      </c>
      <c r="AL28" t="inlineStr">
        <is>
          <t>SC:优惠券17%</t>
        </is>
      </c>
      <c r="AM28"/>
      <c r="AN28"/>
      <c r="AO28"/>
      <c r="AP28"/>
      <c r="AQ28"/>
      <c r="AR28"/>
      <c r="AS28"/>
      <c r="AT28"/>
      <c r="AU28"/>
      <c r="AV28"/>
      <c r="AW28"/>
      <c r="AX28" t="inlineStr">
        <is>
          <t>无</t>
        </is>
      </c>
      <c r="AY28" t="inlineStr">
        <is>
          <t>无</t>
        </is>
      </c>
      <c r="AZ28" t="inlineStr">
        <is>
          <t>无</t>
        </is>
      </c>
      <c r="BA28" t="inlineStr">
        <is>
          <t>无</t>
        </is>
      </c>
      <c r="BB28" t="inlineStr">
        <is>
          <t>无</t>
        </is>
      </c>
      <c r="BC28" t="inlineStr">
        <is>
          <t>无</t>
        </is>
      </c>
      <c r="BD28" t="inlineStr">
        <is>
          <t>无</t>
        </is>
      </c>
      <c r="BE28" t="inlineStr">
        <is>
          <t>无</t>
        </is>
      </c>
      <c r="BF28" t="inlineStr">
        <is>
          <t>COUPON 20% SC</t>
        </is>
      </c>
      <c r="BG28"/>
      <c r="BH28"/>
      <c r="BI28"/>
      <c r="BJ28"/>
      <c r="BK28"/>
      <c r="BL28"/>
      <c r="BM28"/>
      <c r="BN28"/>
      <c r="BO28"/>
      <c r="BP28"/>
      <c r="BQ28"/>
      <c r="BR28" t="inlineStr">
        <is>
          <t>COUPON 10% VC</t>
        </is>
      </c>
      <c r="BS28" t="inlineStr">
        <is>
          <t>COUPON 10% VC</t>
        </is>
      </c>
      <c r="BT28" t="inlineStr">
        <is>
          <t>COUPON 10% VC</t>
        </is>
      </c>
      <c r="BU28" t="inlineStr">
        <is>
          <t>COUPON 10% VC</t>
        </is>
      </c>
      <c r="BV28" t="inlineStr">
        <is>
          <t>COUPON 10% VC</t>
        </is>
      </c>
      <c r="BW28" t="inlineStr">
        <is>
          <t>COUPON 10% VC</t>
        </is>
      </c>
      <c r="BX28" t="inlineStr">
        <is>
          <t>COUPON 10% VC</t>
        </is>
      </c>
      <c r="BY28" t="inlineStr">
        <is>
          <t>COUPON 10% VC</t>
        </is>
      </c>
      <c r="BZ28" t="inlineStr">
        <is>
          <t>COUPON 10% VC</t>
        </is>
      </c>
      <c r="CA28" t="inlineStr">
        <is>
          <t>COUPON 10% VC</t>
        </is>
      </c>
      <c r="CB28" t="inlineStr">
        <is>
          <t>COUPON 10% VC</t>
        </is>
      </c>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row>
    <row r="29" ht="25.5" customHeight="1">
      <c r="A29"/>
      <c r="B29" t="inlineStr">
        <is>
          <t>ES</t>
        </is>
      </c>
      <c r="C29" t="inlineStr">
        <is>
          <t>活动</t>
        </is>
      </c>
      <c r="D29" t="inlineStr">
        <is>
          <t>Funding 5.25，广告2，毛利-0.47</t>
        </is>
      </c>
      <c r="E29" t="inlineStr">
        <is>
          <t>VC Price discount:Funding 4.34€</t>
        </is>
      </c>
      <c r="F29" t="inlineStr">
        <is>
          <t>VC Price discount:Funding 4.34€</t>
        </is>
      </c>
      <c r="G29" t="inlineStr">
        <is>
          <t>VC Price discount:Funding 4.34€</t>
        </is>
      </c>
      <c r="H29" t="inlineStr">
        <is>
          <t>VC BD, Funding 6.22€, 无广告预算</t>
        </is>
      </c>
      <c r="I29" t="inlineStr">
        <is>
          <t>VC BD, Funding 6.22€, 无广告预算</t>
        </is>
      </c>
      <c r="J29" t="inlineStr">
        <is>
          <t>VC BD, Funding 6.22€, 无广告预算</t>
        </is>
      </c>
      <c r="K29" t="inlineStr">
        <is>
          <t>VC BD, Funding 6.22€, 无广告预算</t>
        </is>
      </c>
      <c r="L29" t="inlineStr">
        <is>
          <t>VC BD, Funding 6.22€, 无广告预算</t>
        </is>
      </c>
      <c r="M29" t="inlineStr">
        <is>
          <t>VC BD, Funding 6.22€, 无广告预算</t>
        </is>
      </c>
      <c r="N29" t="inlineStr">
        <is>
          <t>VC BD, Funding 6.22€, 无广告预算</t>
        </is>
      </c>
      <c r="O29" t="inlineStr">
        <is>
          <t>VC BD, Funding 6.22€, 无广告预算</t>
        </is>
      </c>
      <c r="P29" t="inlineStr">
        <is>
          <t>VC BD, Funding 6.22€, 无广告预算</t>
        </is>
      </c>
      <c r="Q29" t="inlineStr">
        <is>
          <t>VC BD, Funding 6.22€, 无广告预算</t>
        </is>
      </c>
      <c r="R29" t="inlineStr">
        <is>
          <t>VC BD, Funding 6.22€, 无广告预算</t>
        </is>
      </c>
      <c r="S29" t="inlineStr">
        <is>
          <t>VC BD, Funding 6.22€, 无广告预算</t>
        </is>
      </c>
      <c r="T29" t="inlineStr">
        <is>
          <t>无</t>
        </is>
      </c>
      <c r="U29" t="inlineStr">
        <is>
          <t>无</t>
        </is>
      </c>
      <c r="V29" t="inlineStr">
        <is>
          <t>无</t>
        </is>
      </c>
      <c r="W29" t="inlineStr">
        <is>
          <t>无</t>
        </is>
      </c>
      <c r="X29" t="inlineStr">
        <is>
          <t>无</t>
        </is>
      </c>
      <c r="Y29" t="inlineStr">
        <is>
          <t>无</t>
        </is>
      </c>
      <c r="Z29" t="inlineStr">
        <is>
          <t>无</t>
        </is>
      </c>
      <c r="AA29" t="inlineStr">
        <is>
          <t>无</t>
        </is>
      </c>
      <c r="AB29" t="inlineStr">
        <is>
          <t>无</t>
        </is>
      </c>
      <c r="AC29" t="inlineStr">
        <is>
          <t>无</t>
        </is>
      </c>
      <c r="AD29" t="inlineStr">
        <is>
          <t>无</t>
        </is>
      </c>
      <c r="AE29" t="inlineStr">
        <is>
          <t>无</t>
        </is>
      </c>
      <c r="AF29" t="inlineStr">
        <is>
          <t>无</t>
        </is>
      </c>
      <c r="AG29" t="inlineStr">
        <is>
          <t>无</t>
        </is>
      </c>
      <c r="AH29" t="inlineStr">
        <is>
          <t>无</t>
        </is>
      </c>
      <c r="AI29" t="inlineStr">
        <is>
          <t>无</t>
        </is>
      </c>
      <c r="AJ29" t="inlineStr">
        <is>
          <t>无</t>
        </is>
      </c>
      <c r="AK29" t="inlineStr">
        <is>
          <t>无</t>
        </is>
      </c>
      <c r="AL29" t="inlineStr">
        <is>
          <t>无</t>
        </is>
      </c>
      <c r="AM29"/>
      <c r="AN29"/>
      <c r="AO29"/>
      <c r="AP29"/>
      <c r="AQ29"/>
      <c r="AR29"/>
      <c r="AS29"/>
      <c r="AT29"/>
      <c r="AU29"/>
      <c r="AV29"/>
      <c r="AW29"/>
      <c r="AX29" t="inlineStr">
        <is>
          <t>无</t>
        </is>
      </c>
      <c r="AY29" t="inlineStr">
        <is>
          <t>无</t>
        </is>
      </c>
      <c r="AZ29" t="inlineStr">
        <is>
          <t>无</t>
        </is>
      </c>
      <c r="BA29" t="inlineStr">
        <is>
          <t>无</t>
        </is>
      </c>
      <c r="BB29" t="inlineStr">
        <is>
          <t>无</t>
        </is>
      </c>
      <c r="BC29" t="inlineStr">
        <is>
          <t>无</t>
        </is>
      </c>
      <c r="BD29" t="inlineStr">
        <is>
          <t>无</t>
        </is>
      </c>
      <c r="BE29" t="inlineStr">
        <is>
          <t>无</t>
        </is>
      </c>
      <c r="BF29" t="inlineStr">
        <is>
          <t>无</t>
        </is>
      </c>
      <c r="BG29" t="inlineStr">
        <is>
          <t>无</t>
        </is>
      </c>
      <c r="BH29" t="inlineStr">
        <is>
          <t>无</t>
        </is>
      </c>
      <c r="BI29" t="inlineStr">
        <is>
          <t>无</t>
        </is>
      </c>
      <c r="BJ29" t="inlineStr">
        <is>
          <t>无</t>
        </is>
      </c>
      <c r="BK29" t="inlineStr">
        <is>
          <t>无</t>
        </is>
      </c>
      <c r="BL29" t="inlineStr">
        <is>
          <t>无</t>
        </is>
      </c>
      <c r="BM29" t="inlineStr">
        <is>
          <t>无</t>
        </is>
      </c>
      <c r="BN29" t="inlineStr">
        <is>
          <t>无</t>
        </is>
      </c>
      <c r="BO29" t="inlineStr">
        <is>
          <t>无</t>
        </is>
      </c>
      <c r="BP29" t="inlineStr">
        <is>
          <t>无</t>
        </is>
      </c>
      <c r="BQ29" t="inlineStr">
        <is>
          <t>无</t>
        </is>
      </c>
      <c r="BR29" t="inlineStr">
        <is>
          <t>无</t>
        </is>
      </c>
      <c r="BS29" t="inlineStr">
        <is>
          <t>无</t>
        </is>
      </c>
      <c r="BT29" t="inlineStr">
        <is>
          <t>无</t>
        </is>
      </c>
      <c r="BU29" t="inlineStr">
        <is>
          <t>无</t>
        </is>
      </c>
      <c r="BV29" t="inlineStr">
        <is>
          <t>无</t>
        </is>
      </c>
      <c r="BW29" t="inlineStr">
        <is>
          <t>无</t>
        </is>
      </c>
      <c r="BX29" t="inlineStr">
        <is>
          <t>无</t>
        </is>
      </c>
      <c r="BY29" t="inlineStr">
        <is>
          <t>无</t>
        </is>
      </c>
      <c r="BZ29" t="inlineStr">
        <is>
          <t>无</t>
        </is>
      </c>
      <c r="CA29" t="inlineStr">
        <is>
          <t>无</t>
        </is>
      </c>
      <c r="CB29" t="inlineStr">
        <is>
          <t>无</t>
        </is>
      </c>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row>
    <row r="30" ht="25.5" customHeight="1">
      <c r="A30"/>
      <c r="B30" t="inlineStr">
        <is>
          <t>DE</t>
        </is>
      </c>
      <c r="C30" t="inlineStr">
        <is>
          <t>优惠券</t>
        </is>
      </c>
      <c r="D30" t="inlineStr">
        <is>
          <t>0.15</t>
        </is>
      </c>
      <c r="E30" t="inlineStr">
        <is>
          <t>无</t>
        </is>
      </c>
      <c r="F30" t="inlineStr">
        <is>
          <t>无</t>
        </is>
      </c>
      <c r="G30" t="inlineStr">
        <is>
          <t>无</t>
        </is>
      </c>
      <c r="H30" t="inlineStr">
        <is>
          <t>无</t>
        </is>
      </c>
      <c r="I30" t="inlineStr">
        <is>
          <t>无</t>
        </is>
      </c>
      <c r="J30" t="inlineStr">
        <is>
          <t>无</t>
        </is>
      </c>
      <c r="K30" t="inlineStr">
        <is>
          <t>无</t>
        </is>
      </c>
      <c r="L30" t="inlineStr">
        <is>
          <t>无</t>
        </is>
      </c>
      <c r="M30" t="inlineStr">
        <is>
          <t>无</t>
        </is>
      </c>
      <c r="N30" t="inlineStr">
        <is>
          <t>无</t>
        </is>
      </c>
      <c r="O30" t="inlineStr">
        <is>
          <t>无</t>
        </is>
      </c>
      <c r="P30" t="inlineStr">
        <is>
          <t>无</t>
        </is>
      </c>
      <c r="Q30" t="inlineStr">
        <is>
          <t>无</t>
        </is>
      </c>
      <c r="R30" t="inlineStr">
        <is>
          <t>无</t>
        </is>
      </c>
      <c r="S30"/>
      <c r="T30" t="inlineStr">
        <is>
          <t>无</t>
        </is>
      </c>
      <c r="U30" t="inlineStr">
        <is>
          <t>10</t>
        </is>
      </c>
      <c r="V30"/>
      <c r="W30"/>
      <c r="X30"/>
      <c r="Y30"/>
      <c r="Z30"/>
      <c r="AA30"/>
      <c r="AB30"/>
      <c r="AC30"/>
      <c r="AD30"/>
      <c r="AE30"/>
      <c r="AF30"/>
      <c r="AG30"/>
      <c r="AH30"/>
      <c r="AI30"/>
      <c r="AJ30" t="inlineStr">
        <is>
          <t>无</t>
        </is>
      </c>
      <c r="AK30" t="inlineStr">
        <is>
          <t>无</t>
        </is>
      </c>
      <c r="AL30" t="inlineStr">
        <is>
          <t>无</t>
        </is>
      </c>
      <c r="AM30" t="inlineStr">
        <is>
          <t>无</t>
        </is>
      </c>
      <c r="AN30" t="inlineStr">
        <is>
          <t>无</t>
        </is>
      </c>
      <c r="AO30" t="inlineStr">
        <is>
          <t>无</t>
        </is>
      </c>
      <c r="AP30" t="inlineStr">
        <is>
          <t>无</t>
        </is>
      </c>
      <c r="AQ30" t="inlineStr">
        <is>
          <t>无</t>
        </is>
      </c>
      <c r="AR30" t="inlineStr">
        <is>
          <t>无</t>
        </is>
      </c>
      <c r="AS30" t="inlineStr">
        <is>
          <t>无</t>
        </is>
      </c>
      <c r="AT30" t="inlineStr">
        <is>
          <t>无</t>
        </is>
      </c>
      <c r="AU30" t="inlineStr">
        <is>
          <t>无</t>
        </is>
      </c>
      <c r="AV30" t="inlineStr">
        <is>
          <t>无</t>
        </is>
      </c>
      <c r="AW30" t="inlineStr">
        <is>
          <t>无</t>
        </is>
      </c>
      <c r="AX30" t="inlineStr">
        <is>
          <t>无</t>
        </is>
      </c>
      <c r="AY30" t="inlineStr">
        <is>
          <t>无</t>
        </is>
      </c>
      <c r="AZ30" t="inlineStr">
        <is>
          <t>无</t>
        </is>
      </c>
      <c r="BA30" t="inlineStr">
        <is>
          <t>无</t>
        </is>
      </c>
      <c r="BB30" t="inlineStr">
        <is>
          <t>无</t>
        </is>
      </c>
      <c r="BC30" t="inlineStr">
        <is>
          <t>无</t>
        </is>
      </c>
      <c r="BD30" t="inlineStr">
        <is>
          <t>无</t>
        </is>
      </c>
      <c r="BE30" t="inlineStr">
        <is>
          <t>无</t>
        </is>
      </c>
      <c r="BF30" t="inlineStr">
        <is>
          <t>无</t>
        </is>
      </c>
      <c r="BG30" t="inlineStr">
        <is>
          <t>无</t>
        </is>
      </c>
      <c r="BH30" t="inlineStr">
        <is>
          <t>无</t>
        </is>
      </c>
      <c r="BI30" t="inlineStr">
        <is>
          <t>无</t>
        </is>
      </c>
      <c r="BJ30" t="inlineStr">
        <is>
          <t>无</t>
        </is>
      </c>
      <c r="BK30" t="inlineStr">
        <is>
          <t>无</t>
        </is>
      </c>
      <c r="BL30" t="inlineStr">
        <is>
          <t>无</t>
        </is>
      </c>
      <c r="BM30" t="inlineStr">
        <is>
          <t>无</t>
        </is>
      </c>
      <c r="BN30" t="inlineStr">
        <is>
          <t>无</t>
        </is>
      </c>
      <c r="BO30" t="inlineStr">
        <is>
          <t>无</t>
        </is>
      </c>
      <c r="BP30" t="inlineStr">
        <is>
          <t>无</t>
        </is>
      </c>
      <c r="BQ30" t="inlineStr">
        <is>
          <t>无</t>
        </is>
      </c>
      <c r="BR30" t="inlineStr">
        <is>
          <t>无</t>
        </is>
      </c>
      <c r="BS30" t="inlineStr">
        <is>
          <t>无</t>
        </is>
      </c>
      <c r="BT30" t="inlineStr">
        <is>
          <t>无</t>
        </is>
      </c>
      <c r="BU30" t="inlineStr">
        <is>
          <t>无</t>
        </is>
      </c>
      <c r="BV30" t="inlineStr">
        <is>
          <t>无</t>
        </is>
      </c>
      <c r="BW30" t="inlineStr">
        <is>
          <t>无</t>
        </is>
      </c>
      <c r="BX30" t="inlineStr">
        <is>
          <t>无</t>
        </is>
      </c>
      <c r="BY30" t="inlineStr">
        <is>
          <t>无</t>
        </is>
      </c>
      <c r="BZ30" t="inlineStr">
        <is>
          <t>无</t>
        </is>
      </c>
      <c r="CA30" t="inlineStr">
        <is>
          <t>无</t>
        </is>
      </c>
      <c r="CB30" t="inlineStr">
        <is>
          <t>无</t>
        </is>
      </c>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row>
    <row r="31" ht="25.5" customHeight="1">
      <c r="A31"/>
      <c r="B31" t="inlineStr">
        <is>
          <t>DE</t>
        </is>
      </c>
      <c r="C31" t="inlineStr">
        <is>
          <t>活动</t>
        </is>
      </c>
      <c r="D31" t="inlineStr">
        <is>
          <t>Funding 12.3，广告8，毛利0.78</t>
        </is>
      </c>
      <c r="E31" t="inlineStr">
        <is>
          <t>BD:11.18-11.19 FUNDING (SC)</t>
        </is>
      </c>
      <c r="F31" t="inlineStr">
        <is>
          <t>BD:11.18-11.19 FUNDING (SC)</t>
        </is>
      </c>
      <c r="G31" t="inlineStr">
        <is>
          <t>BD:11.18-11.19 FUNDING (SC)</t>
        </is>
      </c>
      <c r="H31" t="inlineStr">
        <is>
          <t>无</t>
        </is>
      </c>
      <c r="I31" t="inlineStr">
        <is>
          <t>无</t>
        </is>
      </c>
      <c r="J31" t="inlineStr">
        <is>
          <t>无</t>
        </is>
      </c>
      <c r="K31" t="inlineStr">
        <is>
          <t>无</t>
        </is>
      </c>
      <c r="L31" t="inlineStr">
        <is>
          <t>无</t>
        </is>
      </c>
      <c r="M31" t="inlineStr">
        <is>
          <t>无</t>
        </is>
      </c>
      <c r="N31" t="inlineStr">
        <is>
          <t>无</t>
        </is>
      </c>
      <c r="O31" t="inlineStr">
        <is>
          <t>无</t>
        </is>
      </c>
      <c r="P31" t="inlineStr">
        <is>
          <t>无</t>
        </is>
      </c>
      <c r="Q31" t="inlineStr">
        <is>
          <t>无</t>
        </is>
      </c>
      <c r="R31" t="inlineStr">
        <is>
          <t>无</t>
        </is>
      </c>
      <c r="S31" t="inlineStr">
        <is>
          <t>无</t>
        </is>
      </c>
      <c r="T31" t="inlineStr">
        <is>
          <t>SC BD</t>
        </is>
      </c>
      <c r="U31" t="inlineStr">
        <is>
          <t>SC BD</t>
        </is>
      </c>
      <c r="V31" t="inlineStr">
        <is>
          <t>SC BD</t>
        </is>
      </c>
      <c r="W31" t="inlineStr">
        <is>
          <t>SC BD</t>
        </is>
      </c>
      <c r="X31" t="inlineStr">
        <is>
          <t>SC BD</t>
        </is>
      </c>
      <c r="Y31" t="inlineStr">
        <is>
          <t>SC BD</t>
        </is>
      </c>
      <c r="Z31" t="inlineStr">
        <is>
          <t>SC BD</t>
        </is>
      </c>
      <c r="AA31" t="inlineStr">
        <is>
          <t>SC BD</t>
        </is>
      </c>
      <c r="AB31"/>
      <c r="AC31"/>
      <c r="AD31"/>
      <c r="AE31"/>
      <c r="AF31"/>
      <c r="AG31"/>
      <c r="AH31"/>
      <c r="AI31"/>
      <c r="AJ31" t="inlineStr">
        <is>
          <t>无</t>
        </is>
      </c>
      <c r="AK31" t="inlineStr">
        <is>
          <t>无</t>
        </is>
      </c>
      <c r="AL31" t="inlineStr">
        <is>
          <t>无</t>
        </is>
      </c>
      <c r="AM31" t="inlineStr">
        <is>
          <t>无</t>
        </is>
      </c>
      <c r="AN31" t="inlineStr">
        <is>
          <t>无</t>
        </is>
      </c>
      <c r="AO31" t="inlineStr">
        <is>
          <t>无</t>
        </is>
      </c>
      <c r="AP31" t="inlineStr">
        <is>
          <t>无</t>
        </is>
      </c>
      <c r="AQ31" t="inlineStr">
        <is>
          <t>无</t>
        </is>
      </c>
      <c r="AR31" t="inlineStr">
        <is>
          <t>无</t>
        </is>
      </c>
      <c r="AS31" t="inlineStr">
        <is>
          <t>无</t>
        </is>
      </c>
      <c r="AT31" t="inlineStr">
        <is>
          <t>无</t>
        </is>
      </c>
      <c r="AU31" t="inlineStr">
        <is>
          <t>无</t>
        </is>
      </c>
      <c r="AV31" t="inlineStr">
        <is>
          <t>无</t>
        </is>
      </c>
      <c r="AW31" t="inlineStr">
        <is>
          <t>无</t>
        </is>
      </c>
      <c r="AX31" t="inlineStr">
        <is>
          <t>无</t>
        </is>
      </c>
      <c r="AY31" t="inlineStr">
        <is>
          <t>无</t>
        </is>
      </c>
      <c r="AZ31" t="inlineStr">
        <is>
          <t>无</t>
        </is>
      </c>
      <c r="BA31" t="inlineStr">
        <is>
          <t>无</t>
        </is>
      </c>
      <c r="BB31" t="inlineStr">
        <is>
          <t>无</t>
        </is>
      </c>
      <c r="BC31" t="inlineStr">
        <is>
          <t>无</t>
        </is>
      </c>
      <c r="BD31" t="inlineStr">
        <is>
          <t>无</t>
        </is>
      </c>
      <c r="BE31" t="inlineStr">
        <is>
          <t>无</t>
        </is>
      </c>
      <c r="BF31" t="inlineStr">
        <is>
          <t>无</t>
        </is>
      </c>
      <c r="BG31" t="inlineStr">
        <is>
          <t>无</t>
        </is>
      </c>
      <c r="BH31" t="inlineStr">
        <is>
          <t>无</t>
        </is>
      </c>
      <c r="BI31" t="inlineStr">
        <is>
          <t>无</t>
        </is>
      </c>
      <c r="BJ31" t="inlineStr">
        <is>
          <t>无</t>
        </is>
      </c>
      <c r="BK31" t="inlineStr">
        <is>
          <t>无</t>
        </is>
      </c>
      <c r="BL31" t="inlineStr">
        <is>
          <t>无</t>
        </is>
      </c>
      <c r="BM31" t="inlineStr">
        <is>
          <t>无</t>
        </is>
      </c>
      <c r="BN31" t="inlineStr">
        <is>
          <t>无</t>
        </is>
      </c>
      <c r="BO31" t="inlineStr">
        <is>
          <t>无</t>
        </is>
      </c>
      <c r="BP31" t="inlineStr">
        <is>
          <t>无</t>
        </is>
      </c>
      <c r="BQ31" t="inlineStr">
        <is>
          <t>无</t>
        </is>
      </c>
      <c r="BR31" t="inlineStr">
        <is>
          <t>无</t>
        </is>
      </c>
      <c r="BS31" t="inlineStr">
        <is>
          <t>无</t>
        </is>
      </c>
      <c r="BT31" t="inlineStr">
        <is>
          <t>无</t>
        </is>
      </c>
      <c r="BU31" t="inlineStr">
        <is>
          <t>无</t>
        </is>
      </c>
      <c r="BV31" t="inlineStr">
        <is>
          <t>无</t>
        </is>
      </c>
      <c r="BW31" t="inlineStr">
        <is>
          <t>无</t>
        </is>
      </c>
      <c r="BX31" t="inlineStr">
        <is>
          <t>无</t>
        </is>
      </c>
      <c r="BY31" t="inlineStr">
        <is>
          <t>无</t>
        </is>
      </c>
      <c r="BZ31" t="inlineStr">
        <is>
          <t>无</t>
        </is>
      </c>
      <c r="CA31" t="inlineStr">
        <is>
          <t>无</t>
        </is>
      </c>
      <c r="CB31" t="inlineStr">
        <is>
          <t>无</t>
        </is>
      </c>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row>
    <row r="32" ht="25.5" customHeight="1">
      <c r="A32"/>
      <c r="B32" t="inlineStr">
        <is>
          <t>FR</t>
        </is>
      </c>
      <c r="C32" t="inlineStr">
        <is>
          <t>优惠券</t>
        </is>
      </c>
      <c r="D32" t="inlineStr">
        <is>
          <t>0.15</t>
        </is>
      </c>
      <c r="E32" t="inlineStr">
        <is>
          <t>无</t>
        </is>
      </c>
      <c r="F32" t="inlineStr">
        <is>
          <t>无</t>
        </is>
      </c>
      <c r="G32" t="inlineStr">
        <is>
          <t>无</t>
        </is>
      </c>
      <c r="H32" t="inlineStr">
        <is>
          <t>无</t>
        </is>
      </c>
      <c r="I32" t="inlineStr">
        <is>
          <t>无</t>
        </is>
      </c>
      <c r="J32" t="inlineStr">
        <is>
          <t>无</t>
        </is>
      </c>
      <c r="K32" t="inlineStr">
        <is>
          <t>无</t>
        </is>
      </c>
      <c r="L32" t="inlineStr">
        <is>
          <t>无</t>
        </is>
      </c>
      <c r="M32" t="inlineStr">
        <is>
          <t>无</t>
        </is>
      </c>
      <c r="N32" t="inlineStr">
        <is>
          <t>无</t>
        </is>
      </c>
      <c r="O32" t="inlineStr">
        <is>
          <t>无</t>
        </is>
      </c>
      <c r="P32" t="inlineStr">
        <is>
          <t>无</t>
        </is>
      </c>
      <c r="Q32" t="inlineStr">
        <is>
          <t>无</t>
        </is>
      </c>
      <c r="R32" t="inlineStr">
        <is>
          <t>无</t>
        </is>
      </c>
      <c r="S32" t="inlineStr">
        <is>
          <t>无</t>
        </is>
      </c>
      <c r="T32"/>
      <c r="U32"/>
      <c r="V32"/>
      <c r="W32"/>
      <c r="X32"/>
      <c r="Y32"/>
      <c r="Z32"/>
      <c r="AA32"/>
      <c r="AB32"/>
      <c r="AC32"/>
      <c r="AD32"/>
      <c r="AE32"/>
      <c r="AF32"/>
      <c r="AG32"/>
      <c r="AH32"/>
      <c r="AI32"/>
      <c r="AJ32" t="inlineStr">
        <is>
          <t>无</t>
        </is>
      </c>
      <c r="AK32" t="inlineStr">
        <is>
          <t>无</t>
        </is>
      </c>
      <c r="AL32" t="inlineStr">
        <is>
          <t>无</t>
        </is>
      </c>
      <c r="AM32" t="inlineStr">
        <is>
          <t>无</t>
        </is>
      </c>
      <c r="AN32" t="inlineStr">
        <is>
          <t>无</t>
        </is>
      </c>
      <c r="AO32" t="inlineStr">
        <is>
          <t>无</t>
        </is>
      </c>
      <c r="AP32" t="inlineStr">
        <is>
          <t>无</t>
        </is>
      </c>
      <c r="AQ32" t="inlineStr">
        <is>
          <t>无</t>
        </is>
      </c>
      <c r="AR32" t="inlineStr">
        <is>
          <t>无</t>
        </is>
      </c>
      <c r="AS32" t="inlineStr">
        <is>
          <t>无</t>
        </is>
      </c>
      <c r="AT32" t="inlineStr">
        <is>
          <t>无</t>
        </is>
      </c>
      <c r="AU32" t="inlineStr">
        <is>
          <t>无</t>
        </is>
      </c>
      <c r="AV32" t="inlineStr">
        <is>
          <t>无</t>
        </is>
      </c>
      <c r="AW32" t="inlineStr">
        <is>
          <t>无</t>
        </is>
      </c>
      <c r="AX32" t="inlineStr">
        <is>
          <t>无</t>
        </is>
      </c>
      <c r="AY32" t="inlineStr">
        <is>
          <t>无</t>
        </is>
      </c>
      <c r="AZ32" t="inlineStr">
        <is>
          <t>无</t>
        </is>
      </c>
      <c r="BA32" t="inlineStr">
        <is>
          <t>无</t>
        </is>
      </c>
      <c r="BB32" t="inlineStr">
        <is>
          <t>无</t>
        </is>
      </c>
      <c r="BC32" t="inlineStr">
        <is>
          <t>无</t>
        </is>
      </c>
      <c r="BD32" t="inlineStr">
        <is>
          <t>无</t>
        </is>
      </c>
      <c r="BE32" t="inlineStr">
        <is>
          <t>无</t>
        </is>
      </c>
      <c r="BF32" t="inlineStr">
        <is>
          <t>COUPON 15%</t>
        </is>
      </c>
      <c r="BG32" t="inlineStr">
        <is>
          <t>COUPON 15%</t>
        </is>
      </c>
      <c r="BH32" t="inlineStr">
        <is>
          <t>COUPON 15%</t>
        </is>
      </c>
      <c r="BI32" t="inlineStr">
        <is>
          <t>COUPON 15%</t>
        </is>
      </c>
      <c r="BJ32" t="inlineStr">
        <is>
          <t>COUPON 15%</t>
        </is>
      </c>
      <c r="BK32" t="inlineStr">
        <is>
          <t>COUPON 15%</t>
        </is>
      </c>
      <c r="BL32" t="inlineStr">
        <is>
          <t>COUPON 15%</t>
        </is>
      </c>
      <c r="BM32" t="inlineStr">
        <is>
          <t>COUPON 15%</t>
        </is>
      </c>
      <c r="BN32" t="inlineStr">
        <is>
          <t>COUPON 15%</t>
        </is>
      </c>
      <c r="BO32" t="inlineStr">
        <is>
          <t>COUPON 15%</t>
        </is>
      </c>
      <c r="BP32" t="inlineStr">
        <is>
          <t>COUPON 15%</t>
        </is>
      </c>
      <c r="BQ32" t="inlineStr">
        <is>
          <t>COUPON 15%</t>
        </is>
      </c>
      <c r="BR32" t="inlineStr">
        <is>
          <t>COUPON 15%</t>
        </is>
      </c>
      <c r="BS32" t="inlineStr">
        <is>
          <t>COUPON 15%</t>
        </is>
      </c>
      <c r="BT32" t="inlineStr">
        <is>
          <t>COUPON 15%</t>
        </is>
      </c>
      <c r="BU32" t="inlineStr">
        <is>
          <t>COUPON 15%</t>
        </is>
      </c>
      <c r="BV32" t="inlineStr">
        <is>
          <t>COUPON 15%</t>
        </is>
      </c>
      <c r="BW32" t="inlineStr">
        <is>
          <t>COUPON 15%</t>
        </is>
      </c>
      <c r="BX32" t="inlineStr">
        <is>
          <t>COUPON 15%</t>
        </is>
      </c>
      <c r="BY32" t="inlineStr">
        <is>
          <t>COUPON 15%</t>
        </is>
      </c>
      <c r="BZ32" t="inlineStr">
        <is>
          <t>COUPON 15%</t>
        </is>
      </c>
      <c r="CA32" t="inlineStr">
        <is>
          <t>COUPON 15%</t>
        </is>
      </c>
      <c r="CB32" t="inlineStr">
        <is>
          <t>COUPON 15%</t>
        </is>
      </c>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row>
    <row r="33" ht="25.5" customHeight="1">
      <c r="A33"/>
      <c r="B33" t="inlineStr">
        <is>
          <t>FR</t>
        </is>
      </c>
      <c r="C33" t="inlineStr">
        <is>
          <t>活动</t>
        </is>
      </c>
      <c r="D33" t="inlineStr">
        <is>
          <t>Funding 12.3，广告8，毛利-1.37</t>
        </is>
      </c>
      <c r="E33" t="inlineStr">
        <is>
          <t>无</t>
        </is>
      </c>
      <c r="F33" t="inlineStr">
        <is>
          <t>无</t>
        </is>
      </c>
      <c r="G33" t="inlineStr">
        <is>
          <t>无</t>
        </is>
      </c>
      <c r="H33" t="inlineStr">
        <is>
          <t>VC BD, Funding 15.83€</t>
        </is>
      </c>
      <c r="I33" t="inlineStr">
        <is>
          <t>VC BD, Funding 15.83€</t>
        </is>
      </c>
      <c r="J33" t="inlineStr">
        <is>
          <t>VC BD, Funding 15.83€</t>
        </is>
      </c>
      <c r="K33" t="inlineStr">
        <is>
          <t>VC BD, Funding 15.83€</t>
        </is>
      </c>
      <c r="L33" t="inlineStr">
        <is>
          <t>VC BD, Funding 15.83€</t>
        </is>
      </c>
      <c r="M33" t="inlineStr">
        <is>
          <t>VC BD, Funding 15.83€</t>
        </is>
      </c>
      <c r="N33" t="inlineStr">
        <is>
          <t>VC BD, Funding 15.83€</t>
        </is>
      </c>
      <c r="O33" t="inlineStr">
        <is>
          <t>VC BD, Funding 15.83€</t>
        </is>
      </c>
      <c r="P33" t="inlineStr">
        <is>
          <t>VC BD, Funding 15.83€</t>
        </is>
      </c>
      <c r="Q33" t="inlineStr">
        <is>
          <t>VC BD, Funding 15.83€</t>
        </is>
      </c>
      <c r="R33" t="inlineStr">
        <is>
          <t>VC BD, Funding 15.83€</t>
        </is>
      </c>
      <c r="S33" t="inlineStr">
        <is>
          <t>VC BD, Funding 15.83€</t>
        </is>
      </c>
      <c r="T33" t="inlineStr">
        <is>
          <t>无</t>
        </is>
      </c>
      <c r="U33" t="inlineStr">
        <is>
          <t>8.19价格折扣10%</t>
        </is>
      </c>
      <c r="V33"/>
      <c r="W33"/>
      <c r="X33"/>
      <c r="Y33"/>
      <c r="Z33"/>
      <c r="AA33"/>
      <c r="AB33"/>
      <c r="AC33"/>
      <c r="AD33"/>
      <c r="AE33"/>
      <c r="AF33"/>
      <c r="AG33"/>
      <c r="AH33"/>
      <c r="AI33"/>
      <c r="AJ33" t="inlineStr">
        <is>
          <t>无</t>
        </is>
      </c>
      <c r="AK33" t="inlineStr">
        <is>
          <t>无</t>
        </is>
      </c>
      <c r="AL33" t="inlineStr">
        <is>
          <t>无</t>
        </is>
      </c>
      <c r="AM33" t="inlineStr">
        <is>
          <t>无</t>
        </is>
      </c>
      <c r="AN33" t="inlineStr">
        <is>
          <t>无</t>
        </is>
      </c>
      <c r="AO33" t="inlineStr">
        <is>
          <t>无</t>
        </is>
      </c>
      <c r="AP33" t="inlineStr">
        <is>
          <t>无</t>
        </is>
      </c>
      <c r="AQ33" t="inlineStr">
        <is>
          <t>无</t>
        </is>
      </c>
      <c r="AR33" t="inlineStr">
        <is>
          <t>无</t>
        </is>
      </c>
      <c r="AS33" t="inlineStr">
        <is>
          <t>无</t>
        </is>
      </c>
      <c r="AT33" t="inlineStr">
        <is>
          <t>无</t>
        </is>
      </c>
      <c r="AU33" t="inlineStr">
        <is>
          <t>无</t>
        </is>
      </c>
      <c r="AV33" t="inlineStr">
        <is>
          <t>无</t>
        </is>
      </c>
      <c r="AW33" t="inlineStr">
        <is>
          <t>无</t>
        </is>
      </c>
      <c r="AX33" t="inlineStr">
        <is>
          <t>无</t>
        </is>
      </c>
      <c r="AY33" t="inlineStr">
        <is>
          <t>无</t>
        </is>
      </c>
      <c r="AZ33" t="inlineStr">
        <is>
          <t>无</t>
        </is>
      </c>
      <c r="BA33" t="inlineStr">
        <is>
          <t>无</t>
        </is>
      </c>
      <c r="BB33" t="inlineStr">
        <is>
          <t>无</t>
        </is>
      </c>
      <c r="BC33" t="inlineStr">
        <is>
          <t>无</t>
        </is>
      </c>
      <c r="BD33" t="inlineStr">
        <is>
          <t>无</t>
        </is>
      </c>
      <c r="BE33" t="inlineStr">
        <is>
          <t>无</t>
        </is>
      </c>
      <c r="BF33" t="inlineStr">
        <is>
          <t>无</t>
        </is>
      </c>
      <c r="BG33" t="inlineStr">
        <is>
          <t>无</t>
        </is>
      </c>
      <c r="BH33" t="inlineStr">
        <is>
          <t>无</t>
        </is>
      </c>
      <c r="BI33" t="inlineStr">
        <is>
          <t>无</t>
        </is>
      </c>
      <c r="BJ33" t="inlineStr">
        <is>
          <t>无</t>
        </is>
      </c>
      <c r="BK33" t="inlineStr">
        <is>
          <t>无</t>
        </is>
      </c>
      <c r="BL33" t="inlineStr">
        <is>
          <t>无</t>
        </is>
      </c>
      <c r="BM33" t="inlineStr">
        <is>
          <t>无</t>
        </is>
      </c>
      <c r="BN33" t="inlineStr">
        <is>
          <t>无</t>
        </is>
      </c>
      <c r="BO33" t="inlineStr">
        <is>
          <t>无</t>
        </is>
      </c>
      <c r="BP33" t="inlineStr">
        <is>
          <t>无</t>
        </is>
      </c>
      <c r="BQ33" t="inlineStr">
        <is>
          <t>无</t>
        </is>
      </c>
      <c r="BR33" t="inlineStr">
        <is>
          <t>无</t>
        </is>
      </c>
      <c r="BS33" t="inlineStr">
        <is>
          <t>无</t>
        </is>
      </c>
      <c r="BT33" t="inlineStr">
        <is>
          <t>无</t>
        </is>
      </c>
      <c r="BU33" t="inlineStr">
        <is>
          <t>无</t>
        </is>
      </c>
      <c r="BV33" t="inlineStr">
        <is>
          <t>无</t>
        </is>
      </c>
      <c r="BW33" t="inlineStr">
        <is>
          <t>无</t>
        </is>
      </c>
      <c r="BX33" t="inlineStr">
        <is>
          <t>无</t>
        </is>
      </c>
      <c r="BY33" t="inlineStr">
        <is>
          <t>无</t>
        </is>
      </c>
      <c r="BZ33" t="inlineStr">
        <is>
          <t>无</t>
        </is>
      </c>
      <c r="CA33" t="inlineStr">
        <is>
          <t>无</t>
        </is>
      </c>
      <c r="CB33" t="inlineStr">
        <is>
          <t>无</t>
        </is>
      </c>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row>
    <row r="34" ht="25.5" customHeight="1">
      <c r="A34"/>
      <c r="B34" t="inlineStr">
        <is>
          <t>IT</t>
        </is>
      </c>
      <c r="C34" t="inlineStr">
        <is>
          <t>优惠券</t>
        </is>
      </c>
      <c r="D34" t="inlineStr">
        <is>
          <t>0.15</t>
        </is>
      </c>
      <c r="E34" t="inlineStr">
        <is>
          <t>无</t>
        </is>
      </c>
      <c r="F34" t="inlineStr">
        <is>
          <t>无</t>
        </is>
      </c>
      <c r="G34" t="inlineStr">
        <is>
          <t>无</t>
        </is>
      </c>
      <c r="H34" t="inlineStr">
        <is>
          <t>无</t>
        </is>
      </c>
      <c r="I34" t="inlineStr">
        <is>
          <t>无</t>
        </is>
      </c>
      <c r="J34" t="inlineStr">
        <is>
          <t>无</t>
        </is>
      </c>
      <c r="K34" t="inlineStr">
        <is>
          <t>无</t>
        </is>
      </c>
      <c r="L34" t="inlineStr">
        <is>
          <t>无</t>
        </is>
      </c>
      <c r="M34" t="inlineStr">
        <is>
          <t>无</t>
        </is>
      </c>
      <c r="N34" t="inlineStr">
        <is>
          <t>无</t>
        </is>
      </c>
      <c r="O34" t="inlineStr">
        <is>
          <t>无</t>
        </is>
      </c>
      <c r="P34" t="inlineStr">
        <is>
          <t>无</t>
        </is>
      </c>
      <c r="Q34" t="inlineStr">
        <is>
          <t>无</t>
        </is>
      </c>
      <c r="R34" t="inlineStr">
        <is>
          <t>无</t>
        </is>
      </c>
      <c r="S34" t="inlineStr">
        <is>
          <t>无</t>
        </is>
      </c>
      <c r="T34" t="inlineStr">
        <is>
          <t>无</t>
        </is>
      </c>
      <c r="U34" t="inlineStr">
        <is>
          <t>无</t>
        </is>
      </c>
      <c r="V34" t="inlineStr">
        <is>
          <t>无</t>
        </is>
      </c>
      <c r="W34" t="inlineStr">
        <is>
          <t>无</t>
        </is>
      </c>
      <c r="X34" t="inlineStr">
        <is>
          <t>无</t>
        </is>
      </c>
      <c r="Y34" t="inlineStr">
        <is>
          <t>无</t>
        </is>
      </c>
      <c r="Z34" t="inlineStr">
        <is>
          <t>无</t>
        </is>
      </c>
      <c r="AA34" t="inlineStr">
        <is>
          <t>无</t>
        </is>
      </c>
      <c r="AB34" t="inlineStr">
        <is>
          <t>Discount：15%</t>
        </is>
      </c>
      <c r="AC34" t="inlineStr">
        <is>
          <t>Discount：15%</t>
        </is>
      </c>
      <c r="AD34" t="inlineStr">
        <is>
          <t>Discount：15%</t>
        </is>
      </c>
      <c r="AE34" t="inlineStr">
        <is>
          <t>无</t>
        </is>
      </c>
      <c r="AF34" t="inlineStr">
        <is>
          <t>无</t>
        </is>
      </c>
      <c r="AG34" t="inlineStr">
        <is>
          <t>无</t>
        </is>
      </c>
      <c r="AH34" t="inlineStr">
        <is>
          <t>无</t>
        </is>
      </c>
      <c r="AI34" t="inlineStr">
        <is>
          <t>无</t>
        </is>
      </c>
      <c r="AJ34" t="inlineStr">
        <is>
          <t>无</t>
        </is>
      </c>
      <c r="AK34" t="inlineStr">
        <is>
          <t>无</t>
        </is>
      </c>
      <c r="AL34" t="inlineStr">
        <is>
          <t>无</t>
        </is>
      </c>
      <c r="AM34" t="inlineStr">
        <is>
          <t>无</t>
        </is>
      </c>
      <c r="AN34" t="inlineStr">
        <is>
          <t>无</t>
        </is>
      </c>
      <c r="AO34" t="inlineStr">
        <is>
          <t>无</t>
        </is>
      </c>
      <c r="AP34" t="inlineStr">
        <is>
          <t>无</t>
        </is>
      </c>
      <c r="AQ34" t="inlineStr">
        <is>
          <t>无</t>
        </is>
      </c>
      <c r="AR34" t="inlineStr">
        <is>
          <t>无</t>
        </is>
      </c>
      <c r="AS34" t="inlineStr">
        <is>
          <t>无</t>
        </is>
      </c>
      <c r="AT34" t="inlineStr">
        <is>
          <t>无</t>
        </is>
      </c>
      <c r="AU34" t="inlineStr">
        <is>
          <t>无</t>
        </is>
      </c>
      <c r="AV34" t="inlineStr">
        <is>
          <t>无</t>
        </is>
      </c>
      <c r="AW34" t="inlineStr">
        <is>
          <t>无</t>
        </is>
      </c>
      <c r="AX34" t="inlineStr">
        <is>
          <t>无</t>
        </is>
      </c>
      <c r="AY34" t="inlineStr">
        <is>
          <t>无</t>
        </is>
      </c>
      <c r="AZ34" t="inlineStr">
        <is>
          <t>无</t>
        </is>
      </c>
      <c r="BA34" t="inlineStr">
        <is>
          <t>无</t>
        </is>
      </c>
      <c r="BB34" t="inlineStr">
        <is>
          <t>无</t>
        </is>
      </c>
      <c r="BC34" t="inlineStr">
        <is>
          <t>无</t>
        </is>
      </c>
      <c r="BD34" t="inlineStr">
        <is>
          <t>无</t>
        </is>
      </c>
      <c r="BE34" t="inlineStr">
        <is>
          <t>无</t>
        </is>
      </c>
      <c r="BF34" t="inlineStr">
        <is>
          <t>COUPON 15%</t>
        </is>
      </c>
      <c r="BG34" t="inlineStr">
        <is>
          <t>COUPON 15%</t>
        </is>
      </c>
      <c r="BH34" t="inlineStr">
        <is>
          <t>COUPON 15%</t>
        </is>
      </c>
      <c r="BI34" t="inlineStr">
        <is>
          <t>COUPON 15%</t>
        </is>
      </c>
      <c r="BJ34" t="inlineStr">
        <is>
          <t>COUPON 15%</t>
        </is>
      </c>
      <c r="BK34" t="inlineStr">
        <is>
          <t>COUPON 15%</t>
        </is>
      </c>
      <c r="BL34" t="inlineStr">
        <is>
          <t>COUPON 15%</t>
        </is>
      </c>
      <c r="BM34" t="inlineStr">
        <is>
          <t>COUPON 15%</t>
        </is>
      </c>
      <c r="BN34" t="inlineStr">
        <is>
          <t>COUPON 15%</t>
        </is>
      </c>
      <c r="BO34" t="inlineStr">
        <is>
          <t>COUPON 15%</t>
        </is>
      </c>
      <c r="BP34" t="inlineStr">
        <is>
          <t>COUPON 15%</t>
        </is>
      </c>
      <c r="BQ34" t="inlineStr">
        <is>
          <t>COUPON 15%</t>
        </is>
      </c>
      <c r="BR34" t="inlineStr">
        <is>
          <t>COUPON 15%</t>
        </is>
      </c>
      <c r="BS34" t="inlineStr">
        <is>
          <t>COUPON 15%</t>
        </is>
      </c>
      <c r="BT34" t="inlineStr">
        <is>
          <t>COUPON 15%</t>
        </is>
      </c>
      <c r="BU34" t="inlineStr">
        <is>
          <t>COUPON 15%</t>
        </is>
      </c>
      <c r="BV34" t="inlineStr">
        <is>
          <t>COUPON 15%</t>
        </is>
      </c>
      <c r="BW34" t="inlineStr">
        <is>
          <t>COUPON 15%</t>
        </is>
      </c>
      <c r="BX34" t="inlineStr">
        <is>
          <t>COUPON 15%</t>
        </is>
      </c>
      <c r="BY34" t="inlineStr">
        <is>
          <t>COUPON 15%</t>
        </is>
      </c>
      <c r="BZ34" t="inlineStr">
        <is>
          <t>COUPON 15%</t>
        </is>
      </c>
      <c r="CA34" t="inlineStr">
        <is>
          <t>COUPON 15%</t>
        </is>
      </c>
      <c r="CB34" t="inlineStr">
        <is>
          <t>COUPON 15%</t>
        </is>
      </c>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row>
    <row r="35" ht="25.5" customHeight="1">
      <c r="A35"/>
      <c r="B35" t="inlineStr">
        <is>
          <t>IT</t>
        </is>
      </c>
      <c r="C35" t="inlineStr">
        <is>
          <t>活动</t>
        </is>
      </c>
      <c r="D35" t="inlineStr">
        <is>
          <t>Funding 12.3，广告8，毛利-0.7</t>
        </is>
      </c>
      <c r="E35" t="inlineStr">
        <is>
          <t>无</t>
        </is>
      </c>
      <c r="F35" t="inlineStr">
        <is>
          <t>无</t>
        </is>
      </c>
      <c r="G35" t="inlineStr">
        <is>
          <t>无</t>
        </is>
      </c>
      <c r="H35" t="inlineStr">
        <is>
          <t>无</t>
        </is>
      </c>
      <c r="I35" t="inlineStr">
        <is>
          <t>无</t>
        </is>
      </c>
      <c r="J35" t="inlineStr">
        <is>
          <t>VC Price discount:20%</t>
        </is>
      </c>
      <c r="K35" t="inlineStr">
        <is>
          <t>VC Price discount:20%</t>
        </is>
      </c>
      <c r="L35" t="inlineStr">
        <is>
          <t>VC Price discount:20%</t>
        </is>
      </c>
      <c r="M35" t="inlineStr">
        <is>
          <t>VC Price discount:20%</t>
        </is>
      </c>
      <c r="N35" t="inlineStr">
        <is>
          <t>VC Price discount:20%</t>
        </is>
      </c>
      <c r="O35" t="inlineStr">
        <is>
          <t>VC Price discount:20%</t>
        </is>
      </c>
      <c r="P35" t="inlineStr">
        <is>
          <t>VC Price discount:20%</t>
        </is>
      </c>
      <c r="Q35" t="inlineStr">
        <is>
          <t>VC Price discount:20%</t>
        </is>
      </c>
      <c r="R35" t="inlineStr">
        <is>
          <t>VC Price discount:20%</t>
        </is>
      </c>
      <c r="S35" t="inlineStr">
        <is>
          <t>VC Price discount:20%</t>
        </is>
      </c>
      <c r="T35" t="inlineStr">
        <is>
          <t>VC Price discount:20%</t>
        </is>
      </c>
      <c r="U35" t="inlineStr">
        <is>
          <t>VC Price discount:20%</t>
        </is>
      </c>
      <c r="V35" t="inlineStr">
        <is>
          <t>无</t>
        </is>
      </c>
      <c r="W35" t="inlineStr">
        <is>
          <t>无</t>
        </is>
      </c>
      <c r="X35" t="inlineStr">
        <is>
          <t>无</t>
        </is>
      </c>
      <c r="Y35" t="inlineStr">
        <is>
          <t>无</t>
        </is>
      </c>
      <c r="Z35" t="inlineStr">
        <is>
          <t>无</t>
        </is>
      </c>
      <c r="AA35" t="inlineStr">
        <is>
          <t>无</t>
        </is>
      </c>
      <c r="AB35" t="inlineStr">
        <is>
          <t>无</t>
        </is>
      </c>
      <c r="AC35" t="inlineStr">
        <is>
          <t>无</t>
        </is>
      </c>
      <c r="AD35" t="inlineStr">
        <is>
          <t>无</t>
        </is>
      </c>
      <c r="AE35" t="inlineStr">
        <is>
          <t>VC Price discount:20%</t>
        </is>
      </c>
      <c r="AF35" t="inlineStr">
        <is>
          <t>VC Price discount:20%</t>
        </is>
      </c>
      <c r="AG35" t="inlineStr">
        <is>
          <t>VC Price discount:20%</t>
        </is>
      </c>
      <c r="AH35" t="inlineStr">
        <is>
          <t>VC Price discount:20%</t>
        </is>
      </c>
      <c r="AI35" t="inlineStr">
        <is>
          <t>VC Price discount:20%</t>
        </is>
      </c>
      <c r="AJ35" t="inlineStr">
        <is>
          <t>VC Price discount:20%</t>
        </is>
      </c>
      <c r="AK35" t="inlineStr">
        <is>
          <t>VC Price discount:20%</t>
        </is>
      </c>
      <c r="AL35" t="inlineStr">
        <is>
          <t>VC Price discount:20%</t>
        </is>
      </c>
      <c r="AM35" t="inlineStr">
        <is>
          <t>VC Price discount:20%</t>
        </is>
      </c>
      <c r="AN35" t="inlineStr">
        <is>
          <t>VC Price discount:20%</t>
        </is>
      </c>
      <c r="AO35" t="inlineStr">
        <is>
          <t>VC Price discount:20%</t>
        </is>
      </c>
      <c r="AP35" t="inlineStr">
        <is>
          <t>VC Price discount:20%</t>
        </is>
      </c>
      <c r="AQ35" t="inlineStr">
        <is>
          <t>VC Price discount:20%</t>
        </is>
      </c>
      <c r="AR35" t="inlineStr">
        <is>
          <t>VC Price discount:20%</t>
        </is>
      </c>
      <c r="AS35" t="inlineStr">
        <is>
          <t>VC Price discount:20%</t>
        </is>
      </c>
      <c r="AT35" t="inlineStr">
        <is>
          <t>VC Price discount:20%</t>
        </is>
      </c>
      <c r="AU35" t="inlineStr">
        <is>
          <t>VC Price discount:20%</t>
        </is>
      </c>
      <c r="AV35" t="inlineStr">
        <is>
          <t>VC Price discount:20%</t>
        </is>
      </c>
      <c r="AW35" t="inlineStr">
        <is>
          <t>VC Price discount:20%</t>
        </is>
      </c>
      <c r="AX35" t="inlineStr">
        <is>
          <t>无</t>
        </is>
      </c>
      <c r="AY35" t="inlineStr">
        <is>
          <t>无</t>
        </is>
      </c>
      <c r="AZ35" t="inlineStr">
        <is>
          <t>无</t>
        </is>
      </c>
      <c r="BA35" t="inlineStr">
        <is>
          <t>无</t>
        </is>
      </c>
      <c r="BB35" t="inlineStr">
        <is>
          <t>无</t>
        </is>
      </c>
      <c r="BC35" t="inlineStr">
        <is>
          <t>无</t>
        </is>
      </c>
      <c r="BD35" t="inlineStr">
        <is>
          <t>无</t>
        </is>
      </c>
      <c r="BE35" t="inlineStr">
        <is>
          <t>无</t>
        </is>
      </c>
      <c r="BF35" t="inlineStr">
        <is>
          <t>无</t>
        </is>
      </c>
      <c r="BG35" t="inlineStr">
        <is>
          <t>无</t>
        </is>
      </c>
      <c r="BH35" t="inlineStr">
        <is>
          <t>无</t>
        </is>
      </c>
      <c r="BI35" t="inlineStr">
        <is>
          <t>无</t>
        </is>
      </c>
      <c r="BJ35" t="inlineStr">
        <is>
          <t>无</t>
        </is>
      </c>
      <c r="BK35" t="inlineStr">
        <is>
          <t>无</t>
        </is>
      </c>
      <c r="BL35" t="inlineStr">
        <is>
          <t>无</t>
        </is>
      </c>
      <c r="BM35" t="inlineStr">
        <is>
          <t>无</t>
        </is>
      </c>
      <c r="BN35" t="inlineStr">
        <is>
          <t>无</t>
        </is>
      </c>
      <c r="BO35" t="inlineStr">
        <is>
          <t>无</t>
        </is>
      </c>
      <c r="BP35" t="inlineStr">
        <is>
          <t>无</t>
        </is>
      </c>
      <c r="BQ35" t="inlineStr">
        <is>
          <t>无</t>
        </is>
      </c>
      <c r="BR35" t="inlineStr">
        <is>
          <t>无</t>
        </is>
      </c>
      <c r="BS35" t="inlineStr">
        <is>
          <t>无</t>
        </is>
      </c>
      <c r="BT35" t="inlineStr">
        <is>
          <t>无</t>
        </is>
      </c>
      <c r="BU35" t="inlineStr">
        <is>
          <t>无</t>
        </is>
      </c>
      <c r="BV35" t="inlineStr">
        <is>
          <t>无</t>
        </is>
      </c>
      <c r="BW35" t="inlineStr">
        <is>
          <t>无</t>
        </is>
      </c>
      <c r="BX35" t="inlineStr">
        <is>
          <t>无</t>
        </is>
      </c>
      <c r="BY35" t="inlineStr">
        <is>
          <t>无</t>
        </is>
      </c>
      <c r="BZ35" t="inlineStr">
        <is>
          <t>无</t>
        </is>
      </c>
      <c r="CA35" t="inlineStr">
        <is>
          <t>无</t>
        </is>
      </c>
      <c r="CB35" t="inlineStr">
        <is>
          <t>无</t>
        </is>
      </c>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row>
    <row r="36" ht="25.5" customHeight="1">
      <c r="A36"/>
      <c r="B36" t="inlineStr">
        <is>
          <t>ES</t>
        </is>
      </c>
      <c r="C36" t="inlineStr">
        <is>
          <t>优惠券</t>
        </is>
      </c>
      <c r="D36" t="inlineStr">
        <is>
          <t>0.15</t>
        </is>
      </c>
      <c r="E36" t="inlineStr">
        <is>
          <t>无</t>
        </is>
      </c>
      <c r="F36" t="inlineStr">
        <is>
          <t>无</t>
        </is>
      </c>
      <c r="G36" t="inlineStr">
        <is>
          <t>无</t>
        </is>
      </c>
      <c r="H36" t="inlineStr">
        <is>
          <t>无</t>
        </is>
      </c>
      <c r="I36" t="inlineStr">
        <is>
          <t>无</t>
        </is>
      </c>
      <c r="J36" t="inlineStr">
        <is>
          <t>无</t>
        </is>
      </c>
      <c r="K36" t="inlineStr">
        <is>
          <t>无</t>
        </is>
      </c>
      <c r="L36" t="inlineStr">
        <is>
          <t>无</t>
        </is>
      </c>
      <c r="M36" t="inlineStr">
        <is>
          <t>无</t>
        </is>
      </c>
      <c r="N36" t="inlineStr">
        <is>
          <t>无</t>
        </is>
      </c>
      <c r="O36" t="inlineStr">
        <is>
          <t>无</t>
        </is>
      </c>
      <c r="P36" t="inlineStr">
        <is>
          <t>无</t>
        </is>
      </c>
      <c r="Q36" t="inlineStr">
        <is>
          <t>无</t>
        </is>
      </c>
      <c r="R36" t="inlineStr">
        <is>
          <t>无</t>
        </is>
      </c>
      <c r="S36" t="inlineStr">
        <is>
          <t>无</t>
        </is>
      </c>
      <c r="T36" t="inlineStr">
        <is>
          <t>无</t>
        </is>
      </c>
      <c r="U36" t="inlineStr">
        <is>
          <t>无</t>
        </is>
      </c>
      <c r="V36" t="inlineStr">
        <is>
          <t>无</t>
        </is>
      </c>
      <c r="W36" t="inlineStr">
        <is>
          <t>无</t>
        </is>
      </c>
      <c r="X36" t="inlineStr">
        <is>
          <t>无</t>
        </is>
      </c>
      <c r="Y36" t="inlineStr">
        <is>
          <t>无</t>
        </is>
      </c>
      <c r="Z36" t="inlineStr">
        <is>
          <t>无</t>
        </is>
      </c>
      <c r="AA36" t="inlineStr">
        <is>
          <t>无</t>
        </is>
      </c>
      <c r="AB36" t="inlineStr">
        <is>
          <t>Discount：15%</t>
        </is>
      </c>
      <c r="AC36" t="inlineStr">
        <is>
          <t>Discount：15%</t>
        </is>
      </c>
      <c r="AD36" t="inlineStr">
        <is>
          <t>Discount：15%</t>
        </is>
      </c>
      <c r="AE36" t="inlineStr">
        <is>
          <t>无</t>
        </is>
      </c>
      <c r="AF36" t="inlineStr">
        <is>
          <t>无</t>
        </is>
      </c>
      <c r="AG36" t="inlineStr">
        <is>
          <t>无</t>
        </is>
      </c>
      <c r="AH36" t="inlineStr">
        <is>
          <t>无</t>
        </is>
      </c>
      <c r="AI36" t="inlineStr">
        <is>
          <t>无</t>
        </is>
      </c>
      <c r="AJ36" t="inlineStr">
        <is>
          <t>无</t>
        </is>
      </c>
      <c r="AK36" t="inlineStr">
        <is>
          <t>无</t>
        </is>
      </c>
      <c r="AL36" t="inlineStr">
        <is>
          <t>无</t>
        </is>
      </c>
      <c r="AM36" t="inlineStr">
        <is>
          <t>无</t>
        </is>
      </c>
      <c r="AN36" t="inlineStr">
        <is>
          <t>无</t>
        </is>
      </c>
      <c r="AO36" t="inlineStr">
        <is>
          <t>无</t>
        </is>
      </c>
      <c r="AP36" t="inlineStr">
        <is>
          <t>无</t>
        </is>
      </c>
      <c r="AQ36" t="inlineStr">
        <is>
          <t>无</t>
        </is>
      </c>
      <c r="AR36" t="inlineStr">
        <is>
          <t>无</t>
        </is>
      </c>
      <c r="AS36" t="inlineStr">
        <is>
          <t>无</t>
        </is>
      </c>
      <c r="AT36" t="inlineStr">
        <is>
          <t>无</t>
        </is>
      </c>
      <c r="AU36" t="inlineStr">
        <is>
          <t>无</t>
        </is>
      </c>
      <c r="AV36" t="inlineStr">
        <is>
          <t>无</t>
        </is>
      </c>
      <c r="AW36" t="inlineStr">
        <is>
          <t>无</t>
        </is>
      </c>
      <c r="AX36" t="inlineStr">
        <is>
          <t>无</t>
        </is>
      </c>
      <c r="AY36" t="inlineStr">
        <is>
          <t>无</t>
        </is>
      </c>
      <c r="AZ36" t="inlineStr">
        <is>
          <t>无</t>
        </is>
      </c>
      <c r="BA36" t="inlineStr">
        <is>
          <t>无</t>
        </is>
      </c>
      <c r="BB36" t="inlineStr">
        <is>
          <t>无</t>
        </is>
      </c>
      <c r="BC36" t="inlineStr">
        <is>
          <t>无</t>
        </is>
      </c>
      <c r="BD36" t="inlineStr">
        <is>
          <t>无</t>
        </is>
      </c>
      <c r="BE36" t="inlineStr">
        <is>
          <t>无</t>
        </is>
      </c>
      <c r="BF36" t="inlineStr">
        <is>
          <t>无</t>
        </is>
      </c>
      <c r="BG36" t="inlineStr">
        <is>
          <t>无</t>
        </is>
      </c>
      <c r="BH36" t="inlineStr">
        <is>
          <t>无</t>
        </is>
      </c>
      <c r="BI36" t="inlineStr">
        <is>
          <t>无</t>
        </is>
      </c>
      <c r="BJ36" t="inlineStr">
        <is>
          <t>无</t>
        </is>
      </c>
      <c r="BK36" t="inlineStr">
        <is>
          <t>无</t>
        </is>
      </c>
      <c r="BL36" t="inlineStr">
        <is>
          <t>无</t>
        </is>
      </c>
      <c r="BM36" t="inlineStr">
        <is>
          <t>无</t>
        </is>
      </c>
      <c r="BN36" t="inlineStr">
        <is>
          <t>无</t>
        </is>
      </c>
      <c r="BO36" t="inlineStr">
        <is>
          <t>无</t>
        </is>
      </c>
      <c r="BP36" t="inlineStr">
        <is>
          <t>无</t>
        </is>
      </c>
      <c r="BQ36" t="inlineStr">
        <is>
          <t>无</t>
        </is>
      </c>
      <c r="BR36" t="inlineStr">
        <is>
          <t>无</t>
        </is>
      </c>
      <c r="BS36" t="inlineStr">
        <is>
          <t>无</t>
        </is>
      </c>
      <c r="BT36" t="inlineStr">
        <is>
          <t>无</t>
        </is>
      </c>
      <c r="BU36" t="inlineStr">
        <is>
          <t>无</t>
        </is>
      </c>
      <c r="BV36" t="inlineStr">
        <is>
          <t>无</t>
        </is>
      </c>
      <c r="BW36" t="inlineStr">
        <is>
          <t>无</t>
        </is>
      </c>
      <c r="BX36" t="inlineStr">
        <is>
          <t>无</t>
        </is>
      </c>
      <c r="BY36" t="inlineStr">
        <is>
          <t>无</t>
        </is>
      </c>
      <c r="BZ36" t="inlineStr">
        <is>
          <t>无</t>
        </is>
      </c>
      <c r="CA36" t="inlineStr">
        <is>
          <t>无</t>
        </is>
      </c>
      <c r="CB36" t="inlineStr">
        <is>
          <t>无</t>
        </is>
      </c>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row>
    <row r="37" ht="25.5" customHeight="1">
      <c r="A37"/>
      <c r="B37" t="inlineStr">
        <is>
          <t>ES</t>
        </is>
      </c>
      <c r="C37" t="inlineStr">
        <is>
          <t>活动</t>
        </is>
      </c>
      <c r="D37" t="inlineStr">
        <is>
          <t>Funding 12.3，广告8，毛利0.1</t>
        </is>
      </c>
      <c r="E37" t="inlineStr">
        <is>
          <t>无</t>
        </is>
      </c>
      <c r="F37" t="inlineStr">
        <is>
          <t>无</t>
        </is>
      </c>
      <c r="G37" t="inlineStr">
        <is>
          <t>无</t>
        </is>
      </c>
      <c r="H37" t="inlineStr">
        <is>
          <t>无</t>
        </is>
      </c>
      <c r="I37" t="inlineStr">
        <is>
          <t>无</t>
        </is>
      </c>
      <c r="J37" t="inlineStr">
        <is>
          <t>VC Price discount:20%</t>
        </is>
      </c>
      <c r="K37" t="inlineStr">
        <is>
          <t>VC Price discount:20%</t>
        </is>
      </c>
      <c r="L37" t="inlineStr">
        <is>
          <t>VC Price discount:20%</t>
        </is>
      </c>
      <c r="M37" t="inlineStr">
        <is>
          <t>VC Price discount:20%</t>
        </is>
      </c>
      <c r="N37" t="inlineStr">
        <is>
          <t>VC Price discount:20%</t>
        </is>
      </c>
      <c r="O37" t="inlineStr">
        <is>
          <t>VC Price discount:20%</t>
        </is>
      </c>
      <c r="P37" t="inlineStr">
        <is>
          <t>VC Price discount:20%</t>
        </is>
      </c>
      <c r="Q37" t="inlineStr">
        <is>
          <t>VC Price discount:20%</t>
        </is>
      </c>
      <c r="R37" t="inlineStr">
        <is>
          <t>VC Price discount:20%</t>
        </is>
      </c>
      <c r="S37" t="inlineStr">
        <is>
          <t>VC Price discount:20%</t>
        </is>
      </c>
      <c r="T37" t="inlineStr">
        <is>
          <t>VC Price discount:20%</t>
        </is>
      </c>
      <c r="U37" t="inlineStr">
        <is>
          <t>VC Price discount:20%</t>
        </is>
      </c>
      <c r="V37" t="inlineStr">
        <is>
          <t>无</t>
        </is>
      </c>
      <c r="W37" t="inlineStr">
        <is>
          <t>无</t>
        </is>
      </c>
      <c r="X37" t="inlineStr">
        <is>
          <t>无</t>
        </is>
      </c>
      <c r="Y37" t="inlineStr">
        <is>
          <t>无</t>
        </is>
      </c>
      <c r="Z37" t="inlineStr">
        <is>
          <t>无</t>
        </is>
      </c>
      <c r="AA37" t="inlineStr">
        <is>
          <t>无</t>
        </is>
      </c>
      <c r="AB37" t="inlineStr">
        <is>
          <t>无</t>
        </is>
      </c>
      <c r="AC37" t="inlineStr">
        <is>
          <t>无</t>
        </is>
      </c>
      <c r="AD37" t="inlineStr">
        <is>
          <t>无</t>
        </is>
      </c>
      <c r="AE37" t="inlineStr">
        <is>
          <t>VC Price discount:20%</t>
        </is>
      </c>
      <c r="AF37" t="inlineStr">
        <is>
          <t>VC Price discount:20%</t>
        </is>
      </c>
      <c r="AG37" t="inlineStr">
        <is>
          <t>VC Price discount:20%</t>
        </is>
      </c>
      <c r="AH37" t="inlineStr">
        <is>
          <t>VC Price discount:20%</t>
        </is>
      </c>
      <c r="AI37" t="inlineStr">
        <is>
          <t>VC Price discount:20%</t>
        </is>
      </c>
      <c r="AJ37" t="inlineStr">
        <is>
          <t>VC Price discount:20%</t>
        </is>
      </c>
      <c r="AK37" t="inlineStr">
        <is>
          <t>VC Price discount:20%</t>
        </is>
      </c>
      <c r="AL37" t="inlineStr">
        <is>
          <t>VC Price discount:20%</t>
        </is>
      </c>
      <c r="AM37" t="inlineStr">
        <is>
          <t>VC Price discount:20%</t>
        </is>
      </c>
      <c r="AN37" t="inlineStr">
        <is>
          <t>VC Price discount:20%</t>
        </is>
      </c>
      <c r="AO37" t="inlineStr">
        <is>
          <t>VC Price discount:20%</t>
        </is>
      </c>
      <c r="AP37" t="inlineStr">
        <is>
          <t>VC Price discount:20%</t>
        </is>
      </c>
      <c r="AQ37" t="inlineStr">
        <is>
          <t>VC Price discount:20%</t>
        </is>
      </c>
      <c r="AR37" t="inlineStr">
        <is>
          <t>VC Price discount:20%</t>
        </is>
      </c>
      <c r="AS37" t="inlineStr">
        <is>
          <t>VC Price discount:20%</t>
        </is>
      </c>
      <c r="AT37" t="inlineStr">
        <is>
          <t>VC Price discount:20%</t>
        </is>
      </c>
      <c r="AU37" t="inlineStr">
        <is>
          <t>VC Price discount:20%</t>
        </is>
      </c>
      <c r="AV37" t="inlineStr">
        <is>
          <t>VC Price discount:20%</t>
        </is>
      </c>
      <c r="AW37" t="inlineStr">
        <is>
          <t>VC Price discount:20%</t>
        </is>
      </c>
      <c r="AX37" t="inlineStr">
        <is>
          <t>无</t>
        </is>
      </c>
      <c r="AY37" t="inlineStr">
        <is>
          <t>无</t>
        </is>
      </c>
      <c r="AZ37" t="inlineStr">
        <is>
          <t>无</t>
        </is>
      </c>
      <c r="BA37" t="inlineStr">
        <is>
          <t>无</t>
        </is>
      </c>
      <c r="BB37" t="inlineStr">
        <is>
          <t>无</t>
        </is>
      </c>
      <c r="BC37" t="inlineStr">
        <is>
          <t>无</t>
        </is>
      </c>
      <c r="BD37" t="inlineStr">
        <is>
          <t>无</t>
        </is>
      </c>
      <c r="BE37" t="inlineStr">
        <is>
          <t>无</t>
        </is>
      </c>
      <c r="BF37" t="inlineStr">
        <is>
          <t>无</t>
        </is>
      </c>
      <c r="BG37" t="inlineStr">
        <is>
          <t>无</t>
        </is>
      </c>
      <c r="BH37" t="inlineStr">
        <is>
          <t>无</t>
        </is>
      </c>
      <c r="BI37" t="inlineStr">
        <is>
          <t>无</t>
        </is>
      </c>
      <c r="BJ37" t="inlineStr">
        <is>
          <t>无</t>
        </is>
      </c>
      <c r="BK37" t="inlineStr">
        <is>
          <t>无</t>
        </is>
      </c>
      <c r="BL37" t="inlineStr">
        <is>
          <t>无</t>
        </is>
      </c>
      <c r="BM37" t="inlineStr">
        <is>
          <t>无</t>
        </is>
      </c>
      <c r="BN37" t="inlineStr">
        <is>
          <t>无</t>
        </is>
      </c>
      <c r="BO37" t="inlineStr">
        <is>
          <t>无</t>
        </is>
      </c>
      <c r="BP37" t="inlineStr">
        <is>
          <t>无</t>
        </is>
      </c>
      <c r="BQ37" t="inlineStr">
        <is>
          <t>无</t>
        </is>
      </c>
      <c r="BR37" t="inlineStr">
        <is>
          <t>无</t>
        </is>
      </c>
      <c r="BS37" t="inlineStr">
        <is>
          <t>无</t>
        </is>
      </c>
      <c r="BT37" t="inlineStr">
        <is>
          <t>无</t>
        </is>
      </c>
      <c r="BU37" t="inlineStr">
        <is>
          <t>无</t>
        </is>
      </c>
      <c r="BV37" t="inlineStr">
        <is>
          <t>无</t>
        </is>
      </c>
      <c r="BW37" t="inlineStr">
        <is>
          <t>无</t>
        </is>
      </c>
      <c r="BX37" t="inlineStr">
        <is>
          <t>无</t>
        </is>
      </c>
      <c r="BY37" t="inlineStr">
        <is>
          <t>无</t>
        </is>
      </c>
      <c r="BZ37" t="inlineStr">
        <is>
          <t>无</t>
        </is>
      </c>
      <c r="CA37" t="inlineStr">
        <is>
          <t>无</t>
        </is>
      </c>
      <c r="CB37" t="inlineStr">
        <is>
          <t>无</t>
        </is>
      </c>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row>
    <row r="38" ht="25.5" customHeight="1">
      <c r="A38"/>
      <c r="B38" t="inlineStr">
        <is>
          <t>UK</t>
        </is>
      </c>
      <c r="C38" t="inlineStr">
        <is>
          <t>优惠券</t>
        </is>
      </c>
      <c r="D38" t="inlineStr">
        <is>
          <t>0.15</t>
        </is>
      </c>
      <c r="E38" t="inlineStr">
        <is>
          <t>无</t>
        </is>
      </c>
      <c r="F38" t="inlineStr">
        <is>
          <t>无</t>
        </is>
      </c>
      <c r="G38" t="inlineStr">
        <is>
          <t>无</t>
        </is>
      </c>
      <c r="H38" t="inlineStr">
        <is>
          <t>无</t>
        </is>
      </c>
      <c r="I38" t="inlineStr">
        <is>
          <t>无</t>
        </is>
      </c>
      <c r="J38" t="inlineStr">
        <is>
          <t>无</t>
        </is>
      </c>
      <c r="K38" t="inlineStr">
        <is>
          <t>无</t>
        </is>
      </c>
      <c r="L38" t="inlineStr">
        <is>
          <t>无</t>
        </is>
      </c>
      <c r="M38" t="inlineStr">
        <is>
          <t>无</t>
        </is>
      </c>
      <c r="N38" t="inlineStr">
        <is>
          <t>无</t>
        </is>
      </c>
      <c r="O38" t="inlineStr">
        <is>
          <t>无</t>
        </is>
      </c>
      <c r="P38" t="inlineStr">
        <is>
          <t>无</t>
        </is>
      </c>
      <c r="Q38" t="inlineStr">
        <is>
          <t>无</t>
        </is>
      </c>
      <c r="R38" t="inlineStr">
        <is>
          <t>无</t>
        </is>
      </c>
      <c r="S38" t="inlineStr">
        <is>
          <t>无</t>
        </is>
      </c>
      <c r="T38"/>
      <c r="U38"/>
      <c r="V38"/>
      <c r="W38"/>
      <c r="X38"/>
      <c r="Y38"/>
      <c r="Z38"/>
      <c r="AA38"/>
      <c r="AB38"/>
      <c r="AC38"/>
      <c r="AD38"/>
      <c r="AE38"/>
      <c r="AF38"/>
      <c r="AG38"/>
      <c r="AH38"/>
      <c r="AI38"/>
      <c r="AJ38" t="inlineStr">
        <is>
          <t>无</t>
        </is>
      </c>
      <c r="AK38" t="inlineStr">
        <is>
          <t>无</t>
        </is>
      </c>
      <c r="AL38" t="inlineStr">
        <is>
          <t>无</t>
        </is>
      </c>
      <c r="AM38" t="inlineStr">
        <is>
          <t>无</t>
        </is>
      </c>
      <c r="AN38" t="inlineStr">
        <is>
          <t>无</t>
        </is>
      </c>
      <c r="AO38" t="inlineStr">
        <is>
          <t>无</t>
        </is>
      </c>
      <c r="AP38" t="inlineStr">
        <is>
          <t>无</t>
        </is>
      </c>
      <c r="AQ38" t="inlineStr">
        <is>
          <t>无</t>
        </is>
      </c>
      <c r="AR38" t="inlineStr">
        <is>
          <t>无</t>
        </is>
      </c>
      <c r="AS38" t="inlineStr">
        <is>
          <t>无</t>
        </is>
      </c>
      <c r="AT38" t="inlineStr">
        <is>
          <t>无</t>
        </is>
      </c>
      <c r="AU38" t="inlineStr">
        <is>
          <t>无</t>
        </is>
      </c>
      <c r="AV38" t="inlineStr">
        <is>
          <t>无</t>
        </is>
      </c>
      <c r="AW38" t="inlineStr">
        <is>
          <t>无</t>
        </is>
      </c>
      <c r="AX38" t="inlineStr">
        <is>
          <t>无</t>
        </is>
      </c>
      <c r="AY38" t="inlineStr">
        <is>
          <t>无</t>
        </is>
      </c>
      <c r="AZ38" t="inlineStr">
        <is>
          <t>无</t>
        </is>
      </c>
      <c r="BA38" t="inlineStr">
        <is>
          <t>无</t>
        </is>
      </c>
      <c r="BB38" t="inlineStr">
        <is>
          <t>无</t>
        </is>
      </c>
      <c r="BC38" t="inlineStr">
        <is>
          <t>无</t>
        </is>
      </c>
      <c r="BD38" t="inlineStr">
        <is>
          <t>无</t>
        </is>
      </c>
      <c r="BE38" t="inlineStr">
        <is>
          <t>无</t>
        </is>
      </c>
      <c r="BF38" t="inlineStr">
        <is>
          <t>无</t>
        </is>
      </c>
      <c r="BG38" t="inlineStr">
        <is>
          <t>无</t>
        </is>
      </c>
      <c r="BH38" t="inlineStr">
        <is>
          <t>无</t>
        </is>
      </c>
      <c r="BI38" t="inlineStr">
        <is>
          <t>无</t>
        </is>
      </c>
      <c r="BJ38" t="inlineStr">
        <is>
          <t>无</t>
        </is>
      </c>
      <c r="BK38" t="inlineStr">
        <is>
          <t>无</t>
        </is>
      </c>
      <c r="BL38" t="inlineStr">
        <is>
          <t>无</t>
        </is>
      </c>
      <c r="BM38" t="inlineStr">
        <is>
          <t>无</t>
        </is>
      </c>
      <c r="BN38" t="inlineStr">
        <is>
          <t>无</t>
        </is>
      </c>
      <c r="BO38" t="inlineStr">
        <is>
          <t>无</t>
        </is>
      </c>
      <c r="BP38" t="inlineStr">
        <is>
          <t>无</t>
        </is>
      </c>
      <c r="BQ38" t="inlineStr">
        <is>
          <t>无</t>
        </is>
      </c>
      <c r="BR38" t="inlineStr">
        <is>
          <t>无</t>
        </is>
      </c>
      <c r="BS38" t="inlineStr">
        <is>
          <t>无</t>
        </is>
      </c>
      <c r="BT38" t="inlineStr">
        <is>
          <t>无</t>
        </is>
      </c>
      <c r="BU38" t="inlineStr">
        <is>
          <t>无</t>
        </is>
      </c>
      <c r="BV38" t="inlineStr">
        <is>
          <t>无</t>
        </is>
      </c>
      <c r="BW38" t="inlineStr">
        <is>
          <t>无</t>
        </is>
      </c>
      <c r="BX38" t="inlineStr">
        <is>
          <t>无</t>
        </is>
      </c>
      <c r="BY38" t="inlineStr">
        <is>
          <t>无</t>
        </is>
      </c>
      <c r="BZ38" t="inlineStr">
        <is>
          <t>无</t>
        </is>
      </c>
      <c r="CA38" t="inlineStr">
        <is>
          <t>无</t>
        </is>
      </c>
      <c r="CB38" t="inlineStr">
        <is>
          <t>无</t>
        </is>
      </c>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row>
    <row r="39" ht="25.5" customHeight="1">
      <c r="A39"/>
      <c r="B39" t="inlineStr">
        <is>
          <t>UK</t>
        </is>
      </c>
      <c r="C39" t="inlineStr">
        <is>
          <t>活动</t>
        </is>
      </c>
      <c r="D39" t="inlineStr">
        <is>
          <t>Funding 11.25，广告8，毛利0.4</t>
        </is>
      </c>
      <c r="E39" t="inlineStr">
        <is>
          <t>无</t>
        </is>
      </c>
      <c r="F39" t="inlineStr">
        <is>
          <t>无</t>
        </is>
      </c>
      <c r="G39" t="inlineStr">
        <is>
          <t>无</t>
        </is>
      </c>
      <c r="H39" t="inlineStr">
        <is>
          <t>无</t>
        </is>
      </c>
      <c r="I39" t="inlineStr">
        <is>
          <t>无</t>
        </is>
      </c>
      <c r="J39" t="inlineStr">
        <is>
          <t>无</t>
        </is>
      </c>
      <c r="K39" t="inlineStr">
        <is>
          <t>无</t>
        </is>
      </c>
      <c r="L39" t="inlineStr">
        <is>
          <t>无</t>
        </is>
      </c>
      <c r="M39" t="inlineStr">
        <is>
          <t>无</t>
        </is>
      </c>
      <c r="N39" t="inlineStr">
        <is>
          <t>无</t>
        </is>
      </c>
      <c r="O39" t="inlineStr">
        <is>
          <t>无</t>
        </is>
      </c>
      <c r="P39" t="inlineStr">
        <is>
          <t>无</t>
        </is>
      </c>
      <c r="Q39" t="inlineStr">
        <is>
          <t>无</t>
        </is>
      </c>
      <c r="R39" t="inlineStr">
        <is>
          <t>无</t>
        </is>
      </c>
      <c r="S39" t="inlineStr">
        <is>
          <t>无</t>
        </is>
      </c>
      <c r="T39"/>
      <c r="U39"/>
      <c r="V39"/>
      <c r="W39"/>
      <c r="X39"/>
      <c r="Y39"/>
      <c r="Z39"/>
      <c r="AA39"/>
      <c r="AB39"/>
      <c r="AC39"/>
      <c r="AD39"/>
      <c r="AE39"/>
      <c r="AF39"/>
      <c r="AG39"/>
      <c r="AH39"/>
      <c r="AI39"/>
      <c r="AJ39" t="inlineStr">
        <is>
          <t>无</t>
        </is>
      </c>
      <c r="AK39" t="inlineStr">
        <is>
          <t>无</t>
        </is>
      </c>
      <c r="AL39" t="inlineStr">
        <is>
          <t>无</t>
        </is>
      </c>
      <c r="AM39" t="inlineStr">
        <is>
          <t>无</t>
        </is>
      </c>
      <c r="AN39" t="inlineStr">
        <is>
          <t>无</t>
        </is>
      </c>
      <c r="AO39" t="inlineStr">
        <is>
          <t>无</t>
        </is>
      </c>
      <c r="AP39" t="inlineStr">
        <is>
          <t>无</t>
        </is>
      </c>
      <c r="AQ39" t="inlineStr">
        <is>
          <t>无</t>
        </is>
      </c>
      <c r="AR39" t="inlineStr">
        <is>
          <t>无</t>
        </is>
      </c>
      <c r="AS39" t="inlineStr">
        <is>
          <t>无</t>
        </is>
      </c>
      <c r="AT39" t="inlineStr">
        <is>
          <t>无</t>
        </is>
      </c>
      <c r="AU39" t="inlineStr">
        <is>
          <t>无</t>
        </is>
      </c>
      <c r="AV39" t="inlineStr">
        <is>
          <t>无</t>
        </is>
      </c>
      <c r="AW39" t="inlineStr">
        <is>
          <t>无</t>
        </is>
      </c>
      <c r="AX39" t="inlineStr">
        <is>
          <t>无</t>
        </is>
      </c>
      <c r="AY39" t="inlineStr">
        <is>
          <t>无</t>
        </is>
      </c>
      <c r="AZ39" t="inlineStr">
        <is>
          <t>无</t>
        </is>
      </c>
      <c r="BA39" t="inlineStr">
        <is>
          <t>无</t>
        </is>
      </c>
      <c r="BB39" t="inlineStr">
        <is>
          <t>无</t>
        </is>
      </c>
      <c r="BC39" t="inlineStr">
        <is>
          <t>无</t>
        </is>
      </c>
      <c r="BD39" t="inlineStr">
        <is>
          <t>无</t>
        </is>
      </c>
      <c r="BE39" t="inlineStr">
        <is>
          <t>无</t>
        </is>
      </c>
      <c r="BF39" t="inlineStr">
        <is>
          <t>无</t>
        </is>
      </c>
      <c r="BG39" t="inlineStr">
        <is>
          <t>无</t>
        </is>
      </c>
      <c r="BH39" t="inlineStr">
        <is>
          <t>无</t>
        </is>
      </c>
      <c r="BI39" t="inlineStr">
        <is>
          <t>无</t>
        </is>
      </c>
      <c r="BJ39" t="inlineStr">
        <is>
          <t>无</t>
        </is>
      </c>
      <c r="BK39" t="inlineStr">
        <is>
          <t>无</t>
        </is>
      </c>
      <c r="BL39" t="inlineStr">
        <is>
          <t>无</t>
        </is>
      </c>
      <c r="BM39" t="inlineStr">
        <is>
          <t>无</t>
        </is>
      </c>
      <c r="BN39" t="inlineStr">
        <is>
          <t>无</t>
        </is>
      </c>
      <c r="BO39" t="inlineStr">
        <is>
          <t>无</t>
        </is>
      </c>
      <c r="BP39" t="inlineStr">
        <is>
          <t>无</t>
        </is>
      </c>
      <c r="BQ39" t="inlineStr">
        <is>
          <t>无</t>
        </is>
      </c>
      <c r="BR39" t="inlineStr">
        <is>
          <t>无</t>
        </is>
      </c>
      <c r="BS39" t="inlineStr">
        <is>
          <t>无</t>
        </is>
      </c>
      <c r="BT39" t="inlineStr">
        <is>
          <t>无</t>
        </is>
      </c>
      <c r="BU39" t="inlineStr">
        <is>
          <t>无</t>
        </is>
      </c>
      <c r="BV39" t="inlineStr">
        <is>
          <t>无</t>
        </is>
      </c>
      <c r="BW39" t="inlineStr">
        <is>
          <t>无</t>
        </is>
      </c>
      <c r="BX39" t="inlineStr">
        <is>
          <t>无</t>
        </is>
      </c>
      <c r="BY39" t="inlineStr">
        <is>
          <t>无</t>
        </is>
      </c>
      <c r="BZ39" t="inlineStr">
        <is>
          <t>无</t>
        </is>
      </c>
      <c r="CA39" t="inlineStr">
        <is>
          <t>无</t>
        </is>
      </c>
      <c r="CB39" t="inlineStr">
        <is>
          <t>无</t>
        </is>
      </c>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row>
    <row r="40" ht="25.5" customHeight="1">
      <c r="A40"/>
      <c r="B40" t="inlineStr">
        <is>
          <t>DE</t>
        </is>
      </c>
      <c r="C40" t="inlineStr">
        <is>
          <t>优惠券</t>
        </is>
      </c>
      <c r="D40" t="inlineStr">
        <is>
          <t>0.15</t>
        </is>
      </c>
      <c r="E40" t="inlineStr">
        <is>
          <t>无</t>
        </is>
      </c>
      <c r="F40" t="inlineStr">
        <is>
          <t>无</t>
        </is>
      </c>
      <c r="G40" t="inlineStr">
        <is>
          <t>无</t>
        </is>
      </c>
      <c r="H40" t="inlineStr">
        <is>
          <t>无</t>
        </is>
      </c>
      <c r="I40" t="inlineStr">
        <is>
          <t>Discount：20%</t>
        </is>
      </c>
      <c r="J40" t="inlineStr">
        <is>
          <t>Discount：20%</t>
        </is>
      </c>
      <c r="K40" t="inlineStr">
        <is>
          <t>Discount：20%</t>
        </is>
      </c>
      <c r="L40" t="inlineStr">
        <is>
          <t>Discount：20%</t>
        </is>
      </c>
      <c r="M40" t="inlineStr">
        <is>
          <t>Discount：20%</t>
        </is>
      </c>
      <c r="N40" t="inlineStr">
        <is>
          <t>Discount：20%</t>
        </is>
      </c>
      <c r="O40" t="inlineStr">
        <is>
          <t>Discount：20%</t>
        </is>
      </c>
      <c r="P40" t="inlineStr">
        <is>
          <t>Discount：20%</t>
        </is>
      </c>
      <c r="Q40" t="inlineStr">
        <is>
          <t>Discount：20%</t>
        </is>
      </c>
      <c r="R40" t="inlineStr">
        <is>
          <t>Discount：20%</t>
        </is>
      </c>
      <c r="S40" t="inlineStr">
        <is>
          <t>Discount：20%</t>
        </is>
      </c>
      <c r="T40" t="inlineStr">
        <is>
          <t>Discount：20%</t>
        </is>
      </c>
      <c r="U40" t="inlineStr">
        <is>
          <t>无</t>
        </is>
      </c>
      <c r="V40" t="inlineStr">
        <is>
          <t>无</t>
        </is>
      </c>
      <c r="W40" t="inlineStr">
        <is>
          <t>无</t>
        </is>
      </c>
      <c r="X40" t="inlineStr">
        <is>
          <t>无</t>
        </is>
      </c>
      <c r="Y40" t="inlineStr">
        <is>
          <t>无</t>
        </is>
      </c>
      <c r="Z40" t="inlineStr">
        <is>
          <t>无</t>
        </is>
      </c>
      <c r="AA40" t="inlineStr">
        <is>
          <t>无</t>
        </is>
      </c>
      <c r="AB40" t="inlineStr">
        <is>
          <t>Discount：12%</t>
        </is>
      </c>
      <c r="AC40" t="inlineStr">
        <is>
          <t>Discount：12%</t>
        </is>
      </c>
      <c r="AD40" t="inlineStr">
        <is>
          <t>Discount：12%</t>
        </is>
      </c>
      <c r="AE40" t="inlineStr">
        <is>
          <t>无</t>
        </is>
      </c>
      <c r="AF40" t="inlineStr">
        <is>
          <t>无</t>
        </is>
      </c>
      <c r="AG40" t="inlineStr">
        <is>
          <t>无</t>
        </is>
      </c>
      <c r="AH40" t="inlineStr">
        <is>
          <t>无</t>
        </is>
      </c>
      <c r="AI40" t="inlineStr">
        <is>
          <t>无</t>
        </is>
      </c>
      <c r="AJ40" t="inlineStr">
        <is>
          <t>无</t>
        </is>
      </c>
      <c r="AK40" t="inlineStr">
        <is>
          <t>无</t>
        </is>
      </c>
      <c r="AL40" t="inlineStr">
        <is>
          <t>无</t>
        </is>
      </c>
      <c r="AM40" t="inlineStr">
        <is>
          <t>无</t>
        </is>
      </c>
      <c r="AN40" t="inlineStr">
        <is>
          <t>无</t>
        </is>
      </c>
      <c r="AO40" t="inlineStr">
        <is>
          <t>无</t>
        </is>
      </c>
      <c r="AP40" t="inlineStr">
        <is>
          <t>无</t>
        </is>
      </c>
      <c r="AQ40" t="inlineStr">
        <is>
          <t>无</t>
        </is>
      </c>
      <c r="AR40" t="inlineStr">
        <is>
          <t>无</t>
        </is>
      </c>
      <c r="AS40" t="inlineStr">
        <is>
          <t>无</t>
        </is>
      </c>
      <c r="AT40" t="inlineStr">
        <is>
          <t>无</t>
        </is>
      </c>
      <c r="AU40" t="inlineStr">
        <is>
          <t>无</t>
        </is>
      </c>
      <c r="AV40" t="inlineStr">
        <is>
          <t>无</t>
        </is>
      </c>
      <c r="AW40" t="inlineStr">
        <is>
          <t>无</t>
        </is>
      </c>
      <c r="AX40" t="inlineStr">
        <is>
          <t>无</t>
        </is>
      </c>
      <c r="AY40" t="inlineStr">
        <is>
          <t>无</t>
        </is>
      </c>
      <c r="AZ40" t="inlineStr">
        <is>
          <t>无</t>
        </is>
      </c>
      <c r="BA40" t="inlineStr">
        <is>
          <t>无</t>
        </is>
      </c>
      <c r="BB40" t="inlineStr">
        <is>
          <t>无</t>
        </is>
      </c>
      <c r="BC40" t="inlineStr">
        <is>
          <t>无</t>
        </is>
      </c>
      <c r="BD40" t="inlineStr">
        <is>
          <t>无</t>
        </is>
      </c>
      <c r="BE40" t="inlineStr">
        <is>
          <t>无</t>
        </is>
      </c>
      <c r="BF40" t="inlineStr">
        <is>
          <t>无</t>
        </is>
      </c>
      <c r="BG40" t="inlineStr">
        <is>
          <t>无</t>
        </is>
      </c>
      <c r="BH40" t="inlineStr">
        <is>
          <t>无</t>
        </is>
      </c>
      <c r="BI40" t="inlineStr">
        <is>
          <t>无</t>
        </is>
      </c>
      <c r="BJ40" t="inlineStr">
        <is>
          <t>无</t>
        </is>
      </c>
      <c r="BK40" t="inlineStr">
        <is>
          <t>无</t>
        </is>
      </c>
      <c r="BL40" t="inlineStr">
        <is>
          <t>无</t>
        </is>
      </c>
      <c r="BM40" t="inlineStr">
        <is>
          <t>无</t>
        </is>
      </c>
      <c r="BN40" t="inlineStr">
        <is>
          <t>无</t>
        </is>
      </c>
      <c r="BO40" t="inlineStr">
        <is>
          <t>无</t>
        </is>
      </c>
      <c r="BP40" t="inlineStr">
        <is>
          <t>无</t>
        </is>
      </c>
      <c r="BQ40" t="inlineStr">
        <is>
          <t>无</t>
        </is>
      </c>
      <c r="BR40" t="inlineStr">
        <is>
          <t>无</t>
        </is>
      </c>
      <c r="BS40" t="inlineStr">
        <is>
          <t>无</t>
        </is>
      </c>
      <c r="BT40" t="inlineStr">
        <is>
          <t>无</t>
        </is>
      </c>
      <c r="BU40" t="inlineStr">
        <is>
          <t>无货</t>
        </is>
      </c>
      <c r="BV40" t="inlineStr">
        <is>
          <t>无货</t>
        </is>
      </c>
      <c r="BW40" t="inlineStr">
        <is>
          <t>无货</t>
        </is>
      </c>
      <c r="BX40" t="inlineStr">
        <is>
          <t>无货</t>
        </is>
      </c>
      <c r="BY40" t="inlineStr">
        <is>
          <t>无货</t>
        </is>
      </c>
      <c r="BZ40" t="inlineStr">
        <is>
          <t>无货</t>
        </is>
      </c>
      <c r="CA40" t="inlineStr">
        <is>
          <t>无货</t>
        </is>
      </c>
      <c r="CB40" t="inlineStr">
        <is>
          <t>无货</t>
        </is>
      </c>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row>
    <row r="41" ht="25.5" customHeight="1">
      <c r="A41"/>
      <c r="B41" t="inlineStr">
        <is>
          <t>DE</t>
        </is>
      </c>
      <c r="C41" t="inlineStr">
        <is>
          <t>活动</t>
        </is>
      </c>
      <c r="D41" t="inlineStr">
        <is>
          <t>Funding 5.5，广告4，毛利1.26</t>
        </is>
      </c>
      <c r="E41" t="inlineStr">
        <is>
          <t>无</t>
        </is>
      </c>
      <c r="F41" t="inlineStr">
        <is>
          <t>无</t>
        </is>
      </c>
      <c r="G41" t="inlineStr">
        <is>
          <t>无</t>
        </is>
      </c>
      <c r="H41" t="inlineStr">
        <is>
          <t>无</t>
        </is>
      </c>
      <c r="I41" t="inlineStr">
        <is>
          <t>无</t>
        </is>
      </c>
      <c r="J41" t="inlineStr">
        <is>
          <t>无</t>
        </is>
      </c>
      <c r="K41" t="inlineStr">
        <is>
          <t>无</t>
        </is>
      </c>
      <c r="L41" t="inlineStr">
        <is>
          <t>无</t>
        </is>
      </c>
      <c r="M41" t="inlineStr">
        <is>
          <t>无</t>
        </is>
      </c>
      <c r="N41" t="inlineStr">
        <is>
          <t>无</t>
        </is>
      </c>
      <c r="O41" t="inlineStr">
        <is>
          <t>无</t>
        </is>
      </c>
      <c r="P41" t="inlineStr">
        <is>
          <t>无</t>
        </is>
      </c>
      <c r="Q41" t="inlineStr">
        <is>
          <t>无</t>
        </is>
      </c>
      <c r="R41" t="inlineStr">
        <is>
          <t>无</t>
        </is>
      </c>
      <c r="S41" t="inlineStr">
        <is>
          <t>无</t>
        </is>
      </c>
      <c r="T41" t="inlineStr">
        <is>
          <t>无</t>
        </is>
      </c>
      <c r="U41" t="inlineStr">
        <is>
          <t>VC BD;Funding 4.67€；</t>
        </is>
      </c>
      <c r="V41" t="inlineStr">
        <is>
          <t>VC BD, Funding 4.67€</t>
        </is>
      </c>
      <c r="W41" t="inlineStr">
        <is>
          <t>VC BD, Funding 4.67€</t>
        </is>
      </c>
      <c r="X41" t="inlineStr">
        <is>
          <t>VC BD, Funding 4.67€</t>
        </is>
      </c>
      <c r="Y41" t="inlineStr">
        <is>
          <t>VC BD, Funding 4.67€</t>
        </is>
      </c>
      <c r="Z41" t="inlineStr">
        <is>
          <t>无</t>
        </is>
      </c>
      <c r="AA41" t="inlineStr">
        <is>
          <t>无</t>
        </is>
      </c>
      <c r="AB41" t="inlineStr">
        <is>
          <t>无</t>
        </is>
      </c>
      <c r="AC41" t="inlineStr">
        <is>
          <t>无</t>
        </is>
      </c>
      <c r="AD41" t="inlineStr">
        <is>
          <t>无</t>
        </is>
      </c>
      <c r="AE41" t="inlineStr">
        <is>
          <t>VC BD, Funding 4.67€</t>
        </is>
      </c>
      <c r="AF41" t="inlineStr">
        <is>
          <t>VC BD, Funding 4.67€</t>
        </is>
      </c>
      <c r="AG41" t="inlineStr">
        <is>
          <t>VC BD, Funding 4.67€</t>
        </is>
      </c>
      <c r="AH41" t="inlineStr">
        <is>
          <t>VC BD, Funding 4.67€</t>
        </is>
      </c>
      <c r="AI41" t="inlineStr">
        <is>
          <t>VC BD, Funding 4.67€</t>
        </is>
      </c>
      <c r="AJ41" t="inlineStr">
        <is>
          <t>VC BD, Funding 4.67€</t>
        </is>
      </c>
      <c r="AK41" t="inlineStr">
        <is>
          <t>VC BD, Funding 4.67€</t>
        </is>
      </c>
      <c r="AL41" t="inlineStr">
        <is>
          <t>VC BD, Funding 4.67€</t>
        </is>
      </c>
      <c r="AM41" t="inlineStr">
        <is>
          <t>VC BD, Funding 4.67€</t>
        </is>
      </c>
      <c r="AN41" t="inlineStr">
        <is>
          <t>VC BD, Funding 4.67€</t>
        </is>
      </c>
      <c r="AO41" t="inlineStr">
        <is>
          <t>VC BD, Funding 4.67€</t>
        </is>
      </c>
      <c r="AP41" t="inlineStr">
        <is>
          <t>VC BD, Funding 4.67€</t>
        </is>
      </c>
      <c r="AQ41" t="inlineStr">
        <is>
          <t>VC BD, Funding 4.67€</t>
        </is>
      </c>
      <c r="AR41" t="inlineStr">
        <is>
          <t>VC BD, Funding 4.67€</t>
        </is>
      </c>
      <c r="AS41" t="inlineStr">
        <is>
          <t>无</t>
        </is>
      </c>
      <c r="AT41" t="inlineStr">
        <is>
          <t>无</t>
        </is>
      </c>
      <c r="AU41" t="inlineStr">
        <is>
          <t>无</t>
        </is>
      </c>
      <c r="AV41" t="inlineStr">
        <is>
          <t>无</t>
        </is>
      </c>
      <c r="AW41" t="inlineStr">
        <is>
          <t>无</t>
        </is>
      </c>
      <c r="AX41" t="inlineStr">
        <is>
          <t>无</t>
        </is>
      </c>
      <c r="AY41" t="inlineStr">
        <is>
          <t>无</t>
        </is>
      </c>
      <c r="AZ41" t="inlineStr">
        <is>
          <t>无</t>
        </is>
      </c>
      <c r="BA41" t="inlineStr">
        <is>
          <t>无</t>
        </is>
      </c>
      <c r="BB41" t="inlineStr">
        <is>
          <t>无</t>
        </is>
      </c>
      <c r="BC41" t="inlineStr">
        <is>
          <t>无</t>
        </is>
      </c>
      <c r="BD41" t="inlineStr">
        <is>
          <t>无</t>
        </is>
      </c>
      <c r="BE41" t="inlineStr">
        <is>
          <t>无</t>
        </is>
      </c>
      <c r="BF41" t="inlineStr">
        <is>
          <t>无</t>
        </is>
      </c>
      <c r="BG41" t="inlineStr">
        <is>
          <t>无</t>
        </is>
      </c>
      <c r="BH41" t="inlineStr">
        <is>
          <t>无</t>
        </is>
      </c>
      <c r="BI41" t="inlineStr">
        <is>
          <t>无</t>
        </is>
      </c>
      <c r="BJ41" t="inlineStr">
        <is>
          <t>无</t>
        </is>
      </c>
      <c r="BK41" t="inlineStr">
        <is>
          <t>无</t>
        </is>
      </c>
      <c r="BL41" t="inlineStr">
        <is>
          <t>无</t>
        </is>
      </c>
      <c r="BM41" t="inlineStr">
        <is>
          <t>无</t>
        </is>
      </c>
      <c r="BN41" t="inlineStr">
        <is>
          <t>无</t>
        </is>
      </c>
      <c r="BO41" t="inlineStr">
        <is>
          <t>无</t>
        </is>
      </c>
      <c r="BP41" t="inlineStr">
        <is>
          <t>无</t>
        </is>
      </c>
      <c r="BQ41" t="inlineStr">
        <is>
          <t>无</t>
        </is>
      </c>
      <c r="BR41" t="inlineStr">
        <is>
          <t>无</t>
        </is>
      </c>
      <c r="BS41" t="inlineStr">
        <is>
          <t>无</t>
        </is>
      </c>
      <c r="BT41" t="inlineStr">
        <is>
          <t>无</t>
        </is>
      </c>
      <c r="BU41" t="inlineStr">
        <is>
          <t>无货</t>
        </is>
      </c>
      <c r="BV41" t="inlineStr">
        <is>
          <t>无货</t>
        </is>
      </c>
      <c r="BW41" t="inlineStr">
        <is>
          <t>无货</t>
        </is>
      </c>
      <c r="BX41" t="inlineStr">
        <is>
          <t>无货</t>
        </is>
      </c>
      <c r="BY41" t="inlineStr">
        <is>
          <t>无货</t>
        </is>
      </c>
      <c r="BZ41" t="inlineStr">
        <is>
          <t>无货</t>
        </is>
      </c>
      <c r="CA41" t="inlineStr">
        <is>
          <t>无货</t>
        </is>
      </c>
      <c r="CB41" t="inlineStr">
        <is>
          <t>无货</t>
        </is>
      </c>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row>
    <row r="42" ht="25.5" customHeight="1">
      <c r="A42"/>
      <c r="B42" t="inlineStr">
        <is>
          <t>FR</t>
        </is>
      </c>
      <c r="C42" t="inlineStr">
        <is>
          <t>优惠券</t>
        </is>
      </c>
      <c r="D42" t="inlineStr">
        <is>
          <t>0.15</t>
        </is>
      </c>
      <c r="E42" t="inlineStr">
        <is>
          <t>无</t>
        </is>
      </c>
      <c r="F42" t="inlineStr">
        <is>
          <t>无</t>
        </is>
      </c>
      <c r="G42" t="inlineStr">
        <is>
          <t>无</t>
        </is>
      </c>
      <c r="H42" t="inlineStr">
        <is>
          <t>无</t>
        </is>
      </c>
      <c r="I42" t="inlineStr">
        <is>
          <t>无</t>
        </is>
      </c>
      <c r="J42" t="inlineStr">
        <is>
          <t>无</t>
        </is>
      </c>
      <c r="K42" t="inlineStr">
        <is>
          <t>无</t>
        </is>
      </c>
      <c r="L42" t="inlineStr">
        <is>
          <t>无</t>
        </is>
      </c>
      <c r="M42" t="inlineStr">
        <is>
          <t>无</t>
        </is>
      </c>
      <c r="N42" t="inlineStr">
        <is>
          <t>无</t>
        </is>
      </c>
      <c r="O42" t="inlineStr">
        <is>
          <t>无</t>
        </is>
      </c>
      <c r="P42" t="inlineStr">
        <is>
          <t>无</t>
        </is>
      </c>
      <c r="Q42" t="inlineStr">
        <is>
          <t>无</t>
        </is>
      </c>
      <c r="R42" t="inlineStr">
        <is>
          <t>无</t>
        </is>
      </c>
      <c r="S42" t="inlineStr">
        <is>
          <t>无</t>
        </is>
      </c>
      <c r="T42" t="inlineStr">
        <is>
          <t>无</t>
        </is>
      </c>
      <c r="U42" t="inlineStr">
        <is>
          <t>无</t>
        </is>
      </c>
      <c r="V42" t="inlineStr">
        <is>
          <t>无</t>
        </is>
      </c>
      <c r="W42" t="inlineStr">
        <is>
          <t>无</t>
        </is>
      </c>
      <c r="X42" t="inlineStr">
        <is>
          <t>无</t>
        </is>
      </c>
      <c r="Y42" t="inlineStr">
        <is>
          <t>无</t>
        </is>
      </c>
      <c r="Z42" t="inlineStr">
        <is>
          <t>无</t>
        </is>
      </c>
      <c r="AA42" t="inlineStr">
        <is>
          <t>无</t>
        </is>
      </c>
      <c r="AB42" t="inlineStr">
        <is>
          <t>无</t>
        </is>
      </c>
      <c r="AC42" t="inlineStr">
        <is>
          <t>无</t>
        </is>
      </c>
      <c r="AD42" t="inlineStr">
        <is>
          <t>无</t>
        </is>
      </c>
      <c r="AE42" t="inlineStr">
        <is>
          <t>无</t>
        </is>
      </c>
      <c r="AF42" t="inlineStr">
        <is>
          <t>无</t>
        </is>
      </c>
      <c r="AG42" t="inlineStr">
        <is>
          <t>无</t>
        </is>
      </c>
      <c r="AH42" t="inlineStr">
        <is>
          <t>无</t>
        </is>
      </c>
      <c r="AI42" t="inlineStr">
        <is>
          <t>无</t>
        </is>
      </c>
      <c r="AJ42" t="inlineStr">
        <is>
          <t>无</t>
        </is>
      </c>
      <c r="AK42" t="inlineStr">
        <is>
          <t>无</t>
        </is>
      </c>
      <c r="AL42" t="inlineStr">
        <is>
          <t>无</t>
        </is>
      </c>
      <c r="AM42" t="inlineStr">
        <is>
          <t>无</t>
        </is>
      </c>
      <c r="AN42" t="inlineStr">
        <is>
          <t>无</t>
        </is>
      </c>
      <c r="AO42" t="inlineStr">
        <is>
          <t>无</t>
        </is>
      </c>
      <c r="AP42" t="inlineStr">
        <is>
          <t>无</t>
        </is>
      </c>
      <c r="AQ42" t="inlineStr">
        <is>
          <t>无</t>
        </is>
      </c>
      <c r="AR42" t="inlineStr">
        <is>
          <t>无</t>
        </is>
      </c>
      <c r="AS42" t="inlineStr">
        <is>
          <t>无</t>
        </is>
      </c>
      <c r="AT42" t="inlineStr">
        <is>
          <t>无</t>
        </is>
      </c>
      <c r="AU42" t="inlineStr">
        <is>
          <t>无</t>
        </is>
      </c>
      <c r="AV42" t="inlineStr">
        <is>
          <t>无</t>
        </is>
      </c>
      <c r="AW42" t="inlineStr">
        <is>
          <t>无</t>
        </is>
      </c>
      <c r="AX42" t="inlineStr">
        <is>
          <t>无</t>
        </is>
      </c>
      <c r="AY42" t="inlineStr">
        <is>
          <t>无</t>
        </is>
      </c>
      <c r="AZ42" t="inlineStr">
        <is>
          <t>无</t>
        </is>
      </c>
      <c r="BA42" t="inlineStr">
        <is>
          <t>无</t>
        </is>
      </c>
      <c r="BB42" t="inlineStr">
        <is>
          <t>无</t>
        </is>
      </c>
      <c r="BC42" t="inlineStr">
        <is>
          <t>无</t>
        </is>
      </c>
      <c r="BD42" t="inlineStr">
        <is>
          <t>无</t>
        </is>
      </c>
      <c r="BE42" t="inlineStr">
        <is>
          <t>无</t>
        </is>
      </c>
      <c r="BF42" t="inlineStr">
        <is>
          <t>无</t>
        </is>
      </c>
      <c r="BG42" t="inlineStr">
        <is>
          <t>无</t>
        </is>
      </c>
      <c r="BH42" t="inlineStr">
        <is>
          <t>无</t>
        </is>
      </c>
      <c r="BI42" t="inlineStr">
        <is>
          <t>无</t>
        </is>
      </c>
      <c r="BJ42" t="inlineStr">
        <is>
          <t>无</t>
        </is>
      </c>
      <c r="BK42" t="inlineStr">
        <is>
          <t>无</t>
        </is>
      </c>
      <c r="BL42" t="inlineStr">
        <is>
          <t>无</t>
        </is>
      </c>
      <c r="BM42" t="inlineStr">
        <is>
          <t>无</t>
        </is>
      </c>
      <c r="BN42" t="inlineStr">
        <is>
          <t>无</t>
        </is>
      </c>
      <c r="BO42" t="inlineStr">
        <is>
          <t>无</t>
        </is>
      </c>
      <c r="BP42" t="inlineStr">
        <is>
          <t>无</t>
        </is>
      </c>
      <c r="BQ42" t="inlineStr">
        <is>
          <t>无</t>
        </is>
      </c>
      <c r="BR42" t="inlineStr">
        <is>
          <t>无</t>
        </is>
      </c>
      <c r="BS42" t="inlineStr">
        <is>
          <t>无</t>
        </is>
      </c>
      <c r="BT42" t="inlineStr">
        <is>
          <t>无</t>
        </is>
      </c>
      <c r="BU42" t="inlineStr">
        <is>
          <t>无货</t>
        </is>
      </c>
      <c r="BV42" t="inlineStr">
        <is>
          <t>无货</t>
        </is>
      </c>
      <c r="BW42" t="inlineStr">
        <is>
          <t>无货</t>
        </is>
      </c>
      <c r="BX42" t="inlineStr">
        <is>
          <t>无货</t>
        </is>
      </c>
      <c r="BY42" t="inlineStr">
        <is>
          <t>无货</t>
        </is>
      </c>
      <c r="BZ42" t="inlineStr">
        <is>
          <t>无货</t>
        </is>
      </c>
      <c r="CA42" t="inlineStr">
        <is>
          <t>无货</t>
        </is>
      </c>
      <c r="CB42" t="inlineStr">
        <is>
          <t>无货</t>
        </is>
      </c>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row>
    <row r="43" ht="25.5" customHeight="1">
      <c r="A43"/>
      <c r="B43" t="inlineStr">
        <is>
          <t>FR</t>
        </is>
      </c>
      <c r="C43" t="inlineStr">
        <is>
          <t>活动</t>
        </is>
      </c>
      <c r="D43" t="inlineStr">
        <is>
          <t>Funding 5.5，广告4，毛利0.32</t>
        </is>
      </c>
      <c r="E43" t="inlineStr">
        <is>
          <t>VC BD, Funding 4.17€</t>
        </is>
      </c>
      <c r="F43" t="inlineStr">
        <is>
          <t>VC BD, Funding 4.17€</t>
        </is>
      </c>
      <c r="G43" t="inlineStr">
        <is>
          <t>VC BD, Funding 4.17€</t>
        </is>
      </c>
      <c r="H43" t="inlineStr">
        <is>
          <t>VC BD, Funding 4.17€</t>
        </is>
      </c>
      <c r="I43" t="inlineStr">
        <is>
          <t>VC BD, Funding 4.17€</t>
        </is>
      </c>
      <c r="J43" t="inlineStr">
        <is>
          <t>VC BD, Funding 4.17€</t>
        </is>
      </c>
      <c r="K43" t="inlineStr">
        <is>
          <t>VC BD, Funding 4.17€</t>
        </is>
      </c>
      <c r="L43" t="inlineStr">
        <is>
          <t>VC BD, Funding 4.17€</t>
        </is>
      </c>
      <c r="M43" t="inlineStr">
        <is>
          <t>VC BD, Funding 4.17€</t>
        </is>
      </c>
      <c r="N43" t="inlineStr">
        <is>
          <t>VC BD, Funding 4.17€</t>
        </is>
      </c>
      <c r="O43" t="inlineStr">
        <is>
          <t>VC BD, Funding 4.17€</t>
        </is>
      </c>
      <c r="P43" t="inlineStr">
        <is>
          <t>VC BD, Funding 4.17€</t>
        </is>
      </c>
      <c r="Q43" t="inlineStr">
        <is>
          <t>VC BD, Funding 4.17€</t>
        </is>
      </c>
      <c r="R43" t="inlineStr">
        <is>
          <t>VC BD, Funding 4.17€</t>
        </is>
      </c>
      <c r="S43" t="inlineStr">
        <is>
          <t>VC BD, Funding 4.17€</t>
        </is>
      </c>
      <c r="T43" t="inlineStr">
        <is>
          <t>BD结束</t>
        </is>
      </c>
      <c r="U43" t="inlineStr">
        <is>
          <t>VC BD;Funding 4.67€；（报错）</t>
        </is>
      </c>
      <c r="V43" t="inlineStr">
        <is>
          <t>VC BD, Funding 4.67€, （报错）</t>
        </is>
      </c>
      <c r="W43" t="inlineStr">
        <is>
          <t>VC BD, Funding 4.67€, （报错）</t>
        </is>
      </c>
      <c r="X43" t="inlineStr">
        <is>
          <t>VC BD, Funding 4.67€, （报错）</t>
        </is>
      </c>
      <c r="Y43" t="inlineStr">
        <is>
          <t>VC BD, Funding 4.67€, （报错）</t>
        </is>
      </c>
      <c r="Z43" t="inlineStr">
        <is>
          <t>无</t>
        </is>
      </c>
      <c r="AA43" t="inlineStr">
        <is>
          <t>无</t>
        </is>
      </c>
      <c r="AB43" t="inlineStr">
        <is>
          <t>无</t>
        </is>
      </c>
      <c r="AC43" t="inlineStr">
        <is>
          <t>无</t>
        </is>
      </c>
      <c r="AD43" t="inlineStr">
        <is>
          <t>无</t>
        </is>
      </c>
      <c r="AE43" t="inlineStr">
        <is>
          <t>VC BD, Funding 3.04€</t>
        </is>
      </c>
      <c r="AF43" t="inlineStr">
        <is>
          <t>VC BD, Funding 3.04€</t>
        </is>
      </c>
      <c r="AG43" t="inlineStr">
        <is>
          <t>VC BD, Funding 3.04€</t>
        </is>
      </c>
      <c r="AH43" t="inlineStr">
        <is>
          <t>VC BD, Funding 3.04€</t>
        </is>
      </c>
      <c r="AI43" t="inlineStr">
        <is>
          <t>VC BD, Funding 3.04€</t>
        </is>
      </c>
      <c r="AJ43" t="inlineStr">
        <is>
          <t>VC BD, Funding 3.04€</t>
        </is>
      </c>
      <c r="AK43" t="inlineStr">
        <is>
          <t>VC BD, Funding 3.04€</t>
        </is>
      </c>
      <c r="AL43" t="inlineStr">
        <is>
          <t>VC BD, Funding 3.04€</t>
        </is>
      </c>
      <c r="AM43" t="inlineStr">
        <is>
          <t>VC BD, Funding 3.04€</t>
        </is>
      </c>
      <c r="AN43" t="inlineStr">
        <is>
          <t>VC BD, Funding 3.04€</t>
        </is>
      </c>
      <c r="AO43" t="inlineStr">
        <is>
          <t>VC BD, Funding 3.04€</t>
        </is>
      </c>
      <c r="AP43" t="inlineStr">
        <is>
          <t>VC BD, Funding 3.04€</t>
        </is>
      </c>
      <c r="AQ43" t="inlineStr">
        <is>
          <t>VC BD, Funding 3.04€</t>
        </is>
      </c>
      <c r="AR43" t="inlineStr">
        <is>
          <t>VC BD, Funding 3.04€</t>
        </is>
      </c>
      <c r="AS43" t="inlineStr">
        <is>
          <t>无</t>
        </is>
      </c>
      <c r="AT43" t="inlineStr">
        <is>
          <t>无</t>
        </is>
      </c>
      <c r="AU43" t="inlineStr">
        <is>
          <t>无</t>
        </is>
      </c>
      <c r="AV43" t="inlineStr">
        <is>
          <t>无</t>
        </is>
      </c>
      <c r="AW43" t="inlineStr">
        <is>
          <t>无</t>
        </is>
      </c>
      <c r="AX43" t="inlineStr">
        <is>
          <t>无</t>
        </is>
      </c>
      <c r="AY43" t="inlineStr">
        <is>
          <t>无</t>
        </is>
      </c>
      <c r="AZ43" t="inlineStr">
        <is>
          <t>无</t>
        </is>
      </c>
      <c r="BA43" t="inlineStr">
        <is>
          <t>无</t>
        </is>
      </c>
      <c r="BB43" t="inlineStr">
        <is>
          <t>无</t>
        </is>
      </c>
      <c r="BC43" t="inlineStr">
        <is>
          <t>无</t>
        </is>
      </c>
      <c r="BD43" t="inlineStr">
        <is>
          <t>无</t>
        </is>
      </c>
      <c r="BE43" t="inlineStr">
        <is>
          <t>无</t>
        </is>
      </c>
      <c r="BF43" t="inlineStr">
        <is>
          <t>无</t>
        </is>
      </c>
      <c r="BG43" t="inlineStr">
        <is>
          <t>无</t>
        </is>
      </c>
      <c r="BH43" t="inlineStr">
        <is>
          <t>无</t>
        </is>
      </c>
      <c r="BI43" t="inlineStr">
        <is>
          <t>无</t>
        </is>
      </c>
      <c r="BJ43" t="inlineStr">
        <is>
          <t>无</t>
        </is>
      </c>
      <c r="BK43" t="inlineStr">
        <is>
          <t>无</t>
        </is>
      </c>
      <c r="BL43" t="inlineStr">
        <is>
          <t>无</t>
        </is>
      </c>
      <c r="BM43" t="inlineStr">
        <is>
          <t>无</t>
        </is>
      </c>
      <c r="BN43" t="inlineStr">
        <is>
          <t>无</t>
        </is>
      </c>
      <c r="BO43" t="inlineStr">
        <is>
          <t>无</t>
        </is>
      </c>
      <c r="BP43" t="inlineStr">
        <is>
          <t>无</t>
        </is>
      </c>
      <c r="BQ43" t="inlineStr">
        <is>
          <t>无</t>
        </is>
      </c>
      <c r="BR43" t="inlineStr">
        <is>
          <t>无</t>
        </is>
      </c>
      <c r="BS43" t="inlineStr">
        <is>
          <t>无</t>
        </is>
      </c>
      <c r="BT43" t="inlineStr">
        <is>
          <t>无</t>
        </is>
      </c>
      <c r="BU43" t="inlineStr">
        <is>
          <t>无货</t>
        </is>
      </c>
      <c r="BV43" t="inlineStr">
        <is>
          <t>无货</t>
        </is>
      </c>
      <c r="BW43" t="inlineStr">
        <is>
          <t>无货</t>
        </is>
      </c>
      <c r="BX43" t="inlineStr">
        <is>
          <t>无货</t>
        </is>
      </c>
      <c r="BY43" t="inlineStr">
        <is>
          <t>无货</t>
        </is>
      </c>
      <c r="BZ43" t="inlineStr">
        <is>
          <t>无货</t>
        </is>
      </c>
      <c r="CA43" t="inlineStr">
        <is>
          <t>无货</t>
        </is>
      </c>
      <c r="CB43" t="inlineStr">
        <is>
          <t>无货</t>
        </is>
      </c>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row>
    <row r="44" ht="25.5" customHeight="1">
      <c r="A44"/>
      <c r="B44" t="inlineStr">
        <is>
          <t>IT</t>
        </is>
      </c>
      <c r="C44" t="inlineStr">
        <is>
          <t>优惠券</t>
        </is>
      </c>
      <c r="D44" t="inlineStr">
        <is>
          <t>0.15</t>
        </is>
      </c>
      <c r="E44" t="inlineStr">
        <is>
          <t>无</t>
        </is>
      </c>
      <c r="F44" t="inlineStr">
        <is>
          <t>无</t>
        </is>
      </c>
      <c r="G44" t="inlineStr">
        <is>
          <t>无</t>
        </is>
      </c>
      <c r="H44" t="inlineStr">
        <is>
          <t>无</t>
        </is>
      </c>
      <c r="I44" t="inlineStr">
        <is>
          <t>无</t>
        </is>
      </c>
      <c r="J44" t="inlineStr">
        <is>
          <t>无</t>
        </is>
      </c>
      <c r="K44" t="inlineStr">
        <is>
          <t>无</t>
        </is>
      </c>
      <c r="L44" t="inlineStr">
        <is>
          <t>无</t>
        </is>
      </c>
      <c r="M44" t="inlineStr">
        <is>
          <t>无</t>
        </is>
      </c>
      <c r="N44" t="inlineStr">
        <is>
          <t>无</t>
        </is>
      </c>
      <c r="O44" t="inlineStr">
        <is>
          <t>无</t>
        </is>
      </c>
      <c r="P44" t="inlineStr">
        <is>
          <t>无</t>
        </is>
      </c>
      <c r="Q44" t="inlineStr">
        <is>
          <t>无</t>
        </is>
      </c>
      <c r="R44" t="inlineStr">
        <is>
          <t>无</t>
        </is>
      </c>
      <c r="S44" t="inlineStr">
        <is>
          <t>无</t>
        </is>
      </c>
      <c r="T44" t="inlineStr">
        <is>
          <t>无</t>
        </is>
      </c>
      <c r="U44" t="inlineStr">
        <is>
          <t>无</t>
        </is>
      </c>
      <c r="V44" t="inlineStr">
        <is>
          <t>无</t>
        </is>
      </c>
      <c r="W44" t="inlineStr">
        <is>
          <t>无</t>
        </is>
      </c>
      <c r="X44" t="inlineStr">
        <is>
          <t>无</t>
        </is>
      </c>
      <c r="Y44" t="inlineStr">
        <is>
          <t>无</t>
        </is>
      </c>
      <c r="Z44" t="inlineStr">
        <is>
          <t>无</t>
        </is>
      </c>
      <c r="AA44" t="inlineStr">
        <is>
          <t>无</t>
        </is>
      </c>
      <c r="AB44" t="inlineStr">
        <is>
          <t>无</t>
        </is>
      </c>
      <c r="AC44" t="inlineStr">
        <is>
          <t>无</t>
        </is>
      </c>
      <c r="AD44" t="inlineStr">
        <is>
          <t>无</t>
        </is>
      </c>
      <c r="AE44" t="inlineStr">
        <is>
          <t>无</t>
        </is>
      </c>
      <c r="AF44" t="inlineStr">
        <is>
          <t>无</t>
        </is>
      </c>
      <c r="AG44" t="inlineStr">
        <is>
          <t>无</t>
        </is>
      </c>
      <c r="AH44" t="inlineStr">
        <is>
          <t>无</t>
        </is>
      </c>
      <c r="AI44" t="inlineStr">
        <is>
          <t>无</t>
        </is>
      </c>
      <c r="AJ44" t="inlineStr">
        <is>
          <t>无</t>
        </is>
      </c>
      <c r="AK44" t="inlineStr">
        <is>
          <t>无</t>
        </is>
      </c>
      <c r="AL44" t="inlineStr">
        <is>
          <t>无</t>
        </is>
      </c>
      <c r="AM44" t="inlineStr">
        <is>
          <t>无</t>
        </is>
      </c>
      <c r="AN44" t="inlineStr">
        <is>
          <t>COUPON 7%</t>
        </is>
      </c>
      <c r="AO44" t="inlineStr">
        <is>
          <t>COUPON 7%</t>
        </is>
      </c>
      <c r="AP44" t="inlineStr">
        <is>
          <t>COUPON 7%</t>
        </is>
      </c>
      <c r="AQ44" t="inlineStr">
        <is>
          <t>COUPON 7%</t>
        </is>
      </c>
      <c r="AR44" t="inlineStr">
        <is>
          <t>COUPON 7%</t>
        </is>
      </c>
      <c r="AS44" t="inlineStr">
        <is>
          <t>COUPON 7%</t>
        </is>
      </c>
      <c r="AT44" t="inlineStr">
        <is>
          <t>COUPON 7%</t>
        </is>
      </c>
      <c r="AU44" t="inlineStr">
        <is>
          <t>COUPON 7%</t>
        </is>
      </c>
      <c r="AV44" t="inlineStr">
        <is>
          <t>COUPON 7%</t>
        </is>
      </c>
      <c r="AW44" t="inlineStr">
        <is>
          <t>COUPON 7%</t>
        </is>
      </c>
      <c r="AX44" t="inlineStr">
        <is>
          <t>无</t>
        </is>
      </c>
      <c r="AY44" t="inlineStr">
        <is>
          <t>无</t>
        </is>
      </c>
      <c r="AZ44" t="inlineStr">
        <is>
          <t>无</t>
        </is>
      </c>
      <c r="BA44" t="inlineStr">
        <is>
          <t>无</t>
        </is>
      </c>
      <c r="BB44" t="inlineStr">
        <is>
          <t>无</t>
        </is>
      </c>
      <c r="BC44" t="inlineStr">
        <is>
          <t>无</t>
        </is>
      </c>
      <c r="BD44" t="inlineStr">
        <is>
          <t>无</t>
        </is>
      </c>
      <c r="BE44" t="inlineStr">
        <is>
          <t>无</t>
        </is>
      </c>
      <c r="BF44" t="inlineStr">
        <is>
          <t>无</t>
        </is>
      </c>
      <c r="BG44" t="inlineStr">
        <is>
          <t>无</t>
        </is>
      </c>
      <c r="BH44" t="inlineStr">
        <is>
          <t>无</t>
        </is>
      </c>
      <c r="BI44" t="inlineStr">
        <is>
          <t>无</t>
        </is>
      </c>
      <c r="BJ44" t="inlineStr">
        <is>
          <t>无</t>
        </is>
      </c>
      <c r="BK44" t="inlineStr">
        <is>
          <t>无</t>
        </is>
      </c>
      <c r="BL44" t="inlineStr">
        <is>
          <t>无</t>
        </is>
      </c>
      <c r="BM44" t="inlineStr">
        <is>
          <t>无</t>
        </is>
      </c>
      <c r="BN44" t="inlineStr">
        <is>
          <t>无</t>
        </is>
      </c>
      <c r="BO44" t="inlineStr">
        <is>
          <t>无</t>
        </is>
      </c>
      <c r="BP44" t="inlineStr">
        <is>
          <t>无</t>
        </is>
      </c>
      <c r="BQ44" t="inlineStr">
        <is>
          <t>无</t>
        </is>
      </c>
      <c r="BR44" t="inlineStr">
        <is>
          <t>无</t>
        </is>
      </c>
      <c r="BS44" t="inlineStr">
        <is>
          <t>无</t>
        </is>
      </c>
      <c r="BT44" t="inlineStr">
        <is>
          <t>无</t>
        </is>
      </c>
      <c r="BU44" t="inlineStr">
        <is>
          <t>无货</t>
        </is>
      </c>
      <c r="BV44" t="inlineStr">
        <is>
          <t>无货</t>
        </is>
      </c>
      <c r="BW44" t="inlineStr">
        <is>
          <t>无货</t>
        </is>
      </c>
      <c r="BX44" t="inlineStr">
        <is>
          <t>无货</t>
        </is>
      </c>
      <c r="BY44" t="inlineStr">
        <is>
          <t>无货</t>
        </is>
      </c>
      <c r="BZ44" t="inlineStr">
        <is>
          <t>无货</t>
        </is>
      </c>
      <c r="CA44" t="inlineStr">
        <is>
          <t>无货</t>
        </is>
      </c>
      <c r="CB44" t="inlineStr">
        <is>
          <t>无货</t>
        </is>
      </c>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row>
    <row r="45" ht="25.5" customHeight="1">
      <c r="A45"/>
      <c r="B45" t="inlineStr">
        <is>
          <t>IT</t>
        </is>
      </c>
      <c r="C45" t="inlineStr">
        <is>
          <t>活动</t>
        </is>
      </c>
      <c r="D45" t="inlineStr">
        <is>
          <t>Funding 5.5，广告4，毛利0.63</t>
        </is>
      </c>
      <c r="E45" t="inlineStr">
        <is>
          <t>VC BD, Funding 4.55€</t>
        </is>
      </c>
      <c r="F45" t="inlineStr">
        <is>
          <t>VC BD, Funding 4.55€</t>
        </is>
      </c>
      <c r="G45" t="inlineStr">
        <is>
          <t>VC BD, Funding 4.55€</t>
        </is>
      </c>
      <c r="H45" t="inlineStr">
        <is>
          <t>VC BD, Funding 4.55€</t>
        </is>
      </c>
      <c r="I45" t="inlineStr">
        <is>
          <t>VC BD, Funding 4.55€</t>
        </is>
      </c>
      <c r="J45" t="inlineStr">
        <is>
          <t>VC BD, Funding 4.55€</t>
        </is>
      </c>
      <c r="K45" t="inlineStr">
        <is>
          <t>VC BD, Funding 4.55€</t>
        </is>
      </c>
      <c r="L45" t="inlineStr">
        <is>
          <t>VC BD, Funding 4.55€</t>
        </is>
      </c>
      <c r="M45" t="inlineStr">
        <is>
          <t>VC BD, Funding 4.55€</t>
        </is>
      </c>
      <c r="N45" t="inlineStr">
        <is>
          <t>VC BD, Funding 4.55€</t>
        </is>
      </c>
      <c r="O45" t="inlineStr">
        <is>
          <t>VC BD, Funding 4.55€</t>
        </is>
      </c>
      <c r="P45" t="inlineStr">
        <is>
          <t>VC BD, Funding 4.55€</t>
        </is>
      </c>
      <c r="Q45" t="inlineStr">
        <is>
          <t>VC BD, Funding 4.55€</t>
        </is>
      </c>
      <c r="R45" t="inlineStr">
        <is>
          <t>VC BD, Funding 4.55€</t>
        </is>
      </c>
      <c r="S45" t="inlineStr">
        <is>
          <t>VC BD, Funding 4.55€</t>
        </is>
      </c>
      <c r="T45" t="inlineStr">
        <is>
          <t>无</t>
        </is>
      </c>
      <c r="U45" t="inlineStr">
        <is>
          <t>VC BD;Funding 5.84€；</t>
        </is>
      </c>
      <c r="V45" t="inlineStr">
        <is>
          <t>VC BD, Funding 5.84€</t>
        </is>
      </c>
      <c r="W45" t="inlineStr">
        <is>
          <t>VC BD, Funding 5.84€</t>
        </is>
      </c>
      <c r="X45" t="inlineStr">
        <is>
          <t>VC BD, Funding 5.84€</t>
        </is>
      </c>
      <c r="Y45" t="inlineStr">
        <is>
          <t>VC BD, Funding 5.84€</t>
        </is>
      </c>
      <c r="Z45" t="inlineStr">
        <is>
          <t>VC BD, Funding 5.84€</t>
        </is>
      </c>
      <c r="AA45" t="inlineStr">
        <is>
          <t>VC BD, Funding 5.84€</t>
        </is>
      </c>
      <c r="AB45" t="inlineStr">
        <is>
          <t>VC BD, Funding 5.84€</t>
        </is>
      </c>
      <c r="AC45" t="inlineStr">
        <is>
          <t>VC BD, Funding 5.84€</t>
        </is>
      </c>
      <c r="AD45" t="inlineStr">
        <is>
          <t>VC BD, Funding 5.84€</t>
        </is>
      </c>
      <c r="AE45" t="inlineStr">
        <is>
          <t>VC BD, Funding 5.84€</t>
        </is>
      </c>
      <c r="AF45" t="inlineStr">
        <is>
          <t>VC BD, Funding 5.84€</t>
        </is>
      </c>
      <c r="AG45" t="inlineStr">
        <is>
          <t>无</t>
        </is>
      </c>
      <c r="AH45" t="inlineStr">
        <is>
          <t>无</t>
        </is>
      </c>
      <c r="AI45" t="inlineStr">
        <is>
          <t>无</t>
        </is>
      </c>
      <c r="AJ45" t="inlineStr">
        <is>
          <t>无</t>
        </is>
      </c>
      <c r="AK45" t="inlineStr">
        <is>
          <t>无</t>
        </is>
      </c>
      <c r="AL45" t="inlineStr">
        <is>
          <t>无</t>
        </is>
      </c>
      <c r="AM45" t="inlineStr">
        <is>
          <t>无</t>
        </is>
      </c>
      <c r="AN45" t="inlineStr">
        <is>
          <t>无</t>
        </is>
      </c>
      <c r="AO45" t="inlineStr">
        <is>
          <t>无</t>
        </is>
      </c>
      <c r="AP45" t="inlineStr">
        <is>
          <t>无</t>
        </is>
      </c>
      <c r="AQ45" t="inlineStr">
        <is>
          <t>无</t>
        </is>
      </c>
      <c r="AR45" t="inlineStr">
        <is>
          <t>无</t>
        </is>
      </c>
      <c r="AS45" t="inlineStr">
        <is>
          <t>无</t>
        </is>
      </c>
      <c r="AT45" t="inlineStr">
        <is>
          <t>无</t>
        </is>
      </c>
      <c r="AU45" t="inlineStr">
        <is>
          <t>无</t>
        </is>
      </c>
      <c r="AV45" t="inlineStr">
        <is>
          <t>无</t>
        </is>
      </c>
      <c r="AW45" t="inlineStr">
        <is>
          <t>无</t>
        </is>
      </c>
      <c r="AX45" t="inlineStr">
        <is>
          <t>无</t>
        </is>
      </c>
      <c r="AY45" t="inlineStr">
        <is>
          <t>无</t>
        </is>
      </c>
      <c r="AZ45" t="inlineStr">
        <is>
          <t>无</t>
        </is>
      </c>
      <c r="BA45" t="inlineStr">
        <is>
          <t>无</t>
        </is>
      </c>
      <c r="BB45" t="inlineStr">
        <is>
          <t>无</t>
        </is>
      </c>
      <c r="BC45" t="inlineStr">
        <is>
          <t>无</t>
        </is>
      </c>
      <c r="BD45" t="inlineStr">
        <is>
          <t>无</t>
        </is>
      </c>
      <c r="BE45" t="inlineStr">
        <is>
          <t>无</t>
        </is>
      </c>
      <c r="BF45" t="inlineStr">
        <is>
          <t>无</t>
        </is>
      </c>
      <c r="BG45" t="inlineStr">
        <is>
          <t>无</t>
        </is>
      </c>
      <c r="BH45" t="inlineStr">
        <is>
          <t>无</t>
        </is>
      </c>
      <c r="BI45" t="inlineStr">
        <is>
          <t>无</t>
        </is>
      </c>
      <c r="BJ45" t="inlineStr">
        <is>
          <t>无</t>
        </is>
      </c>
      <c r="BK45" t="inlineStr">
        <is>
          <t>无</t>
        </is>
      </c>
      <c r="BL45" t="inlineStr">
        <is>
          <t>无</t>
        </is>
      </c>
      <c r="BM45" t="inlineStr">
        <is>
          <t>无</t>
        </is>
      </c>
      <c r="BN45" t="inlineStr">
        <is>
          <t>无</t>
        </is>
      </c>
      <c r="BO45" t="inlineStr">
        <is>
          <t>无</t>
        </is>
      </c>
      <c r="BP45" t="inlineStr">
        <is>
          <t>无</t>
        </is>
      </c>
      <c r="BQ45" t="inlineStr">
        <is>
          <t>无</t>
        </is>
      </c>
      <c r="BR45" t="inlineStr">
        <is>
          <t>无</t>
        </is>
      </c>
      <c r="BS45" t="inlineStr">
        <is>
          <t>无</t>
        </is>
      </c>
      <c r="BT45" t="inlineStr">
        <is>
          <t>无</t>
        </is>
      </c>
      <c r="BU45" t="inlineStr">
        <is>
          <t>无货</t>
        </is>
      </c>
      <c r="BV45" t="inlineStr">
        <is>
          <t>无货</t>
        </is>
      </c>
      <c r="BW45" t="inlineStr">
        <is>
          <t>无货</t>
        </is>
      </c>
      <c r="BX45" t="inlineStr">
        <is>
          <t>无货</t>
        </is>
      </c>
      <c r="BY45" t="inlineStr">
        <is>
          <t>无货</t>
        </is>
      </c>
      <c r="BZ45" t="inlineStr">
        <is>
          <t>无货</t>
        </is>
      </c>
      <c r="CA45" t="inlineStr">
        <is>
          <t>无货</t>
        </is>
      </c>
      <c r="CB45" t="inlineStr">
        <is>
          <t>无货</t>
        </is>
      </c>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row>
    <row r="46" ht="25.5" customHeight="1">
      <c r="A46"/>
      <c r="B46" t="inlineStr">
        <is>
          <t>ES</t>
        </is>
      </c>
      <c r="C46" t="inlineStr">
        <is>
          <t>优惠券</t>
        </is>
      </c>
      <c r="D46" t="inlineStr">
        <is>
          <t>0.15</t>
        </is>
      </c>
      <c r="E46" t="inlineStr">
        <is>
          <t>无</t>
        </is>
      </c>
      <c r="F46" t="inlineStr">
        <is>
          <t>无</t>
        </is>
      </c>
      <c r="G46" t="inlineStr">
        <is>
          <t>无</t>
        </is>
      </c>
      <c r="H46" t="inlineStr">
        <is>
          <t>无</t>
        </is>
      </c>
      <c r="I46" t="inlineStr">
        <is>
          <t>无</t>
        </is>
      </c>
      <c r="J46" t="inlineStr">
        <is>
          <t>无</t>
        </is>
      </c>
      <c r="K46" t="inlineStr">
        <is>
          <t>无</t>
        </is>
      </c>
      <c r="L46" t="inlineStr">
        <is>
          <t>无</t>
        </is>
      </c>
      <c r="M46" t="inlineStr">
        <is>
          <t>无</t>
        </is>
      </c>
      <c r="N46" t="inlineStr">
        <is>
          <t>无</t>
        </is>
      </c>
      <c r="O46" t="inlineStr">
        <is>
          <t>无</t>
        </is>
      </c>
      <c r="P46" t="inlineStr">
        <is>
          <t>无</t>
        </is>
      </c>
      <c r="Q46" t="inlineStr">
        <is>
          <t>无</t>
        </is>
      </c>
      <c r="R46" t="inlineStr">
        <is>
          <t>无</t>
        </is>
      </c>
      <c r="S46" t="inlineStr">
        <is>
          <t>无</t>
        </is>
      </c>
      <c r="T46" t="inlineStr">
        <is>
          <t>Discount：10%</t>
        </is>
      </c>
      <c r="U46" t="inlineStr">
        <is>
          <t>Discount：10%</t>
        </is>
      </c>
      <c r="V46" t="inlineStr">
        <is>
          <t>Discount：10%</t>
        </is>
      </c>
      <c r="W46" t="inlineStr">
        <is>
          <t>Discount：10%</t>
        </is>
      </c>
      <c r="X46" t="inlineStr">
        <is>
          <t>Discount：10%</t>
        </is>
      </c>
      <c r="Y46" t="inlineStr">
        <is>
          <t>Discount：10%</t>
        </is>
      </c>
      <c r="Z46" t="inlineStr">
        <is>
          <t>无</t>
        </is>
      </c>
      <c r="AA46" t="inlineStr">
        <is>
          <t>无</t>
        </is>
      </c>
      <c r="AB46" t="inlineStr">
        <is>
          <t>Discount：15%</t>
        </is>
      </c>
      <c r="AC46" t="inlineStr">
        <is>
          <t>Discount：15%</t>
        </is>
      </c>
      <c r="AD46" t="inlineStr">
        <is>
          <t>Discount：15%</t>
        </is>
      </c>
      <c r="AE46" t="inlineStr">
        <is>
          <t>Discount：15%</t>
        </is>
      </c>
      <c r="AF46" t="inlineStr">
        <is>
          <t>Discount：15%</t>
        </is>
      </c>
      <c r="AG46" t="inlineStr">
        <is>
          <t>Discount：15%</t>
        </is>
      </c>
      <c r="AH46" t="inlineStr">
        <is>
          <t>Discount：15%</t>
        </is>
      </c>
      <c r="AI46" t="inlineStr">
        <is>
          <t>Discount：15%</t>
        </is>
      </c>
      <c r="AJ46" t="inlineStr">
        <is>
          <t>Discount：15%</t>
        </is>
      </c>
      <c r="AK46" t="inlineStr">
        <is>
          <t>Discount：15%</t>
        </is>
      </c>
      <c r="AL46" t="inlineStr">
        <is>
          <t>Discount：15%</t>
        </is>
      </c>
      <c r="AM46" t="inlineStr">
        <is>
          <t>无</t>
        </is>
      </c>
      <c r="AN46" t="inlineStr">
        <is>
          <t>COUPON 7%</t>
        </is>
      </c>
      <c r="AO46" t="inlineStr">
        <is>
          <t>COUPON 7%</t>
        </is>
      </c>
      <c r="AP46" t="inlineStr">
        <is>
          <t>COUPON 7%</t>
        </is>
      </c>
      <c r="AQ46" t="inlineStr">
        <is>
          <t>COUPON 7%</t>
        </is>
      </c>
      <c r="AR46" t="inlineStr">
        <is>
          <t>COUPON 7%</t>
        </is>
      </c>
      <c r="AS46" t="inlineStr">
        <is>
          <t>COUPON 7%</t>
        </is>
      </c>
      <c r="AT46" t="inlineStr">
        <is>
          <t>COUPON 7%</t>
        </is>
      </c>
      <c r="AU46" t="inlineStr">
        <is>
          <t>COUPON 7%</t>
        </is>
      </c>
      <c r="AV46" t="inlineStr">
        <is>
          <t>COUPON 7%</t>
        </is>
      </c>
      <c r="AW46" t="inlineStr">
        <is>
          <t>COUPON 7%</t>
        </is>
      </c>
      <c r="AX46" t="inlineStr">
        <is>
          <t>无</t>
        </is>
      </c>
      <c r="AY46" t="inlineStr">
        <is>
          <t>无</t>
        </is>
      </c>
      <c r="AZ46" t="inlineStr">
        <is>
          <t>无</t>
        </is>
      </c>
      <c r="BA46" t="inlineStr">
        <is>
          <t>无</t>
        </is>
      </c>
      <c r="BB46" t="inlineStr">
        <is>
          <t>无</t>
        </is>
      </c>
      <c r="BC46" t="inlineStr">
        <is>
          <t>无</t>
        </is>
      </c>
      <c r="BD46" t="inlineStr">
        <is>
          <t>无</t>
        </is>
      </c>
      <c r="BE46" t="inlineStr">
        <is>
          <t>无</t>
        </is>
      </c>
      <c r="BF46" t="inlineStr">
        <is>
          <t>无</t>
        </is>
      </c>
      <c r="BG46" t="inlineStr">
        <is>
          <t>无</t>
        </is>
      </c>
      <c r="BH46" t="inlineStr">
        <is>
          <t>无</t>
        </is>
      </c>
      <c r="BI46" t="inlineStr">
        <is>
          <t>无</t>
        </is>
      </c>
      <c r="BJ46" t="inlineStr">
        <is>
          <t>无</t>
        </is>
      </c>
      <c r="BK46" t="inlineStr">
        <is>
          <t>无</t>
        </is>
      </c>
      <c r="BL46" t="inlineStr">
        <is>
          <t>无</t>
        </is>
      </c>
      <c r="BM46" t="inlineStr">
        <is>
          <t>无</t>
        </is>
      </c>
      <c r="BN46" t="inlineStr">
        <is>
          <t>无</t>
        </is>
      </c>
      <c r="BO46" t="inlineStr">
        <is>
          <t>无</t>
        </is>
      </c>
      <c r="BP46" t="inlineStr">
        <is>
          <t>无</t>
        </is>
      </c>
      <c r="BQ46" t="inlineStr">
        <is>
          <t>无</t>
        </is>
      </c>
      <c r="BR46" t="inlineStr">
        <is>
          <t>无</t>
        </is>
      </c>
      <c r="BS46" t="inlineStr">
        <is>
          <t>无</t>
        </is>
      </c>
      <c r="BT46" t="inlineStr">
        <is>
          <t>无</t>
        </is>
      </c>
      <c r="BU46" t="inlineStr">
        <is>
          <t>无货</t>
        </is>
      </c>
      <c r="BV46" t="inlineStr">
        <is>
          <t>无货</t>
        </is>
      </c>
      <c r="BW46" t="inlineStr">
        <is>
          <t>无货</t>
        </is>
      </c>
      <c r="BX46" t="inlineStr">
        <is>
          <t>无货</t>
        </is>
      </c>
      <c r="BY46" t="inlineStr">
        <is>
          <t>无货</t>
        </is>
      </c>
      <c r="BZ46" t="inlineStr">
        <is>
          <t>无货</t>
        </is>
      </c>
      <c r="CA46" t="inlineStr">
        <is>
          <t>无货</t>
        </is>
      </c>
      <c r="CB46" t="inlineStr">
        <is>
          <t>无货</t>
        </is>
      </c>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row>
    <row r="47" ht="25.5" customHeight="1">
      <c r="A47"/>
      <c r="B47" t="inlineStr">
        <is>
          <t>ES</t>
        </is>
      </c>
      <c r="C47" t="inlineStr">
        <is>
          <t>活动</t>
        </is>
      </c>
      <c r="D47" t="inlineStr">
        <is>
          <t>Funding 5.5，广告4，毛利1</t>
        </is>
      </c>
      <c r="E47" t="inlineStr">
        <is>
          <t>无</t>
        </is>
      </c>
      <c r="F47" t="inlineStr">
        <is>
          <t>无</t>
        </is>
      </c>
      <c r="G47" t="inlineStr">
        <is>
          <t>无</t>
        </is>
      </c>
      <c r="H47" t="inlineStr">
        <is>
          <t>无</t>
        </is>
      </c>
      <c r="I47" t="inlineStr">
        <is>
          <t>无</t>
        </is>
      </c>
      <c r="J47" t="inlineStr">
        <is>
          <t>无</t>
        </is>
      </c>
      <c r="K47" t="inlineStr">
        <is>
          <t>无</t>
        </is>
      </c>
      <c r="L47" t="inlineStr">
        <is>
          <t>无</t>
        </is>
      </c>
      <c r="M47" t="inlineStr">
        <is>
          <t>无</t>
        </is>
      </c>
      <c r="N47" t="inlineStr">
        <is>
          <t>无</t>
        </is>
      </c>
      <c r="O47" t="inlineStr">
        <is>
          <t>无</t>
        </is>
      </c>
      <c r="P47" t="inlineStr">
        <is>
          <t>无</t>
        </is>
      </c>
      <c r="Q47" t="inlineStr">
        <is>
          <t>无</t>
        </is>
      </c>
      <c r="R47" t="inlineStr">
        <is>
          <t>无</t>
        </is>
      </c>
      <c r="S47" t="inlineStr">
        <is>
          <t>无</t>
        </is>
      </c>
      <c r="T47" t="inlineStr">
        <is>
          <t>无</t>
        </is>
      </c>
      <c r="U47" t="inlineStr">
        <is>
          <t>无</t>
        </is>
      </c>
      <c r="V47" t="inlineStr">
        <is>
          <t>无</t>
        </is>
      </c>
      <c r="W47" t="inlineStr">
        <is>
          <t>无</t>
        </is>
      </c>
      <c r="X47" t="inlineStr">
        <is>
          <t>无</t>
        </is>
      </c>
      <c r="Y47" t="inlineStr">
        <is>
          <t>无</t>
        </is>
      </c>
      <c r="Z47" t="inlineStr">
        <is>
          <t>无</t>
        </is>
      </c>
      <c r="AA47" t="inlineStr">
        <is>
          <t>无</t>
        </is>
      </c>
      <c r="AB47" t="inlineStr">
        <is>
          <t>无</t>
        </is>
      </c>
      <c r="AC47" t="inlineStr">
        <is>
          <t>无</t>
        </is>
      </c>
      <c r="AD47" t="inlineStr">
        <is>
          <t>无</t>
        </is>
      </c>
      <c r="AE47" t="inlineStr">
        <is>
          <t>无</t>
        </is>
      </c>
      <c r="AF47" t="inlineStr">
        <is>
          <t>无</t>
        </is>
      </c>
      <c r="AG47" t="inlineStr">
        <is>
          <t>无</t>
        </is>
      </c>
      <c r="AH47" t="inlineStr">
        <is>
          <t>无</t>
        </is>
      </c>
      <c r="AI47" t="inlineStr">
        <is>
          <t>无</t>
        </is>
      </c>
      <c r="AJ47" t="inlineStr">
        <is>
          <t>无</t>
        </is>
      </c>
      <c r="AK47" t="inlineStr">
        <is>
          <t>无</t>
        </is>
      </c>
      <c r="AL47" t="inlineStr">
        <is>
          <t>无</t>
        </is>
      </c>
      <c r="AM47" t="inlineStr">
        <is>
          <t>无</t>
        </is>
      </c>
      <c r="AN47" t="inlineStr">
        <is>
          <t>无</t>
        </is>
      </c>
      <c r="AO47" t="inlineStr">
        <is>
          <t>无</t>
        </is>
      </c>
      <c r="AP47" t="inlineStr">
        <is>
          <t>无</t>
        </is>
      </c>
      <c r="AQ47" t="inlineStr">
        <is>
          <t>无</t>
        </is>
      </c>
      <c r="AR47" t="inlineStr">
        <is>
          <t>无</t>
        </is>
      </c>
      <c r="AS47" t="inlineStr">
        <is>
          <t>无</t>
        </is>
      </c>
      <c r="AT47" t="inlineStr">
        <is>
          <t>无</t>
        </is>
      </c>
      <c r="AU47" t="inlineStr">
        <is>
          <t>无</t>
        </is>
      </c>
      <c r="AV47" t="inlineStr">
        <is>
          <t>无</t>
        </is>
      </c>
      <c r="AW47" t="inlineStr">
        <is>
          <t>无</t>
        </is>
      </c>
      <c r="AX47" t="inlineStr">
        <is>
          <t>无</t>
        </is>
      </c>
      <c r="AY47" t="inlineStr">
        <is>
          <t>无</t>
        </is>
      </c>
      <c r="AZ47" t="inlineStr">
        <is>
          <t>无</t>
        </is>
      </c>
      <c r="BA47" t="inlineStr">
        <is>
          <t>无</t>
        </is>
      </c>
      <c r="BB47" t="inlineStr">
        <is>
          <t>无</t>
        </is>
      </c>
      <c r="BC47" t="inlineStr">
        <is>
          <t>无</t>
        </is>
      </c>
      <c r="BD47" t="inlineStr">
        <is>
          <t>无</t>
        </is>
      </c>
      <c r="BE47" t="inlineStr">
        <is>
          <t>无</t>
        </is>
      </c>
      <c r="BF47" t="inlineStr">
        <is>
          <t>无</t>
        </is>
      </c>
      <c r="BG47" t="inlineStr">
        <is>
          <t>无</t>
        </is>
      </c>
      <c r="BH47" t="inlineStr">
        <is>
          <t>无</t>
        </is>
      </c>
      <c r="BI47" t="inlineStr">
        <is>
          <t>无</t>
        </is>
      </c>
      <c r="BJ47" t="inlineStr">
        <is>
          <t>无</t>
        </is>
      </c>
      <c r="BK47" t="inlineStr">
        <is>
          <t>无</t>
        </is>
      </c>
      <c r="BL47" t="inlineStr">
        <is>
          <t>无</t>
        </is>
      </c>
      <c r="BM47" t="inlineStr">
        <is>
          <t>无</t>
        </is>
      </c>
      <c r="BN47" t="inlineStr">
        <is>
          <t>无</t>
        </is>
      </c>
      <c r="BO47" t="inlineStr">
        <is>
          <t>无</t>
        </is>
      </c>
      <c r="BP47" t="inlineStr">
        <is>
          <t>无</t>
        </is>
      </c>
      <c r="BQ47" t="inlineStr">
        <is>
          <t>无</t>
        </is>
      </c>
      <c r="BR47" t="inlineStr">
        <is>
          <t>无</t>
        </is>
      </c>
      <c r="BS47" t="inlineStr">
        <is>
          <t>无</t>
        </is>
      </c>
      <c r="BT47" t="inlineStr">
        <is>
          <t>无</t>
        </is>
      </c>
      <c r="BU47" t="inlineStr">
        <is>
          <t>无货</t>
        </is>
      </c>
      <c r="BV47" t="inlineStr">
        <is>
          <t>无货</t>
        </is>
      </c>
      <c r="BW47" t="inlineStr">
        <is>
          <t>无货</t>
        </is>
      </c>
      <c r="BX47" t="inlineStr">
        <is>
          <t>无货</t>
        </is>
      </c>
      <c r="BY47" t="inlineStr">
        <is>
          <t>无货</t>
        </is>
      </c>
      <c r="BZ47" t="inlineStr">
        <is>
          <t>无货</t>
        </is>
      </c>
      <c r="CA47" t="inlineStr">
        <is>
          <t>无货</t>
        </is>
      </c>
      <c r="CB47" t="inlineStr">
        <is>
          <t>无货</t>
        </is>
      </c>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row>
    <row r="48" ht="25.5" customHeight="1">
      <c r="A48"/>
      <c r="B48" t="inlineStr">
        <is>
          <t>DE</t>
        </is>
      </c>
      <c r="C48" t="inlineStr">
        <is>
          <t>优惠券</t>
        </is>
      </c>
      <c r="D48" t="inlineStr">
        <is>
          <t>0.15</t>
        </is>
      </c>
      <c r="E48" t="inlineStr">
        <is>
          <t>Discount：1.5€</t>
        </is>
      </c>
      <c r="F48" t="inlineStr">
        <is>
          <t>Discount：1.5€</t>
        </is>
      </c>
      <c r="G48" t="inlineStr">
        <is>
          <t>Discount：1.5€</t>
        </is>
      </c>
      <c r="H48" t="inlineStr">
        <is>
          <t>Discount：1.5€</t>
        </is>
      </c>
      <c r="I48" t="inlineStr">
        <is>
          <t>Discount：1.5€</t>
        </is>
      </c>
      <c r="J48" t="inlineStr">
        <is>
          <t>Discount：1.5€</t>
        </is>
      </c>
      <c r="K48" t="inlineStr">
        <is>
          <t>Discount：1.5€</t>
        </is>
      </c>
      <c r="L48" t="inlineStr">
        <is>
          <t>Discount：1.5€</t>
        </is>
      </c>
      <c r="M48" t="inlineStr">
        <is>
          <t>Discount：1.5€</t>
        </is>
      </c>
      <c r="N48" t="inlineStr">
        <is>
          <t>Discount：1.5€</t>
        </is>
      </c>
      <c r="O48" t="inlineStr">
        <is>
          <t>Discount：1.5€</t>
        </is>
      </c>
      <c r="P48" t="inlineStr">
        <is>
          <t>Discount：1.5€</t>
        </is>
      </c>
      <c r="Q48" t="inlineStr">
        <is>
          <t>Discount：1.5€</t>
        </is>
      </c>
      <c r="R48" t="inlineStr">
        <is>
          <t>Discount：1.5€</t>
        </is>
      </c>
      <c r="S48" t="inlineStr">
        <is>
          <t>Discount：1.5€</t>
        </is>
      </c>
      <c r="T48" t="inlineStr">
        <is>
          <t>Discount：1.5€</t>
        </is>
      </c>
      <c r="U48" t="inlineStr">
        <is>
          <t>无</t>
        </is>
      </c>
      <c r="V48" t="inlineStr">
        <is>
          <t>无</t>
        </is>
      </c>
      <c r="W48" t="inlineStr">
        <is>
          <t>无</t>
        </is>
      </c>
      <c r="X48" t="inlineStr">
        <is>
          <t>无</t>
        </is>
      </c>
      <c r="Y48" t="inlineStr">
        <is>
          <t>无</t>
        </is>
      </c>
      <c r="Z48" t="inlineStr">
        <is>
          <t>无</t>
        </is>
      </c>
      <c r="AA48" t="inlineStr">
        <is>
          <t>无</t>
        </is>
      </c>
      <c r="AB48" t="inlineStr">
        <is>
          <t>无</t>
        </is>
      </c>
      <c r="AC48" t="inlineStr">
        <is>
          <t>无</t>
        </is>
      </c>
      <c r="AD48" t="inlineStr">
        <is>
          <t>无</t>
        </is>
      </c>
      <c r="AE48" t="inlineStr">
        <is>
          <t>无</t>
        </is>
      </c>
      <c r="AF48" t="inlineStr">
        <is>
          <t>无</t>
        </is>
      </c>
      <c r="AG48" t="inlineStr">
        <is>
          <t>无</t>
        </is>
      </c>
      <c r="AH48" t="inlineStr">
        <is>
          <t>无</t>
        </is>
      </c>
      <c r="AI48" t="inlineStr">
        <is>
          <t>无</t>
        </is>
      </c>
      <c r="AJ48" t="inlineStr">
        <is>
          <t>无</t>
        </is>
      </c>
      <c r="AK48" t="inlineStr">
        <is>
          <t>无</t>
        </is>
      </c>
      <c r="AL48" t="inlineStr">
        <is>
          <t>无</t>
        </is>
      </c>
      <c r="AM48" t="inlineStr">
        <is>
          <t>无</t>
        </is>
      </c>
      <c r="AN48" t="inlineStr">
        <is>
          <t>无</t>
        </is>
      </c>
      <c r="AO48" t="inlineStr">
        <is>
          <t>无</t>
        </is>
      </c>
      <c r="AP48" t="inlineStr">
        <is>
          <t>无</t>
        </is>
      </c>
      <c r="AQ48" t="inlineStr">
        <is>
          <t>无</t>
        </is>
      </c>
      <c r="AR48" t="inlineStr">
        <is>
          <t>无</t>
        </is>
      </c>
      <c r="AS48" t="inlineStr">
        <is>
          <t>无</t>
        </is>
      </c>
      <c r="AT48" t="inlineStr">
        <is>
          <t>无</t>
        </is>
      </c>
      <c r="AU48" t="inlineStr">
        <is>
          <t>无</t>
        </is>
      </c>
      <c r="AV48" t="inlineStr">
        <is>
          <t>无</t>
        </is>
      </c>
      <c r="AW48" t="inlineStr">
        <is>
          <t>无</t>
        </is>
      </c>
      <c r="AX48" t="inlineStr">
        <is>
          <t>无</t>
        </is>
      </c>
      <c r="AY48" t="inlineStr">
        <is>
          <t>无</t>
        </is>
      </c>
      <c r="AZ48" t="inlineStr">
        <is>
          <t>无</t>
        </is>
      </c>
      <c r="BA48" t="inlineStr">
        <is>
          <t>无</t>
        </is>
      </c>
      <c r="BB48"/>
      <c r="BC48"/>
      <c r="BD48"/>
      <c r="BE48" t="inlineStr">
        <is>
          <t>无</t>
        </is>
      </c>
      <c r="BF48" t="inlineStr">
        <is>
          <t>无</t>
        </is>
      </c>
      <c r="BG48" t="inlineStr">
        <is>
          <t>无</t>
        </is>
      </c>
      <c r="BH48" t="inlineStr">
        <is>
          <t>无</t>
        </is>
      </c>
      <c r="BI48" t="inlineStr">
        <is>
          <t>无</t>
        </is>
      </c>
      <c r="BJ48" t="inlineStr">
        <is>
          <t>无</t>
        </is>
      </c>
      <c r="BK48" t="inlineStr">
        <is>
          <t>无</t>
        </is>
      </c>
      <c r="BL48" t="inlineStr">
        <is>
          <t>无</t>
        </is>
      </c>
      <c r="BM48" t="inlineStr">
        <is>
          <t>无</t>
        </is>
      </c>
      <c r="BN48" t="inlineStr">
        <is>
          <t>无</t>
        </is>
      </c>
      <c r="BO48" t="inlineStr">
        <is>
          <t>无</t>
        </is>
      </c>
      <c r="BP48" t="inlineStr">
        <is>
          <t>无</t>
        </is>
      </c>
      <c r="BQ48" t="inlineStr">
        <is>
          <t>无</t>
        </is>
      </c>
      <c r="BR48" t="inlineStr">
        <is>
          <t>无</t>
        </is>
      </c>
      <c r="BS48" t="inlineStr">
        <is>
          <t>无</t>
        </is>
      </c>
      <c r="BT48" t="inlineStr">
        <is>
          <t>无</t>
        </is>
      </c>
      <c r="BU48" t="inlineStr">
        <is>
          <t>无</t>
        </is>
      </c>
      <c r="BV48" t="inlineStr">
        <is>
          <t>无</t>
        </is>
      </c>
      <c r="BW48" t="inlineStr">
        <is>
          <t>无</t>
        </is>
      </c>
      <c r="BX48" t="inlineStr">
        <is>
          <t>无</t>
        </is>
      </c>
      <c r="BY48" t="inlineStr">
        <is>
          <t>无</t>
        </is>
      </c>
      <c r="BZ48" t="inlineStr">
        <is>
          <t>无</t>
        </is>
      </c>
      <c r="CA48" t="inlineStr">
        <is>
          <t>COUPON 5%</t>
        </is>
      </c>
      <c r="CB48" t="inlineStr">
        <is>
          <t>COUPON 5%</t>
        </is>
      </c>
      <c r="CC48" t="inlineStr">
        <is>
          <t xml:space="preserve">COUPON 5% </t>
        </is>
      </c>
      <c r="CD48" t="inlineStr">
        <is>
          <t>COUPON 5%</t>
        </is>
      </c>
      <c r="CE48" t="inlineStr">
        <is>
          <t>COUPON 5%</t>
        </is>
      </c>
      <c r="CF48" t="inlineStr">
        <is>
          <t>COUPON 5%</t>
        </is>
      </c>
      <c r="CG48" t="inlineStr">
        <is>
          <t>COUPON 5%</t>
        </is>
      </c>
      <c r="CH48" t="inlineStr">
        <is>
          <t>COUPON 5%</t>
        </is>
      </c>
      <c r="CI48" t="inlineStr">
        <is>
          <t>COUPON 5%</t>
        </is>
      </c>
      <c r="CJ48" t="inlineStr">
        <is>
          <t>COUPON 5%</t>
        </is>
      </c>
      <c r="CK48" t="inlineStr">
        <is>
          <t>COUPON 5%</t>
        </is>
      </c>
      <c r="CL48" t="inlineStr">
        <is>
          <t>COUPON 5%</t>
        </is>
      </c>
      <c r="CM48" t="inlineStr">
        <is>
          <t>COUPON 5%</t>
        </is>
      </c>
      <c r="CN48" t="inlineStr">
        <is>
          <t>COUPON 5%</t>
        </is>
      </c>
      <c r="CO48" t="inlineStr">
        <is>
          <t>COUPON 5%</t>
        </is>
      </c>
      <c r="CP48" t="inlineStr">
        <is>
          <t>COUPON 5%</t>
        </is>
      </c>
      <c r="CQ48" t="inlineStr">
        <is>
          <t>COUPON 5%</t>
        </is>
      </c>
      <c r="CR48" t="inlineStr">
        <is>
          <t>COUPON 5%</t>
        </is>
      </c>
      <c r="CS48" t="inlineStr">
        <is>
          <t>COUPON 5%</t>
        </is>
      </c>
      <c r="CT48" t="inlineStr">
        <is>
          <t>COUPON 5%</t>
        </is>
      </c>
      <c r="CU48" t="inlineStr">
        <is>
          <t>COUPON 5%</t>
        </is>
      </c>
      <c r="CV48" t="inlineStr">
        <is>
          <t>COUPON 5%</t>
        </is>
      </c>
      <c r="CW48" t="inlineStr">
        <is>
          <t>COUPON 5%</t>
        </is>
      </c>
      <c r="CX48" t="inlineStr">
        <is>
          <t>COUPON 5%</t>
        </is>
      </c>
      <c r="CY48" t="inlineStr">
        <is>
          <t>COUPON 5%</t>
        </is>
      </c>
      <c r="CZ48" t="inlineStr">
        <is>
          <t>COUPON 5%</t>
        </is>
      </c>
      <c r="DA48" t="inlineStr">
        <is>
          <t>COUPON 5%</t>
        </is>
      </c>
      <c r="DB48" t="inlineStr">
        <is>
          <t>COUPON 5%</t>
        </is>
      </c>
      <c r="DC48" t="inlineStr">
        <is>
          <t>COUPON 5%</t>
        </is>
      </c>
      <c r="DD48" t="inlineStr">
        <is>
          <t>COUPON 5%</t>
        </is>
      </c>
      <c r="DE48"/>
      <c r="DF48"/>
      <c r="DG48"/>
      <c r="DH48"/>
      <c r="DI48"/>
      <c r="DJ48"/>
      <c r="DK48"/>
      <c r="DL48"/>
      <c r="DM48"/>
      <c r="DN48"/>
      <c r="DO48"/>
      <c r="DP48"/>
      <c r="DQ48"/>
      <c r="DR48"/>
      <c r="DS48"/>
      <c r="DT48"/>
      <c r="DU48"/>
      <c r="DV48"/>
      <c r="DW48"/>
      <c r="DX48"/>
      <c r="DY48"/>
      <c r="DZ48"/>
      <c r="EA48"/>
      <c r="EB48"/>
      <c r="EC48"/>
      <c r="ED48"/>
      <c r="EE48"/>
      <c r="EF48"/>
      <c r="EG48"/>
      <c r="EH48"/>
      <c r="EI48"/>
      <c r="EJ48"/>
    </row>
    <row r="49" ht="25.5" customHeight="1">
      <c r="A49"/>
      <c r="B49" t="inlineStr">
        <is>
          <t>DE</t>
        </is>
      </c>
      <c r="C49" t="inlineStr">
        <is>
          <t>活动</t>
        </is>
      </c>
      <c r="D49" t="inlineStr">
        <is>
          <t>Funding 2.55，广告2.5，毛利0.8</t>
        </is>
      </c>
      <c r="E49" t="inlineStr">
        <is>
          <t>无</t>
        </is>
      </c>
      <c r="F49" t="inlineStr">
        <is>
          <t>无</t>
        </is>
      </c>
      <c r="G49" t="inlineStr">
        <is>
          <t>无</t>
        </is>
      </c>
      <c r="H49" t="inlineStr">
        <is>
          <t>无</t>
        </is>
      </c>
      <c r="I49" t="inlineStr">
        <is>
          <t>无</t>
        </is>
      </c>
      <c r="J49" t="inlineStr">
        <is>
          <t>无</t>
        </is>
      </c>
      <c r="K49" t="inlineStr">
        <is>
          <t>无</t>
        </is>
      </c>
      <c r="L49" t="inlineStr">
        <is>
          <t>无</t>
        </is>
      </c>
      <c r="M49" t="inlineStr">
        <is>
          <t>无</t>
        </is>
      </c>
      <c r="N49" t="inlineStr">
        <is>
          <t>无</t>
        </is>
      </c>
      <c r="O49" t="inlineStr">
        <is>
          <t>无</t>
        </is>
      </c>
      <c r="P49" t="inlineStr">
        <is>
          <t>无</t>
        </is>
      </c>
      <c r="Q49" t="inlineStr">
        <is>
          <t>无</t>
        </is>
      </c>
      <c r="R49" t="inlineStr">
        <is>
          <t>无</t>
        </is>
      </c>
      <c r="S49" t="inlineStr">
        <is>
          <t>无</t>
        </is>
      </c>
      <c r="T49" t="inlineStr">
        <is>
          <t>无</t>
        </is>
      </c>
      <c r="U49" t="inlineStr">
        <is>
          <t>VC BD;Funding 2.4€；</t>
        </is>
      </c>
      <c r="V49" t="inlineStr">
        <is>
          <t>VC BD, Funding 2.4€</t>
        </is>
      </c>
      <c r="W49" t="inlineStr">
        <is>
          <t>VC BD, Funding 2.4€</t>
        </is>
      </c>
      <c r="X49" t="inlineStr">
        <is>
          <t>VC BD, Funding 2.4€</t>
        </is>
      </c>
      <c r="Y49" t="inlineStr">
        <is>
          <t>VC BD, Funding 2.4€</t>
        </is>
      </c>
      <c r="Z49" t="inlineStr">
        <is>
          <t>VC BD, Funding 2.4€</t>
        </is>
      </c>
      <c r="AA49" t="inlineStr">
        <is>
          <t>VC BD, Funding 2.4€</t>
        </is>
      </c>
      <c r="AB49" t="inlineStr">
        <is>
          <t>VC BD, Funding 2.4€</t>
        </is>
      </c>
      <c r="AC49" t="inlineStr">
        <is>
          <t>VC BD, Funding 2.4€</t>
        </is>
      </c>
      <c r="AD49" t="inlineStr">
        <is>
          <t>VC BD, Funding 2.4€</t>
        </is>
      </c>
      <c r="AE49" t="inlineStr">
        <is>
          <t>VC BD, Funding 2.4€</t>
        </is>
      </c>
      <c r="AF49" t="inlineStr">
        <is>
          <t>VC BD, Funding 2.4€</t>
        </is>
      </c>
      <c r="AG49" t="inlineStr">
        <is>
          <t>VC BD, Funding 2.4€</t>
        </is>
      </c>
      <c r="AH49" t="inlineStr">
        <is>
          <t>VC BD, Funding 2.4€</t>
        </is>
      </c>
      <c r="AI49" t="inlineStr">
        <is>
          <t>无</t>
        </is>
      </c>
      <c r="AJ49" t="inlineStr">
        <is>
          <t>无</t>
        </is>
      </c>
      <c r="AK49" t="inlineStr">
        <is>
          <t>无</t>
        </is>
      </c>
      <c r="AL49" t="inlineStr">
        <is>
          <t>无</t>
        </is>
      </c>
      <c r="AM49" t="inlineStr">
        <is>
          <t>VC BD, Funding 2.15€</t>
        </is>
      </c>
      <c r="AN49" t="inlineStr">
        <is>
          <t>VC BD, Funding 2.15€</t>
        </is>
      </c>
      <c r="AO49" t="inlineStr">
        <is>
          <t>VC BD, Funding 2.15€</t>
        </is>
      </c>
      <c r="AP49" t="inlineStr">
        <is>
          <t>VC BD, Funding 2.15€</t>
        </is>
      </c>
      <c r="AQ49" t="inlineStr">
        <is>
          <t>VC BD, Funding 2.15€</t>
        </is>
      </c>
      <c r="AR49" t="inlineStr">
        <is>
          <t>VC BD, Funding 2.15€</t>
        </is>
      </c>
      <c r="AS49" t="inlineStr">
        <is>
          <t>VC BD, Funding 2.15€</t>
        </is>
      </c>
      <c r="AT49" t="inlineStr">
        <is>
          <t>VC BD, Funding 2.15€</t>
        </is>
      </c>
      <c r="AU49" t="inlineStr">
        <is>
          <t>VC BD, Funding 2.15€</t>
        </is>
      </c>
      <c r="AV49" t="inlineStr">
        <is>
          <t>VC BD, Funding 2.15€</t>
        </is>
      </c>
      <c r="AW49" t="inlineStr">
        <is>
          <t>VC BD, Funding 2.15€</t>
        </is>
      </c>
      <c r="AX49" t="inlineStr">
        <is>
          <t>无</t>
        </is>
      </c>
      <c r="AY49" t="inlineStr">
        <is>
          <t>无</t>
        </is>
      </c>
      <c r="AZ49" t="inlineStr">
        <is>
          <t>无</t>
        </is>
      </c>
      <c r="BA49" t="inlineStr">
        <is>
          <t>无</t>
        </is>
      </c>
      <c r="BB49" t="inlineStr">
        <is>
          <t>无</t>
        </is>
      </c>
      <c r="BC49" t="inlineStr">
        <is>
          <t>无</t>
        </is>
      </c>
      <c r="BD49" t="inlineStr">
        <is>
          <t>无</t>
        </is>
      </c>
      <c r="BE49" t="inlineStr">
        <is>
          <t>无</t>
        </is>
      </c>
      <c r="BF49" t="inlineStr">
        <is>
          <t>无</t>
        </is>
      </c>
      <c r="BG49" t="inlineStr">
        <is>
          <t>无</t>
        </is>
      </c>
      <c r="BH49" t="inlineStr">
        <is>
          <t>无</t>
        </is>
      </c>
      <c r="BI49" t="inlineStr">
        <is>
          <t>VC BD, Funding 2.15€(100pcs)</t>
        </is>
      </c>
      <c r="BJ49" t="inlineStr">
        <is>
          <t>VC BD, Funding 2.15€(100pcs)</t>
        </is>
      </c>
      <c r="BK49" t="inlineStr">
        <is>
          <t>VC BD, Funding 2.15€(100pcs)</t>
        </is>
      </c>
      <c r="BL49" t="inlineStr">
        <is>
          <t>VC BD, Funding 2.15€(100pcs)</t>
        </is>
      </c>
      <c r="BM49" t="inlineStr">
        <is>
          <t>VC BD, Funding 2.15€(100pcs)</t>
        </is>
      </c>
      <c r="BN49" t="inlineStr">
        <is>
          <t>VC BD, Funding 2.15€(100pcs)</t>
        </is>
      </c>
      <c r="BO49" t="inlineStr">
        <is>
          <t>VC BD, Funding 2.15€(100pcs)</t>
        </is>
      </c>
      <c r="BP49" t="inlineStr">
        <is>
          <t>VC BD, Funding 2.15€(100pcs)</t>
        </is>
      </c>
      <c r="BQ49" t="inlineStr">
        <is>
          <t>VC BD, Funding 2.15€(100pcs)</t>
        </is>
      </c>
      <c r="BR49" t="inlineStr">
        <is>
          <t>VC BD, Funding 2.15€(100pcs)</t>
        </is>
      </c>
      <c r="BS49" t="inlineStr">
        <is>
          <t>VC BD, Funding 2.15€(100pcs)</t>
        </is>
      </c>
      <c r="BT49" t="inlineStr">
        <is>
          <t>VC BD, Funding 2.15€(100pcs)</t>
        </is>
      </c>
      <c r="BU49" t="inlineStr">
        <is>
          <t>VC BD, Funding 2.15€(100pcs)</t>
        </is>
      </c>
      <c r="BV49" t="inlineStr">
        <is>
          <t>VC BD, Funding 2.15€(100pcs)</t>
        </is>
      </c>
      <c r="BW49" t="inlineStr">
        <is>
          <t>无</t>
        </is>
      </c>
      <c r="BX49" t="inlineStr">
        <is>
          <t>无</t>
        </is>
      </c>
      <c r="BY49" t="inlineStr">
        <is>
          <t>无</t>
        </is>
      </c>
      <c r="BZ49" t="inlineStr">
        <is>
          <t>无</t>
        </is>
      </c>
      <c r="CA49" t="inlineStr">
        <is>
          <t>无</t>
        </is>
      </c>
      <c r="CB49" t="inlineStr">
        <is>
          <t>无</t>
        </is>
      </c>
      <c r="CC49" t="inlineStr">
        <is>
          <t>无</t>
        </is>
      </c>
      <c r="CD49" t="inlineStr">
        <is>
          <t>无</t>
        </is>
      </c>
      <c r="CE49" t="inlineStr">
        <is>
          <t>无</t>
        </is>
      </c>
      <c r="CF49" t="inlineStr">
        <is>
          <t>无</t>
        </is>
      </c>
      <c r="CG49" t="inlineStr">
        <is>
          <t>无</t>
        </is>
      </c>
      <c r="CH49" t="inlineStr">
        <is>
          <t>无</t>
        </is>
      </c>
      <c r="CI49" t="inlineStr">
        <is>
          <t>无</t>
        </is>
      </c>
      <c r="CJ49" t="inlineStr">
        <is>
          <t>无</t>
        </is>
      </c>
      <c r="CK49" t="inlineStr">
        <is>
          <t>无</t>
        </is>
      </c>
      <c r="CL49" t="inlineStr">
        <is>
          <t>无</t>
        </is>
      </c>
      <c r="CM49" t="inlineStr">
        <is>
          <t>无</t>
        </is>
      </c>
      <c r="CN49" t="inlineStr">
        <is>
          <t>无</t>
        </is>
      </c>
      <c r="CO49" t="inlineStr">
        <is>
          <t>无</t>
        </is>
      </c>
      <c r="CP49" t="inlineStr">
        <is>
          <t>无</t>
        </is>
      </c>
      <c r="CQ49" t="inlineStr">
        <is>
          <t>无</t>
        </is>
      </c>
      <c r="CR49" t="inlineStr">
        <is>
          <t>无</t>
        </is>
      </c>
      <c r="CS49" t="inlineStr">
        <is>
          <t>无</t>
        </is>
      </c>
      <c r="CT49" t="inlineStr">
        <is>
          <t>无</t>
        </is>
      </c>
      <c r="CU49" t="inlineStr">
        <is>
          <t>无</t>
        </is>
      </c>
      <c r="CV49" t="inlineStr">
        <is>
          <t>无</t>
        </is>
      </c>
      <c r="CW49" t="inlineStr">
        <is>
          <t>无</t>
        </is>
      </c>
      <c r="CX49" t="inlineStr">
        <is>
          <t>无</t>
        </is>
      </c>
      <c r="CY49" t="inlineStr">
        <is>
          <t>无</t>
        </is>
      </c>
      <c r="CZ49" t="inlineStr">
        <is>
          <t>无</t>
        </is>
      </c>
      <c r="DA49" t="inlineStr">
        <is>
          <t>无</t>
        </is>
      </c>
      <c r="DB49" t="inlineStr">
        <is>
          <t>无</t>
        </is>
      </c>
      <c r="DC49" t="inlineStr">
        <is>
          <t>无</t>
        </is>
      </c>
      <c r="DD49" t="inlineStr">
        <is>
          <t>无</t>
        </is>
      </c>
      <c r="DE49"/>
      <c r="DF49"/>
      <c r="DG49"/>
      <c r="DH49"/>
      <c r="DI49"/>
      <c r="DJ49"/>
      <c r="DK49"/>
      <c r="DL49"/>
      <c r="DM49"/>
      <c r="DN49"/>
      <c r="DO49"/>
      <c r="DP49"/>
      <c r="DQ49"/>
      <c r="DR49"/>
      <c r="DS49"/>
      <c r="DT49"/>
      <c r="DU49"/>
      <c r="DV49"/>
      <c r="DW49"/>
      <c r="DX49"/>
      <c r="DY49"/>
      <c r="DZ49"/>
      <c r="EA49"/>
      <c r="EB49"/>
      <c r="EC49"/>
      <c r="ED49"/>
      <c r="EE49"/>
      <c r="EF49"/>
      <c r="EG49"/>
      <c r="EH49"/>
      <c r="EI49"/>
      <c r="EJ49"/>
    </row>
    <row r="50" ht="25.5" customHeight="1">
      <c r="A50"/>
      <c r="B50" t="inlineStr">
        <is>
          <t>FR</t>
        </is>
      </c>
      <c r="C50" t="inlineStr">
        <is>
          <t>优惠券</t>
        </is>
      </c>
      <c r="D50" t="inlineStr">
        <is>
          <t>0.15</t>
        </is>
      </c>
      <c r="E50" t="inlineStr">
        <is>
          <t>无</t>
        </is>
      </c>
      <c r="F50" t="inlineStr">
        <is>
          <t>无</t>
        </is>
      </c>
      <c r="G50" t="inlineStr">
        <is>
          <t>无</t>
        </is>
      </c>
      <c r="H50" t="inlineStr">
        <is>
          <t>无</t>
        </is>
      </c>
      <c r="I50" t="inlineStr">
        <is>
          <t>无</t>
        </is>
      </c>
      <c r="J50" t="inlineStr">
        <is>
          <t>无</t>
        </is>
      </c>
      <c r="K50" t="inlineStr">
        <is>
          <t>无</t>
        </is>
      </c>
      <c r="L50" t="inlineStr">
        <is>
          <t>无</t>
        </is>
      </c>
      <c r="M50" t="inlineStr">
        <is>
          <t>无</t>
        </is>
      </c>
      <c r="N50" t="inlineStr">
        <is>
          <t>无</t>
        </is>
      </c>
      <c r="O50" t="inlineStr">
        <is>
          <t>无</t>
        </is>
      </c>
      <c r="P50" t="inlineStr">
        <is>
          <t>无</t>
        </is>
      </c>
      <c r="Q50" t="inlineStr">
        <is>
          <t>无</t>
        </is>
      </c>
      <c r="R50" t="inlineStr">
        <is>
          <t>无</t>
        </is>
      </c>
      <c r="S50" t="inlineStr">
        <is>
          <t>无</t>
        </is>
      </c>
      <c r="T50" t="inlineStr">
        <is>
          <t>无</t>
        </is>
      </c>
      <c r="U50" t="inlineStr">
        <is>
          <t>无</t>
        </is>
      </c>
      <c r="V50" t="inlineStr">
        <is>
          <t>无</t>
        </is>
      </c>
      <c r="W50" t="inlineStr">
        <is>
          <t>Discount：1.5€</t>
        </is>
      </c>
      <c r="X50" t="inlineStr">
        <is>
          <t>Discount：1.5€</t>
        </is>
      </c>
      <c r="Y50" t="inlineStr">
        <is>
          <t>Discount：1.5€</t>
        </is>
      </c>
      <c r="Z50" t="inlineStr">
        <is>
          <t>无</t>
        </is>
      </c>
      <c r="AA50" t="inlineStr">
        <is>
          <t>无</t>
        </is>
      </c>
      <c r="AB50" t="inlineStr">
        <is>
          <t>无</t>
        </is>
      </c>
      <c r="AC50" t="inlineStr">
        <is>
          <t>无</t>
        </is>
      </c>
      <c r="AD50" t="inlineStr">
        <is>
          <t>无</t>
        </is>
      </c>
      <c r="AE50" t="inlineStr">
        <is>
          <t>无</t>
        </is>
      </c>
      <c r="AF50" t="inlineStr">
        <is>
          <t>无</t>
        </is>
      </c>
      <c r="AG50" t="inlineStr">
        <is>
          <t>无</t>
        </is>
      </c>
      <c r="AH50" t="inlineStr">
        <is>
          <t>无</t>
        </is>
      </c>
      <c r="AI50" t="inlineStr">
        <is>
          <t>无</t>
        </is>
      </c>
      <c r="AJ50" t="inlineStr">
        <is>
          <t>无</t>
        </is>
      </c>
      <c r="AK50" t="inlineStr">
        <is>
          <t>无</t>
        </is>
      </c>
      <c r="AL50" t="inlineStr">
        <is>
          <t>无</t>
        </is>
      </c>
      <c r="AM50" t="inlineStr">
        <is>
          <t>无</t>
        </is>
      </c>
      <c r="AN50" t="inlineStr">
        <is>
          <t>无</t>
        </is>
      </c>
      <c r="AO50" t="inlineStr">
        <is>
          <t>无</t>
        </is>
      </c>
      <c r="AP50" t="inlineStr">
        <is>
          <t>无</t>
        </is>
      </c>
      <c r="AQ50" t="inlineStr">
        <is>
          <t>无</t>
        </is>
      </c>
      <c r="AR50" t="inlineStr">
        <is>
          <t>无</t>
        </is>
      </c>
      <c r="AS50" t="inlineStr">
        <is>
          <t>无</t>
        </is>
      </c>
      <c r="AT50" t="inlineStr">
        <is>
          <t>无</t>
        </is>
      </c>
      <c r="AU50" t="inlineStr">
        <is>
          <t>无</t>
        </is>
      </c>
      <c r="AV50" t="inlineStr">
        <is>
          <t>无</t>
        </is>
      </c>
      <c r="AW50" t="inlineStr">
        <is>
          <t>无</t>
        </is>
      </c>
      <c r="AX50" t="inlineStr">
        <is>
          <t>无</t>
        </is>
      </c>
      <c r="AY50" t="inlineStr">
        <is>
          <t>无</t>
        </is>
      </c>
      <c r="AZ50" t="inlineStr">
        <is>
          <t>无</t>
        </is>
      </c>
      <c r="BA50" t="inlineStr">
        <is>
          <t>无</t>
        </is>
      </c>
      <c r="BB50" t="inlineStr">
        <is>
          <t>无</t>
        </is>
      </c>
      <c r="BC50" t="inlineStr">
        <is>
          <t>无</t>
        </is>
      </c>
      <c r="BD50" t="inlineStr">
        <is>
          <t>无</t>
        </is>
      </c>
      <c r="BE50" t="inlineStr">
        <is>
          <t>无</t>
        </is>
      </c>
      <c r="BF50" t="inlineStr">
        <is>
          <t>无</t>
        </is>
      </c>
      <c r="BG50" t="inlineStr">
        <is>
          <t>无</t>
        </is>
      </c>
      <c r="BH50" t="inlineStr">
        <is>
          <t>无</t>
        </is>
      </c>
      <c r="BI50" t="inlineStr">
        <is>
          <t>无</t>
        </is>
      </c>
      <c r="BJ50" t="inlineStr">
        <is>
          <t>无</t>
        </is>
      </c>
      <c r="BK50" t="inlineStr">
        <is>
          <t>无</t>
        </is>
      </c>
      <c r="BL50" t="inlineStr">
        <is>
          <t>无</t>
        </is>
      </c>
      <c r="BM50" t="inlineStr">
        <is>
          <t>无</t>
        </is>
      </c>
      <c r="BN50" t="inlineStr">
        <is>
          <t>无</t>
        </is>
      </c>
      <c r="BO50" t="inlineStr">
        <is>
          <t>无</t>
        </is>
      </c>
      <c r="BP50" t="inlineStr">
        <is>
          <t>无</t>
        </is>
      </c>
      <c r="BQ50" t="inlineStr">
        <is>
          <t>无</t>
        </is>
      </c>
      <c r="BR50" t="inlineStr">
        <is>
          <t>无</t>
        </is>
      </c>
      <c r="BS50" t="inlineStr">
        <is>
          <t>无</t>
        </is>
      </c>
      <c r="BT50" t="inlineStr">
        <is>
          <t>无</t>
        </is>
      </c>
      <c r="BU50" t="inlineStr">
        <is>
          <t>无</t>
        </is>
      </c>
      <c r="BV50" t="inlineStr">
        <is>
          <t>无</t>
        </is>
      </c>
      <c r="BW50" t="inlineStr">
        <is>
          <t>无</t>
        </is>
      </c>
      <c r="BX50" t="inlineStr">
        <is>
          <t>无</t>
        </is>
      </c>
      <c r="BY50" t="inlineStr">
        <is>
          <t>无</t>
        </is>
      </c>
      <c r="BZ50" t="inlineStr">
        <is>
          <t>无</t>
        </is>
      </c>
      <c r="CA50" t="inlineStr">
        <is>
          <t>COUPON 5%</t>
        </is>
      </c>
      <c r="CB50" t="inlineStr">
        <is>
          <t>COUPON 5%</t>
        </is>
      </c>
      <c r="CC50" t="inlineStr">
        <is>
          <t xml:space="preserve">COUPON 5% </t>
        </is>
      </c>
      <c r="CD50" t="inlineStr">
        <is>
          <t>COUPON 5%</t>
        </is>
      </c>
      <c r="CE50" t="inlineStr">
        <is>
          <t>COUPON 5%</t>
        </is>
      </c>
      <c r="CF50" t="inlineStr">
        <is>
          <t>COUPON 5%</t>
        </is>
      </c>
      <c r="CG50" t="inlineStr">
        <is>
          <t>COUPON 5%</t>
        </is>
      </c>
      <c r="CH50" t="inlineStr">
        <is>
          <t>COUPON 5%</t>
        </is>
      </c>
      <c r="CI50" t="inlineStr">
        <is>
          <t>COUPON 5%</t>
        </is>
      </c>
      <c r="CJ50" t="inlineStr">
        <is>
          <t>COUPON 5%</t>
        </is>
      </c>
      <c r="CK50" t="inlineStr">
        <is>
          <t>COUPON 5%</t>
        </is>
      </c>
      <c r="CL50" t="inlineStr">
        <is>
          <t>COUPON 5%</t>
        </is>
      </c>
      <c r="CM50" t="inlineStr">
        <is>
          <t>COUPON 5%</t>
        </is>
      </c>
      <c r="CN50" t="inlineStr">
        <is>
          <t>COUPON 5%</t>
        </is>
      </c>
      <c r="CO50" t="inlineStr">
        <is>
          <t>COUPON 5%</t>
        </is>
      </c>
      <c r="CP50" t="inlineStr">
        <is>
          <t>COUPON 5%</t>
        </is>
      </c>
      <c r="CQ50" t="inlineStr">
        <is>
          <t>COUPON 5%</t>
        </is>
      </c>
      <c r="CR50" t="inlineStr">
        <is>
          <t>COUPON 5%</t>
        </is>
      </c>
      <c r="CS50" t="inlineStr">
        <is>
          <t>COUPON 5%</t>
        </is>
      </c>
      <c r="CT50" t="inlineStr">
        <is>
          <t>COUPON 5%</t>
        </is>
      </c>
      <c r="CU50" t="inlineStr">
        <is>
          <t>COUPON 5%</t>
        </is>
      </c>
      <c r="CV50" t="inlineStr">
        <is>
          <t>COUPON 5%</t>
        </is>
      </c>
      <c r="CW50" t="inlineStr">
        <is>
          <t>COUPON 5%</t>
        </is>
      </c>
      <c r="CX50" t="inlineStr">
        <is>
          <t>COUPON 5%</t>
        </is>
      </c>
      <c r="CY50" t="inlineStr">
        <is>
          <t>COUPON 5%</t>
        </is>
      </c>
      <c r="CZ50" t="inlineStr">
        <is>
          <t>COUPON 5%</t>
        </is>
      </c>
      <c r="DA50" t="inlineStr">
        <is>
          <t>COUPON 5%</t>
        </is>
      </c>
      <c r="DB50" t="inlineStr">
        <is>
          <t>COUPON 5%</t>
        </is>
      </c>
      <c r="DC50" t="inlineStr">
        <is>
          <t>COUPON 5%</t>
        </is>
      </c>
      <c r="DD50" t="inlineStr">
        <is>
          <t>COUPON 5%</t>
        </is>
      </c>
      <c r="DE50"/>
      <c r="DF50"/>
      <c r="DG50"/>
      <c r="DH50"/>
      <c r="DI50"/>
      <c r="DJ50"/>
      <c r="DK50"/>
      <c r="DL50"/>
      <c r="DM50"/>
      <c r="DN50"/>
      <c r="DO50"/>
      <c r="DP50"/>
      <c r="DQ50"/>
      <c r="DR50"/>
      <c r="DS50"/>
      <c r="DT50"/>
      <c r="DU50"/>
      <c r="DV50"/>
      <c r="DW50"/>
      <c r="DX50"/>
      <c r="DY50"/>
      <c r="DZ50"/>
      <c r="EA50"/>
      <c r="EB50"/>
      <c r="EC50"/>
      <c r="ED50"/>
      <c r="EE50"/>
      <c r="EF50"/>
      <c r="EG50"/>
      <c r="EH50"/>
      <c r="EI50"/>
      <c r="EJ50"/>
    </row>
    <row r="51" ht="25.5" customHeight="1">
      <c r="A51"/>
      <c r="B51" t="inlineStr">
        <is>
          <t>FR</t>
        </is>
      </c>
      <c r="C51" t="inlineStr">
        <is>
          <t>活动</t>
        </is>
      </c>
      <c r="D51" t="inlineStr">
        <is>
          <t>Funding 2.55，广告2.5，毛利0.43</t>
        </is>
      </c>
      <c r="E51" t="inlineStr">
        <is>
          <t>无</t>
        </is>
      </c>
      <c r="F51" t="inlineStr">
        <is>
          <t>无</t>
        </is>
      </c>
      <c r="G51" t="inlineStr">
        <is>
          <t>无</t>
        </is>
      </c>
      <c r="H51" t="inlineStr">
        <is>
          <t>无</t>
        </is>
      </c>
      <c r="I51" t="inlineStr">
        <is>
          <t>VC BD, Funding 2.5€</t>
        </is>
      </c>
      <c r="J51" t="inlineStr">
        <is>
          <t>VC BD, Funding 2.5€</t>
        </is>
      </c>
      <c r="K51" t="inlineStr">
        <is>
          <t>VC BD, Funding 2.5€</t>
        </is>
      </c>
      <c r="L51" t="inlineStr">
        <is>
          <t>VC BD, Funding 2.5€</t>
        </is>
      </c>
      <c r="M51" t="inlineStr">
        <is>
          <t>VC BD, Funding 2.5€</t>
        </is>
      </c>
      <c r="N51" t="inlineStr">
        <is>
          <t>VC BD, Funding 2.5€</t>
        </is>
      </c>
      <c r="O51" t="inlineStr">
        <is>
          <t>VC BD, Funding 2.5€</t>
        </is>
      </c>
      <c r="P51" t="inlineStr">
        <is>
          <t>VC BD, Funding 2.5€</t>
        </is>
      </c>
      <c r="Q51" t="inlineStr">
        <is>
          <t>VC BD, Funding 2.5€</t>
        </is>
      </c>
      <c r="R51" t="inlineStr">
        <is>
          <t>VC BD, Funding 2.5€</t>
        </is>
      </c>
      <c r="S51" t="inlineStr">
        <is>
          <t>VC BD, Funding 2.5€</t>
        </is>
      </c>
      <c r="T51" t="inlineStr">
        <is>
          <t>VC BD, Funding 2.5€</t>
        </is>
      </c>
      <c r="U51" t="inlineStr">
        <is>
          <t>VC BD;Funding 2.5€</t>
        </is>
      </c>
      <c r="V51" t="inlineStr">
        <is>
          <t>VC BD, Funding 2.5€</t>
        </is>
      </c>
      <c r="W51" t="inlineStr">
        <is>
          <t>无</t>
        </is>
      </c>
      <c r="X51" t="inlineStr">
        <is>
          <t>无</t>
        </is>
      </c>
      <c r="Y51" t="inlineStr">
        <is>
          <t>无</t>
        </is>
      </c>
      <c r="Z51" t="inlineStr">
        <is>
          <t>无</t>
        </is>
      </c>
      <c r="AA51" t="inlineStr">
        <is>
          <t>无</t>
        </is>
      </c>
      <c r="AB51" t="inlineStr">
        <is>
          <t>无</t>
        </is>
      </c>
      <c r="AC51" t="inlineStr">
        <is>
          <t>无</t>
        </is>
      </c>
      <c r="AD51" t="inlineStr">
        <is>
          <t>无</t>
        </is>
      </c>
      <c r="AE51" t="inlineStr">
        <is>
          <t>VC BD, Funding 2.31€</t>
        </is>
      </c>
      <c r="AF51" t="inlineStr">
        <is>
          <t>VC BD, Funding 2.31€</t>
        </is>
      </c>
      <c r="AG51" t="inlineStr">
        <is>
          <t>VC BD, Funding 2.31€</t>
        </is>
      </c>
      <c r="AH51" t="inlineStr">
        <is>
          <t>VC BD, Funding 2.31€</t>
        </is>
      </c>
      <c r="AI51" t="inlineStr">
        <is>
          <t>VC BD, Funding 2.31€</t>
        </is>
      </c>
      <c r="AJ51" t="inlineStr">
        <is>
          <t>VC BD, Funding 2.31€</t>
        </is>
      </c>
      <c r="AK51" t="inlineStr">
        <is>
          <t>VC BD, Funding 2.31€</t>
        </is>
      </c>
      <c r="AL51" t="inlineStr">
        <is>
          <t>VC BD, Funding 2.31€</t>
        </is>
      </c>
      <c r="AM51" t="inlineStr">
        <is>
          <t>VC BD, Funding 2.31€</t>
        </is>
      </c>
      <c r="AN51" t="inlineStr">
        <is>
          <t>VC BD, Funding 2.31€</t>
        </is>
      </c>
      <c r="AO51" t="inlineStr">
        <is>
          <t>VC BD, Funding 2.31€</t>
        </is>
      </c>
      <c r="AP51" t="inlineStr">
        <is>
          <t>VC BD, Funding 2.31€</t>
        </is>
      </c>
      <c r="AQ51" t="inlineStr">
        <is>
          <t>VC BD, Funding 2.31€</t>
        </is>
      </c>
      <c r="AR51" t="inlineStr">
        <is>
          <t>VC BD, Funding 2.31€</t>
        </is>
      </c>
      <c r="AS51" t="inlineStr">
        <is>
          <t>无</t>
        </is>
      </c>
      <c r="AT51" t="inlineStr">
        <is>
          <t>无</t>
        </is>
      </c>
      <c r="AU51" t="inlineStr">
        <is>
          <t>无</t>
        </is>
      </c>
      <c r="AV51" t="inlineStr">
        <is>
          <t>无</t>
        </is>
      </c>
      <c r="AW51" t="inlineStr">
        <is>
          <t>无</t>
        </is>
      </c>
      <c r="AX51" t="inlineStr">
        <is>
          <t>无</t>
        </is>
      </c>
      <c r="AY51" t="inlineStr">
        <is>
          <t>无</t>
        </is>
      </c>
      <c r="AZ51" t="inlineStr">
        <is>
          <t>无</t>
        </is>
      </c>
      <c r="BA51" t="inlineStr">
        <is>
          <t>无</t>
        </is>
      </c>
      <c r="BB51" t="inlineStr">
        <is>
          <t>无</t>
        </is>
      </c>
      <c r="BC51" t="inlineStr">
        <is>
          <t>无</t>
        </is>
      </c>
      <c r="BD51" t="inlineStr">
        <is>
          <t>VC BD, Funding 2.9€(50pcs)</t>
        </is>
      </c>
      <c r="BE51" t="inlineStr">
        <is>
          <t>VC BD, Funding 2.9€(50pcs)</t>
        </is>
      </c>
      <c r="BF51" t="inlineStr">
        <is>
          <t>VC BD, Funding 2.9€(50pcs)</t>
        </is>
      </c>
      <c r="BG51" t="inlineStr">
        <is>
          <t>VC BD, Funding 2.9€(50pcs)</t>
        </is>
      </c>
      <c r="BH51" t="inlineStr">
        <is>
          <t>VC BD, Funding 2.9€(50pcs)</t>
        </is>
      </c>
      <c r="BI51" t="inlineStr">
        <is>
          <t>VC BD, Funding 2.9€(50pcs)</t>
        </is>
      </c>
      <c r="BJ51" t="inlineStr">
        <is>
          <t>VC BD, Funding 2.9€(50pcs)</t>
        </is>
      </c>
      <c r="BK51" t="inlineStr">
        <is>
          <t>VC BD, Funding 2.9€(50pcs)</t>
        </is>
      </c>
      <c r="BL51" t="inlineStr">
        <is>
          <t>VC BD, Funding 2.9€(50pcs)</t>
        </is>
      </c>
      <c r="BM51" t="inlineStr">
        <is>
          <t>VC BD, Funding 2.9€(50pcs)</t>
        </is>
      </c>
      <c r="BN51" t="inlineStr">
        <is>
          <t>VC BD, Funding 2.9€(50pcs)</t>
        </is>
      </c>
      <c r="BO51" t="inlineStr">
        <is>
          <t>VC BD, Funding 2.9€(50pcs)</t>
        </is>
      </c>
      <c r="BP51" t="inlineStr">
        <is>
          <t>VC BD, Funding 2.9€(50pcs)</t>
        </is>
      </c>
      <c r="BQ51" t="inlineStr">
        <is>
          <t>VC BD, Funding 2.9€(50pcs)</t>
        </is>
      </c>
      <c r="BR51" t="inlineStr">
        <is>
          <t>无</t>
        </is>
      </c>
      <c r="BS51" t="inlineStr">
        <is>
          <t>无</t>
        </is>
      </c>
      <c r="BT51" t="inlineStr">
        <is>
          <t>无</t>
        </is>
      </c>
      <c r="BU51" t="inlineStr">
        <is>
          <t>无</t>
        </is>
      </c>
      <c r="BV51" t="inlineStr">
        <is>
          <t>无</t>
        </is>
      </c>
      <c r="BW51" t="inlineStr">
        <is>
          <t>无</t>
        </is>
      </c>
      <c r="BX51" t="inlineStr">
        <is>
          <t>无</t>
        </is>
      </c>
      <c r="BY51" t="inlineStr">
        <is>
          <t>无</t>
        </is>
      </c>
      <c r="BZ51" t="inlineStr">
        <is>
          <t>无</t>
        </is>
      </c>
      <c r="CA51" t="inlineStr">
        <is>
          <t>无</t>
        </is>
      </c>
      <c r="CB51" t="inlineStr">
        <is>
          <t>无</t>
        </is>
      </c>
      <c r="CC51" t="inlineStr">
        <is>
          <t>无</t>
        </is>
      </c>
      <c r="CD51" t="inlineStr">
        <is>
          <t>无</t>
        </is>
      </c>
      <c r="CE51" t="inlineStr">
        <is>
          <t>无</t>
        </is>
      </c>
      <c r="CF51" t="inlineStr">
        <is>
          <t>无</t>
        </is>
      </c>
      <c r="CG51" t="inlineStr">
        <is>
          <t>无</t>
        </is>
      </c>
      <c r="CH51" t="inlineStr">
        <is>
          <t>无</t>
        </is>
      </c>
      <c r="CI51" t="inlineStr">
        <is>
          <t>无</t>
        </is>
      </c>
      <c r="CJ51" t="inlineStr">
        <is>
          <t>无</t>
        </is>
      </c>
      <c r="CK51" t="inlineStr">
        <is>
          <t>无</t>
        </is>
      </c>
      <c r="CL51" t="inlineStr">
        <is>
          <t>无</t>
        </is>
      </c>
      <c r="CM51" t="inlineStr">
        <is>
          <t>无</t>
        </is>
      </c>
      <c r="CN51" t="inlineStr">
        <is>
          <t>无</t>
        </is>
      </c>
      <c r="CO51" t="inlineStr">
        <is>
          <t>无</t>
        </is>
      </c>
      <c r="CP51" t="inlineStr">
        <is>
          <t>无</t>
        </is>
      </c>
      <c r="CQ51" t="inlineStr">
        <is>
          <t>无</t>
        </is>
      </c>
      <c r="CR51" t="inlineStr">
        <is>
          <t>无</t>
        </is>
      </c>
      <c r="CS51" t="inlineStr">
        <is>
          <t>无</t>
        </is>
      </c>
      <c r="CT51" t="inlineStr">
        <is>
          <t>无</t>
        </is>
      </c>
      <c r="CU51" t="inlineStr">
        <is>
          <t>无</t>
        </is>
      </c>
      <c r="CV51" t="inlineStr">
        <is>
          <t>无</t>
        </is>
      </c>
      <c r="CW51" t="inlineStr">
        <is>
          <t>无</t>
        </is>
      </c>
      <c r="CX51" t="inlineStr">
        <is>
          <t>无</t>
        </is>
      </c>
      <c r="CY51" t="inlineStr">
        <is>
          <t>无</t>
        </is>
      </c>
      <c r="CZ51" t="inlineStr">
        <is>
          <t>无</t>
        </is>
      </c>
      <c r="DA51" t="inlineStr">
        <is>
          <t>无</t>
        </is>
      </c>
      <c r="DB51" t="inlineStr">
        <is>
          <t>无</t>
        </is>
      </c>
      <c r="DC51" t="inlineStr">
        <is>
          <t>无</t>
        </is>
      </c>
      <c r="DD51" t="inlineStr">
        <is>
          <t>无</t>
        </is>
      </c>
      <c r="DE51"/>
      <c r="DF51"/>
      <c r="DG51"/>
      <c r="DH51"/>
      <c r="DI51"/>
      <c r="DJ51"/>
      <c r="DK51"/>
      <c r="DL51"/>
      <c r="DM51"/>
      <c r="DN51"/>
      <c r="DO51"/>
      <c r="DP51"/>
      <c r="DQ51"/>
      <c r="DR51"/>
      <c r="DS51"/>
      <c r="DT51"/>
      <c r="DU51"/>
      <c r="DV51"/>
      <c r="DW51"/>
      <c r="DX51"/>
      <c r="DY51"/>
      <c r="DZ51"/>
      <c r="EA51"/>
      <c r="EB51"/>
      <c r="EC51"/>
      <c r="ED51"/>
      <c r="EE51"/>
      <c r="EF51"/>
      <c r="EG51"/>
      <c r="EH51"/>
      <c r="EI51"/>
      <c r="EJ51"/>
    </row>
    <row r="52" ht="25.5" customHeight="1">
      <c r="A52"/>
      <c r="B52" t="inlineStr">
        <is>
          <t>IT</t>
        </is>
      </c>
      <c r="C52" t="inlineStr">
        <is>
          <t>优惠券</t>
        </is>
      </c>
      <c r="D52" t="inlineStr">
        <is>
          <t>0.15</t>
        </is>
      </c>
      <c r="E52" t="inlineStr">
        <is>
          <t>无</t>
        </is>
      </c>
      <c r="F52" t="inlineStr">
        <is>
          <t>无</t>
        </is>
      </c>
      <c r="G52" t="inlineStr">
        <is>
          <t>无</t>
        </is>
      </c>
      <c r="H52" t="inlineStr">
        <is>
          <t>无</t>
        </is>
      </c>
      <c r="I52" t="inlineStr">
        <is>
          <t>无</t>
        </is>
      </c>
      <c r="J52" t="inlineStr">
        <is>
          <t>无</t>
        </is>
      </c>
      <c r="K52" t="inlineStr">
        <is>
          <t>无</t>
        </is>
      </c>
      <c r="L52" t="inlineStr">
        <is>
          <t>无</t>
        </is>
      </c>
      <c r="M52" t="inlineStr">
        <is>
          <t>无</t>
        </is>
      </c>
      <c r="N52" t="inlineStr">
        <is>
          <t>无</t>
        </is>
      </c>
      <c r="O52" t="inlineStr">
        <is>
          <t>无</t>
        </is>
      </c>
      <c r="P52" t="inlineStr">
        <is>
          <t>无</t>
        </is>
      </c>
      <c r="Q52" t="inlineStr">
        <is>
          <t>无</t>
        </is>
      </c>
      <c r="R52" t="inlineStr">
        <is>
          <t>无</t>
        </is>
      </c>
      <c r="S52" t="inlineStr">
        <is>
          <t>无</t>
        </is>
      </c>
      <c r="T52" t="inlineStr">
        <is>
          <t>无</t>
        </is>
      </c>
      <c r="U52" t="inlineStr">
        <is>
          <t>无</t>
        </is>
      </c>
      <c r="V52" t="inlineStr">
        <is>
          <t>无</t>
        </is>
      </c>
      <c r="W52" t="inlineStr">
        <is>
          <t>无</t>
        </is>
      </c>
      <c r="X52" t="inlineStr">
        <is>
          <t>无</t>
        </is>
      </c>
      <c r="Y52" t="inlineStr">
        <is>
          <t>无</t>
        </is>
      </c>
      <c r="Z52" t="inlineStr">
        <is>
          <t>无</t>
        </is>
      </c>
      <c r="AA52" t="inlineStr">
        <is>
          <t>无</t>
        </is>
      </c>
      <c r="AB52" t="inlineStr">
        <is>
          <t>无</t>
        </is>
      </c>
      <c r="AC52" t="inlineStr">
        <is>
          <t>无</t>
        </is>
      </c>
      <c r="AD52" t="inlineStr">
        <is>
          <t>无</t>
        </is>
      </c>
      <c r="AE52" t="inlineStr">
        <is>
          <t>无</t>
        </is>
      </c>
      <c r="AF52" t="inlineStr">
        <is>
          <t>无</t>
        </is>
      </c>
      <c r="AG52" t="inlineStr">
        <is>
          <t>无</t>
        </is>
      </c>
      <c r="AH52" t="inlineStr">
        <is>
          <t>无</t>
        </is>
      </c>
      <c r="AI52" t="inlineStr">
        <is>
          <t>无</t>
        </is>
      </c>
      <c r="AJ52" t="inlineStr">
        <is>
          <t>无</t>
        </is>
      </c>
      <c r="AK52" t="inlineStr">
        <is>
          <t>无</t>
        </is>
      </c>
      <c r="AL52" t="inlineStr">
        <is>
          <t>无</t>
        </is>
      </c>
      <c r="AM52" t="inlineStr">
        <is>
          <t>无</t>
        </is>
      </c>
      <c r="AN52" t="inlineStr">
        <is>
          <t>无</t>
        </is>
      </c>
      <c r="AO52" t="inlineStr">
        <is>
          <t>无</t>
        </is>
      </c>
      <c r="AP52" t="inlineStr">
        <is>
          <t>无</t>
        </is>
      </c>
      <c r="AQ52" t="inlineStr">
        <is>
          <t>无</t>
        </is>
      </c>
      <c r="AR52" t="inlineStr">
        <is>
          <t>无</t>
        </is>
      </c>
      <c r="AS52" t="inlineStr">
        <is>
          <t>无</t>
        </is>
      </c>
      <c r="AT52" t="inlineStr">
        <is>
          <t>无</t>
        </is>
      </c>
      <c r="AU52" t="inlineStr">
        <is>
          <t>无</t>
        </is>
      </c>
      <c r="AV52" t="inlineStr">
        <is>
          <t>无</t>
        </is>
      </c>
      <c r="AW52" t="inlineStr">
        <is>
          <t>无</t>
        </is>
      </c>
      <c r="AX52" t="inlineStr">
        <is>
          <t>无</t>
        </is>
      </c>
      <c r="AY52" t="inlineStr">
        <is>
          <t>无</t>
        </is>
      </c>
      <c r="AZ52" t="inlineStr">
        <is>
          <t>无</t>
        </is>
      </c>
      <c r="BA52" t="inlineStr">
        <is>
          <t>COUPON 25%</t>
        </is>
      </c>
      <c r="BB52"/>
      <c r="BC52"/>
      <c r="BD52"/>
      <c r="BE52"/>
      <c r="BF52"/>
      <c r="BG52"/>
      <c r="BH52"/>
      <c r="BI52" t="inlineStr">
        <is>
          <t>无</t>
        </is>
      </c>
      <c r="BJ52" t="inlineStr">
        <is>
          <t>无</t>
        </is>
      </c>
      <c r="BK52" t="inlineStr">
        <is>
          <t>无</t>
        </is>
      </c>
      <c r="BL52" t="inlineStr">
        <is>
          <t>无</t>
        </is>
      </c>
      <c r="BM52" t="inlineStr">
        <is>
          <t>无</t>
        </is>
      </c>
      <c r="BN52" t="inlineStr">
        <is>
          <t>无</t>
        </is>
      </c>
      <c r="BO52" t="inlineStr">
        <is>
          <t>无</t>
        </is>
      </c>
      <c r="BP52" t="inlineStr">
        <is>
          <t>无</t>
        </is>
      </c>
      <c r="BQ52" t="inlineStr">
        <is>
          <t>无</t>
        </is>
      </c>
      <c r="BR52" t="inlineStr">
        <is>
          <t>无</t>
        </is>
      </c>
      <c r="BS52" t="inlineStr">
        <is>
          <t>无</t>
        </is>
      </c>
      <c r="BT52" t="inlineStr">
        <is>
          <t>无</t>
        </is>
      </c>
      <c r="BU52" t="inlineStr">
        <is>
          <t>无</t>
        </is>
      </c>
      <c r="BV52" t="inlineStr">
        <is>
          <t>无</t>
        </is>
      </c>
      <c r="BW52" t="inlineStr">
        <is>
          <t>无</t>
        </is>
      </c>
      <c r="BX52" t="inlineStr">
        <is>
          <t>无</t>
        </is>
      </c>
      <c r="BY52" t="inlineStr">
        <is>
          <t>无</t>
        </is>
      </c>
      <c r="BZ52" t="inlineStr">
        <is>
          <t>无</t>
        </is>
      </c>
      <c r="CA52" t="inlineStr">
        <is>
          <t>COUPON 5%</t>
        </is>
      </c>
      <c r="CB52" t="inlineStr">
        <is>
          <t>COUPON 5%</t>
        </is>
      </c>
      <c r="CC52" t="inlineStr">
        <is>
          <t xml:space="preserve">COUPON 5% </t>
        </is>
      </c>
      <c r="CD52" t="inlineStr">
        <is>
          <t>COUPON 5%</t>
        </is>
      </c>
      <c r="CE52" t="inlineStr">
        <is>
          <t>COUPON 5%</t>
        </is>
      </c>
      <c r="CF52" t="inlineStr">
        <is>
          <t>COUPON 5%</t>
        </is>
      </c>
      <c r="CG52" t="inlineStr">
        <is>
          <t>COUPON 5%</t>
        </is>
      </c>
      <c r="CH52" t="inlineStr">
        <is>
          <t>COUPON 5%</t>
        </is>
      </c>
      <c r="CI52" t="inlineStr">
        <is>
          <t>COUPON 5%</t>
        </is>
      </c>
      <c r="CJ52" t="inlineStr">
        <is>
          <t>COUPON 5%</t>
        </is>
      </c>
      <c r="CK52" t="inlineStr">
        <is>
          <t>COUPON 5%</t>
        </is>
      </c>
      <c r="CL52" t="inlineStr">
        <is>
          <t>COUPON 5%</t>
        </is>
      </c>
      <c r="CM52" t="inlineStr">
        <is>
          <t>COUPON 5%</t>
        </is>
      </c>
      <c r="CN52" t="inlineStr">
        <is>
          <t>COUPON 5%</t>
        </is>
      </c>
      <c r="CO52" t="inlineStr">
        <is>
          <t>COUPON 5%</t>
        </is>
      </c>
      <c r="CP52" t="inlineStr">
        <is>
          <t>COUPON 5%</t>
        </is>
      </c>
      <c r="CQ52" t="inlineStr">
        <is>
          <t>COUPON 5%</t>
        </is>
      </c>
      <c r="CR52" t="inlineStr">
        <is>
          <t>COUPON 5%</t>
        </is>
      </c>
      <c r="CS52" t="inlineStr">
        <is>
          <t>COUPON 5%</t>
        </is>
      </c>
      <c r="CT52" t="inlineStr">
        <is>
          <t>COUPON 5%</t>
        </is>
      </c>
      <c r="CU52" t="inlineStr">
        <is>
          <t>COUPON 5%</t>
        </is>
      </c>
      <c r="CV52" t="inlineStr">
        <is>
          <t>COUPON 5%</t>
        </is>
      </c>
      <c r="CW52" t="inlineStr">
        <is>
          <t>COUPON 5%</t>
        </is>
      </c>
      <c r="CX52" t="inlineStr">
        <is>
          <t>COUPON 5%</t>
        </is>
      </c>
      <c r="CY52" t="inlineStr">
        <is>
          <t>COUPON 5%</t>
        </is>
      </c>
      <c r="CZ52" t="inlineStr">
        <is>
          <t>COUPON 5%</t>
        </is>
      </c>
      <c r="DA52" t="inlineStr">
        <is>
          <t>COUPON 5%</t>
        </is>
      </c>
      <c r="DB52" t="inlineStr">
        <is>
          <t>COUPON 5%</t>
        </is>
      </c>
      <c r="DC52" t="inlineStr">
        <is>
          <t>COUPON 5%</t>
        </is>
      </c>
      <c r="DD52" t="inlineStr">
        <is>
          <t>COUPON 5%</t>
        </is>
      </c>
      <c r="DE52"/>
      <c r="DF52"/>
      <c r="DG52"/>
      <c r="DH52"/>
      <c r="DI52"/>
      <c r="DJ52"/>
      <c r="DK52"/>
      <c r="DL52"/>
      <c r="DM52"/>
      <c r="DN52"/>
      <c r="DO52"/>
      <c r="DP52"/>
      <c r="DQ52"/>
      <c r="DR52"/>
      <c r="DS52"/>
      <c r="DT52"/>
      <c r="DU52"/>
      <c r="DV52"/>
      <c r="DW52"/>
      <c r="DX52"/>
      <c r="DY52"/>
      <c r="DZ52"/>
      <c r="EA52"/>
      <c r="EB52"/>
      <c r="EC52"/>
      <c r="ED52"/>
      <c r="EE52"/>
      <c r="EF52"/>
      <c r="EG52"/>
      <c r="EH52"/>
      <c r="EI52"/>
      <c r="EJ52"/>
    </row>
    <row r="53" ht="25.5" customHeight="1">
      <c r="A53"/>
      <c r="B53" t="inlineStr">
        <is>
          <t>IT</t>
        </is>
      </c>
      <c r="C53" t="inlineStr">
        <is>
          <t>活动</t>
        </is>
      </c>
      <c r="D53" t="inlineStr">
        <is>
          <t>Funding 2.55，广告2.5，毛利0.59</t>
        </is>
      </c>
      <c r="E53" t="inlineStr">
        <is>
          <t>无</t>
        </is>
      </c>
      <c r="F53" t="inlineStr">
        <is>
          <t>无</t>
        </is>
      </c>
      <c r="G53" t="inlineStr">
        <is>
          <t>无</t>
        </is>
      </c>
      <c r="H53" t="inlineStr">
        <is>
          <t>无</t>
        </is>
      </c>
      <c r="I53" t="inlineStr">
        <is>
          <t>VC BD, Funding 2.69€</t>
        </is>
      </c>
      <c r="J53" t="inlineStr">
        <is>
          <t>VC BD, Funding 2.69€</t>
        </is>
      </c>
      <c r="K53" t="inlineStr">
        <is>
          <t>VC BD, Funding 2.69€</t>
        </is>
      </c>
      <c r="L53" t="inlineStr">
        <is>
          <t>VC BD, Funding 2.69€</t>
        </is>
      </c>
      <c r="M53" t="inlineStr">
        <is>
          <t>VC BD, Funding 2.69€</t>
        </is>
      </c>
      <c r="N53" t="inlineStr">
        <is>
          <t>VC BD, Funding 2.69€</t>
        </is>
      </c>
      <c r="O53" t="inlineStr">
        <is>
          <t>VC BD, Funding 2.69€</t>
        </is>
      </c>
      <c r="P53" t="inlineStr">
        <is>
          <t>VC BD, Funding 2.69€</t>
        </is>
      </c>
      <c r="Q53" t="inlineStr">
        <is>
          <t>VC BD, Funding 2.69€</t>
        </is>
      </c>
      <c r="R53" t="inlineStr">
        <is>
          <t>VC BD, Funding 2.69€</t>
        </is>
      </c>
      <c r="S53" t="inlineStr">
        <is>
          <t>VC BD, Funding 2.69€</t>
        </is>
      </c>
      <c r="T53" t="inlineStr">
        <is>
          <t>VC BD, Funding 2.69€</t>
        </is>
      </c>
      <c r="U53" t="inlineStr">
        <is>
          <t>VC BD;Funding 2.69€</t>
        </is>
      </c>
      <c r="V53" t="inlineStr">
        <is>
          <t>VC BD, Funding 2.69€</t>
        </is>
      </c>
      <c r="W53" t="inlineStr">
        <is>
          <t>VC BD, Funding 2.68€</t>
        </is>
      </c>
      <c r="X53" t="inlineStr">
        <is>
          <t>VC BD, Funding 2.68€</t>
        </is>
      </c>
      <c r="Y53" t="inlineStr">
        <is>
          <t>VC BD, Funding 2.68€</t>
        </is>
      </c>
      <c r="Z53" t="inlineStr">
        <is>
          <t>VC BD, Funding 2.68€</t>
        </is>
      </c>
      <c r="AA53" t="inlineStr">
        <is>
          <t>VC BD, Funding 2.68€</t>
        </is>
      </c>
      <c r="AB53" t="inlineStr">
        <is>
          <t>VC BD, Funding 2.68€</t>
        </is>
      </c>
      <c r="AC53" t="inlineStr">
        <is>
          <t>VC BD, Funding 2.68€</t>
        </is>
      </c>
      <c r="AD53" t="inlineStr">
        <is>
          <t>VC BD, Funding 2.68€</t>
        </is>
      </c>
      <c r="AE53" t="inlineStr">
        <is>
          <t>VC BD, Funding 2.68€</t>
        </is>
      </c>
      <c r="AF53" t="inlineStr">
        <is>
          <t>VC BD, Funding 2.68€</t>
        </is>
      </c>
      <c r="AG53" t="inlineStr">
        <is>
          <t>VC BD, Funding 2.68€</t>
        </is>
      </c>
      <c r="AH53" t="inlineStr">
        <is>
          <t>VC BD, Funding 2.68€</t>
        </is>
      </c>
      <c r="AI53" t="inlineStr">
        <is>
          <t>VC BD, Funding 2.68€</t>
        </is>
      </c>
      <c r="AJ53" t="inlineStr">
        <is>
          <t>VC BD, Funding 2.68€</t>
        </is>
      </c>
      <c r="AK53" t="inlineStr">
        <is>
          <t>无</t>
        </is>
      </c>
      <c r="AL53" t="inlineStr">
        <is>
          <t>无</t>
        </is>
      </c>
      <c r="AM53" t="inlineStr">
        <is>
          <t>VC BD, Funding 2.68€</t>
        </is>
      </c>
      <c r="AN53" t="inlineStr">
        <is>
          <t>VC BD, Funding 2.68€</t>
        </is>
      </c>
      <c r="AO53" t="inlineStr">
        <is>
          <t>VC BD, Funding 2.68€</t>
        </is>
      </c>
      <c r="AP53" t="inlineStr">
        <is>
          <t>VC BD, Funding 2.68€</t>
        </is>
      </c>
      <c r="AQ53" t="inlineStr">
        <is>
          <t>VC BD, Funding 2.68€</t>
        </is>
      </c>
      <c r="AR53" t="inlineStr">
        <is>
          <t>VC BD, Funding 2.68€</t>
        </is>
      </c>
      <c r="AS53" t="inlineStr">
        <is>
          <t>VC BD, Funding 2.68€</t>
        </is>
      </c>
      <c r="AT53" t="inlineStr">
        <is>
          <t>VC BD, Funding 2.68€</t>
        </is>
      </c>
      <c r="AU53" t="inlineStr">
        <is>
          <t>VC BD, Funding 2.68€</t>
        </is>
      </c>
      <c r="AV53" t="inlineStr">
        <is>
          <t>VC BD, Funding 2.68€</t>
        </is>
      </c>
      <c r="AW53" t="inlineStr">
        <is>
          <t>VC BD, Funding 2.68€</t>
        </is>
      </c>
      <c r="AX53" t="inlineStr">
        <is>
          <t>无</t>
        </is>
      </c>
      <c r="AY53" t="inlineStr">
        <is>
          <t>无</t>
        </is>
      </c>
      <c r="AZ53" t="inlineStr">
        <is>
          <t>无</t>
        </is>
      </c>
      <c r="BA53" t="inlineStr">
        <is>
          <t>无</t>
        </is>
      </c>
      <c r="BB53" t="inlineStr">
        <is>
          <t>无</t>
        </is>
      </c>
      <c r="BC53" t="inlineStr">
        <is>
          <t>无</t>
        </is>
      </c>
      <c r="BD53" t="inlineStr">
        <is>
          <t>无</t>
        </is>
      </c>
      <c r="BE53" t="inlineStr">
        <is>
          <t>无</t>
        </is>
      </c>
      <c r="BF53" t="inlineStr">
        <is>
          <t>无</t>
        </is>
      </c>
      <c r="BG53" t="inlineStr">
        <is>
          <t>无</t>
        </is>
      </c>
      <c r="BH53" t="inlineStr">
        <is>
          <t>无</t>
        </is>
      </c>
      <c r="BI53" t="inlineStr">
        <is>
          <t>无</t>
        </is>
      </c>
      <c r="BJ53" t="inlineStr">
        <is>
          <t>无</t>
        </is>
      </c>
      <c r="BK53" t="inlineStr">
        <is>
          <t>无</t>
        </is>
      </c>
      <c r="BL53" t="inlineStr">
        <is>
          <t>无</t>
        </is>
      </c>
      <c r="BM53" t="inlineStr">
        <is>
          <t>无</t>
        </is>
      </c>
      <c r="BN53" t="inlineStr">
        <is>
          <t>无</t>
        </is>
      </c>
      <c r="BO53" t="inlineStr">
        <is>
          <t>无</t>
        </is>
      </c>
      <c r="BP53" t="inlineStr">
        <is>
          <t>无</t>
        </is>
      </c>
      <c r="BQ53" t="inlineStr">
        <is>
          <t>无</t>
        </is>
      </c>
      <c r="BR53" t="inlineStr">
        <is>
          <t>无</t>
        </is>
      </c>
      <c r="BS53" t="inlineStr">
        <is>
          <t>无</t>
        </is>
      </c>
      <c r="BT53" t="inlineStr">
        <is>
          <t>无</t>
        </is>
      </c>
      <c r="BU53" t="inlineStr">
        <is>
          <t>无</t>
        </is>
      </c>
      <c r="BV53" t="inlineStr">
        <is>
          <t>无</t>
        </is>
      </c>
      <c r="BW53" t="inlineStr">
        <is>
          <t>无</t>
        </is>
      </c>
      <c r="BX53" t="inlineStr">
        <is>
          <t>无</t>
        </is>
      </c>
      <c r="BY53" t="inlineStr">
        <is>
          <t>无</t>
        </is>
      </c>
      <c r="BZ53" t="inlineStr">
        <is>
          <t>无</t>
        </is>
      </c>
      <c r="CA53" t="inlineStr">
        <is>
          <t>无</t>
        </is>
      </c>
      <c r="CB53" t="inlineStr">
        <is>
          <t>无</t>
        </is>
      </c>
      <c r="CC53" t="inlineStr">
        <is>
          <t>无</t>
        </is>
      </c>
      <c r="CD53" t="inlineStr">
        <is>
          <t>无</t>
        </is>
      </c>
      <c r="CE53" t="inlineStr">
        <is>
          <t>无</t>
        </is>
      </c>
      <c r="CF53" t="inlineStr">
        <is>
          <t>无</t>
        </is>
      </c>
      <c r="CG53" t="inlineStr">
        <is>
          <t>无</t>
        </is>
      </c>
      <c r="CH53" t="inlineStr">
        <is>
          <t>无</t>
        </is>
      </c>
      <c r="CI53" t="inlineStr">
        <is>
          <t>无</t>
        </is>
      </c>
      <c r="CJ53" t="inlineStr">
        <is>
          <t>无</t>
        </is>
      </c>
      <c r="CK53" t="inlineStr">
        <is>
          <t>无</t>
        </is>
      </c>
      <c r="CL53" t="inlineStr">
        <is>
          <t>无</t>
        </is>
      </c>
      <c r="CM53" t="inlineStr">
        <is>
          <t>无</t>
        </is>
      </c>
      <c r="CN53" t="inlineStr">
        <is>
          <t>无</t>
        </is>
      </c>
      <c r="CO53" t="inlineStr">
        <is>
          <t>无</t>
        </is>
      </c>
      <c r="CP53" t="inlineStr">
        <is>
          <t>无</t>
        </is>
      </c>
      <c r="CQ53" t="inlineStr">
        <is>
          <t>无</t>
        </is>
      </c>
      <c r="CR53" t="inlineStr">
        <is>
          <t>无</t>
        </is>
      </c>
      <c r="CS53" t="inlineStr">
        <is>
          <t>无</t>
        </is>
      </c>
      <c r="CT53" t="inlineStr">
        <is>
          <t>无</t>
        </is>
      </c>
      <c r="CU53" t="inlineStr">
        <is>
          <t>无</t>
        </is>
      </c>
      <c r="CV53" t="inlineStr">
        <is>
          <t>无</t>
        </is>
      </c>
      <c r="CW53" t="inlineStr">
        <is>
          <t>无</t>
        </is>
      </c>
      <c r="CX53" t="inlineStr">
        <is>
          <t>无</t>
        </is>
      </c>
      <c r="CY53" t="inlineStr">
        <is>
          <t>无</t>
        </is>
      </c>
      <c r="CZ53" t="inlineStr">
        <is>
          <t>无</t>
        </is>
      </c>
      <c r="DA53" t="inlineStr">
        <is>
          <t>无</t>
        </is>
      </c>
      <c r="DB53" t="inlineStr">
        <is>
          <t>无</t>
        </is>
      </c>
      <c r="DC53" t="inlineStr">
        <is>
          <t>无</t>
        </is>
      </c>
      <c r="DD53" t="inlineStr">
        <is>
          <t>无</t>
        </is>
      </c>
      <c r="DE53"/>
      <c r="DF53"/>
      <c r="DG53"/>
      <c r="DH53"/>
      <c r="DI53"/>
      <c r="DJ53"/>
      <c r="DK53"/>
      <c r="DL53"/>
      <c r="DM53"/>
      <c r="DN53"/>
      <c r="DO53"/>
      <c r="DP53"/>
      <c r="DQ53"/>
      <c r="DR53"/>
      <c r="DS53"/>
      <c r="DT53"/>
      <c r="DU53"/>
      <c r="DV53"/>
      <c r="DW53"/>
      <c r="DX53"/>
      <c r="DY53"/>
      <c r="DZ53"/>
      <c r="EA53"/>
      <c r="EB53"/>
      <c r="EC53"/>
      <c r="ED53"/>
      <c r="EE53"/>
      <c r="EF53"/>
      <c r="EG53"/>
      <c r="EH53"/>
      <c r="EI53"/>
      <c r="EJ53"/>
    </row>
    <row r="54" ht="25.5" customHeight="1">
      <c r="A54"/>
      <c r="B54" t="inlineStr">
        <is>
          <t>ES</t>
        </is>
      </c>
      <c r="C54" t="inlineStr">
        <is>
          <t>优惠券</t>
        </is>
      </c>
      <c r="D54" t="inlineStr">
        <is>
          <t>0.15</t>
        </is>
      </c>
      <c r="E54" t="inlineStr">
        <is>
          <t>无</t>
        </is>
      </c>
      <c r="F54" t="inlineStr">
        <is>
          <t>无</t>
        </is>
      </c>
      <c r="G54" t="inlineStr">
        <is>
          <t>无</t>
        </is>
      </c>
      <c r="H54" t="inlineStr">
        <is>
          <t>无</t>
        </is>
      </c>
      <c r="I54" t="inlineStr">
        <is>
          <t>无</t>
        </is>
      </c>
      <c r="J54" t="inlineStr">
        <is>
          <t>无</t>
        </is>
      </c>
      <c r="K54" t="inlineStr">
        <is>
          <t>无</t>
        </is>
      </c>
      <c r="L54" t="inlineStr">
        <is>
          <t>无</t>
        </is>
      </c>
      <c r="M54" t="inlineStr">
        <is>
          <t>无</t>
        </is>
      </c>
      <c r="N54" t="inlineStr">
        <is>
          <t>无</t>
        </is>
      </c>
      <c r="O54" t="inlineStr">
        <is>
          <t>无</t>
        </is>
      </c>
      <c r="P54" t="inlineStr">
        <is>
          <t>无</t>
        </is>
      </c>
      <c r="Q54" t="inlineStr">
        <is>
          <t>无</t>
        </is>
      </c>
      <c r="R54" t="inlineStr">
        <is>
          <t>无</t>
        </is>
      </c>
      <c r="S54" t="inlineStr">
        <is>
          <t>无</t>
        </is>
      </c>
      <c r="T54" t="inlineStr">
        <is>
          <t>无</t>
        </is>
      </c>
      <c r="U54" t="inlineStr">
        <is>
          <t>无</t>
        </is>
      </c>
      <c r="V54" t="inlineStr">
        <is>
          <t>无</t>
        </is>
      </c>
      <c r="W54" t="inlineStr">
        <is>
          <t>无</t>
        </is>
      </c>
      <c r="X54" t="inlineStr">
        <is>
          <t>无</t>
        </is>
      </c>
      <c r="Y54" t="inlineStr">
        <is>
          <t>无</t>
        </is>
      </c>
      <c r="Z54" t="inlineStr">
        <is>
          <t>无</t>
        </is>
      </c>
      <c r="AA54" t="inlineStr">
        <is>
          <t>无</t>
        </is>
      </c>
      <c r="AB54" t="inlineStr">
        <is>
          <t>无</t>
        </is>
      </c>
      <c r="AC54" t="inlineStr">
        <is>
          <t>无</t>
        </is>
      </c>
      <c r="AD54" t="inlineStr">
        <is>
          <t>无</t>
        </is>
      </c>
      <c r="AE54" t="inlineStr">
        <is>
          <t>无</t>
        </is>
      </c>
      <c r="AF54" t="inlineStr">
        <is>
          <t>无</t>
        </is>
      </c>
      <c r="AG54" t="inlineStr">
        <is>
          <t>无</t>
        </is>
      </c>
      <c r="AH54" t="inlineStr">
        <is>
          <t>无</t>
        </is>
      </c>
      <c r="AI54" t="inlineStr">
        <is>
          <t>无</t>
        </is>
      </c>
      <c r="AJ54" t="inlineStr">
        <is>
          <t>无</t>
        </is>
      </c>
      <c r="AK54" t="inlineStr">
        <is>
          <t>无</t>
        </is>
      </c>
      <c r="AL54" t="inlineStr">
        <is>
          <t>无</t>
        </is>
      </c>
      <c r="AM54" t="inlineStr">
        <is>
          <t>无</t>
        </is>
      </c>
      <c r="AN54" t="inlineStr">
        <is>
          <t>无</t>
        </is>
      </c>
      <c r="AO54" t="inlineStr">
        <is>
          <t>无</t>
        </is>
      </c>
      <c r="AP54" t="inlineStr">
        <is>
          <t>无</t>
        </is>
      </c>
      <c r="AQ54" t="inlineStr">
        <is>
          <t>无</t>
        </is>
      </c>
      <c r="AR54" t="inlineStr">
        <is>
          <t>无</t>
        </is>
      </c>
      <c r="AS54" t="inlineStr">
        <is>
          <t>无</t>
        </is>
      </c>
      <c r="AT54" t="inlineStr">
        <is>
          <t>无</t>
        </is>
      </c>
      <c r="AU54" t="inlineStr">
        <is>
          <t>无</t>
        </is>
      </c>
      <c r="AV54" t="inlineStr">
        <is>
          <t>无</t>
        </is>
      </c>
      <c r="AW54" t="inlineStr">
        <is>
          <t>无</t>
        </is>
      </c>
      <c r="AX54" t="inlineStr">
        <is>
          <t>无</t>
        </is>
      </c>
      <c r="AY54" t="inlineStr">
        <is>
          <t>无</t>
        </is>
      </c>
      <c r="AZ54" t="inlineStr">
        <is>
          <t>无</t>
        </is>
      </c>
      <c r="BA54" t="inlineStr">
        <is>
          <t>COUPON 8%</t>
        </is>
      </c>
      <c r="BB54" t="inlineStr">
        <is>
          <t>COUPON 8%</t>
        </is>
      </c>
      <c r="BC54" t="inlineStr">
        <is>
          <t>COUPON 8%</t>
        </is>
      </c>
      <c r="BD54" t="inlineStr">
        <is>
          <t>COUPON 8%</t>
        </is>
      </c>
      <c r="BE54" t="inlineStr">
        <is>
          <t>COUPON 8%</t>
        </is>
      </c>
      <c r="BF54" t="inlineStr">
        <is>
          <t>COUPON 8%</t>
        </is>
      </c>
      <c r="BG54" t="inlineStr">
        <is>
          <t>COUPON 8%</t>
        </is>
      </c>
      <c r="BH54" t="inlineStr">
        <is>
          <t>COUPON 8%</t>
        </is>
      </c>
      <c r="BI54" t="inlineStr">
        <is>
          <t>无</t>
        </is>
      </c>
      <c r="BJ54" t="inlineStr">
        <is>
          <t>无</t>
        </is>
      </c>
      <c r="BK54" t="inlineStr">
        <is>
          <t>无</t>
        </is>
      </c>
      <c r="BL54" t="inlineStr">
        <is>
          <t>无</t>
        </is>
      </c>
      <c r="BM54" t="inlineStr">
        <is>
          <t>无</t>
        </is>
      </c>
      <c r="BN54" t="inlineStr">
        <is>
          <t>无</t>
        </is>
      </c>
      <c r="BO54" t="inlineStr">
        <is>
          <t>无</t>
        </is>
      </c>
      <c r="BP54" t="inlineStr">
        <is>
          <t>无</t>
        </is>
      </c>
      <c r="BQ54" t="inlineStr">
        <is>
          <t>无</t>
        </is>
      </c>
      <c r="BR54" t="inlineStr">
        <is>
          <t>无</t>
        </is>
      </c>
      <c r="BS54" t="inlineStr">
        <is>
          <t>无</t>
        </is>
      </c>
      <c r="BT54" t="inlineStr">
        <is>
          <t>无</t>
        </is>
      </c>
      <c r="BU54" t="inlineStr">
        <is>
          <t>无</t>
        </is>
      </c>
      <c r="BV54" t="inlineStr">
        <is>
          <t>无</t>
        </is>
      </c>
      <c r="BW54" t="inlineStr">
        <is>
          <t>无</t>
        </is>
      </c>
      <c r="BX54" t="inlineStr">
        <is>
          <t>无</t>
        </is>
      </c>
      <c r="BY54" t="inlineStr">
        <is>
          <t>无</t>
        </is>
      </c>
      <c r="BZ54" t="inlineStr">
        <is>
          <t>无</t>
        </is>
      </c>
      <c r="CA54" t="inlineStr">
        <is>
          <t>COUPON 5%</t>
        </is>
      </c>
      <c r="CB54" t="inlineStr">
        <is>
          <t>COUPON 5%</t>
        </is>
      </c>
      <c r="CC54" t="inlineStr">
        <is>
          <t xml:space="preserve">COUPON 5% </t>
        </is>
      </c>
      <c r="CD54" t="inlineStr">
        <is>
          <t>COUPON 5%</t>
        </is>
      </c>
      <c r="CE54" t="inlineStr">
        <is>
          <t>COUPON 5%</t>
        </is>
      </c>
      <c r="CF54" t="inlineStr">
        <is>
          <t>COUPON 5%</t>
        </is>
      </c>
      <c r="CG54" t="inlineStr">
        <is>
          <t>COUPON 5%</t>
        </is>
      </c>
      <c r="CH54" t="inlineStr">
        <is>
          <t>COUPON 5%</t>
        </is>
      </c>
      <c r="CI54" t="inlineStr">
        <is>
          <t>COUPON 5%</t>
        </is>
      </c>
      <c r="CJ54" t="inlineStr">
        <is>
          <t>COUPON 5%</t>
        </is>
      </c>
      <c r="CK54" t="inlineStr">
        <is>
          <t>COUPON 5%</t>
        </is>
      </c>
      <c r="CL54" t="inlineStr">
        <is>
          <t>COUPON 5%</t>
        </is>
      </c>
      <c r="CM54" t="inlineStr">
        <is>
          <t>COUPON 5%</t>
        </is>
      </c>
      <c r="CN54" t="inlineStr">
        <is>
          <t>COUPON 5%</t>
        </is>
      </c>
      <c r="CO54" t="inlineStr">
        <is>
          <t>COUPON 5%</t>
        </is>
      </c>
      <c r="CP54" t="inlineStr">
        <is>
          <t>COUPON 5%</t>
        </is>
      </c>
      <c r="CQ54" t="inlineStr">
        <is>
          <t>COUPON 5%</t>
        </is>
      </c>
      <c r="CR54" t="inlineStr">
        <is>
          <t>COUPON 5%</t>
        </is>
      </c>
      <c r="CS54" t="inlineStr">
        <is>
          <t>COUPON 5%</t>
        </is>
      </c>
      <c r="CT54" t="inlineStr">
        <is>
          <t>COUPON 5%</t>
        </is>
      </c>
      <c r="CU54" t="inlineStr">
        <is>
          <t>COUPON 5%</t>
        </is>
      </c>
      <c r="CV54" t="inlineStr">
        <is>
          <t>COUPON 5%</t>
        </is>
      </c>
      <c r="CW54" t="inlineStr">
        <is>
          <t>COUPON 5%</t>
        </is>
      </c>
      <c r="CX54" t="inlineStr">
        <is>
          <t>COUPON 5%</t>
        </is>
      </c>
      <c r="CY54" t="inlineStr">
        <is>
          <t>COUPON 5%</t>
        </is>
      </c>
      <c r="CZ54" t="inlineStr">
        <is>
          <t>COUPON 5%</t>
        </is>
      </c>
      <c r="DA54" t="inlineStr">
        <is>
          <t>COUPON 5%</t>
        </is>
      </c>
      <c r="DB54" t="inlineStr">
        <is>
          <t>COUPON 5%</t>
        </is>
      </c>
      <c r="DC54" t="inlineStr">
        <is>
          <t>COUPON 5%</t>
        </is>
      </c>
      <c r="DD54" t="inlineStr">
        <is>
          <t>COUPON 5%</t>
        </is>
      </c>
      <c r="DE54"/>
      <c r="DF54"/>
      <c r="DG54"/>
      <c r="DH54"/>
      <c r="DI54"/>
      <c r="DJ54"/>
      <c r="DK54"/>
      <c r="DL54"/>
      <c r="DM54"/>
      <c r="DN54"/>
      <c r="DO54"/>
      <c r="DP54"/>
      <c r="DQ54"/>
      <c r="DR54"/>
      <c r="DS54"/>
      <c r="DT54"/>
      <c r="DU54"/>
      <c r="DV54"/>
      <c r="DW54"/>
      <c r="DX54"/>
      <c r="DY54"/>
      <c r="DZ54"/>
      <c r="EA54"/>
      <c r="EB54"/>
      <c r="EC54"/>
      <c r="ED54"/>
      <c r="EE54"/>
      <c r="EF54"/>
      <c r="EG54"/>
      <c r="EH54"/>
      <c r="EI54"/>
      <c r="EJ54"/>
    </row>
    <row r="55" ht="25.5" customHeight="1">
      <c r="A55"/>
      <c r="B55" t="inlineStr">
        <is>
          <t>ES</t>
        </is>
      </c>
      <c r="C55" t="inlineStr">
        <is>
          <t>活动</t>
        </is>
      </c>
      <c r="D55" t="inlineStr">
        <is>
          <t>Funding 2.55，广告2.5，毛利0.8</t>
        </is>
      </c>
      <c r="E55" t="inlineStr">
        <is>
          <t>无</t>
        </is>
      </c>
      <c r="F55" t="inlineStr">
        <is>
          <t>无</t>
        </is>
      </c>
      <c r="G55" t="inlineStr">
        <is>
          <t>无</t>
        </is>
      </c>
      <c r="H55" t="inlineStr">
        <is>
          <t>无</t>
        </is>
      </c>
      <c r="I55" t="inlineStr">
        <is>
          <t>VC BD, Funding 2.48€</t>
        </is>
      </c>
      <c r="J55" t="inlineStr">
        <is>
          <t>VC BD, Funding 2.48€</t>
        </is>
      </c>
      <c r="K55" t="inlineStr">
        <is>
          <t>VC BD, Funding 2.48€</t>
        </is>
      </c>
      <c r="L55" t="inlineStr">
        <is>
          <t>VC BD, Funding 2.48€</t>
        </is>
      </c>
      <c r="M55" t="inlineStr">
        <is>
          <t>VC BD, Funding 2.48€</t>
        </is>
      </c>
      <c r="N55" t="inlineStr">
        <is>
          <t>VC BD, Funding 2.48€</t>
        </is>
      </c>
      <c r="O55" t="inlineStr">
        <is>
          <t>VC BD, Funding 2.48€</t>
        </is>
      </c>
      <c r="P55" t="inlineStr">
        <is>
          <t>VC BD, Funding 2.48€</t>
        </is>
      </c>
      <c r="Q55" t="inlineStr">
        <is>
          <t>VC BD, Funding 2.48€</t>
        </is>
      </c>
      <c r="R55" t="inlineStr">
        <is>
          <t>VC BD, Funding 2.48€</t>
        </is>
      </c>
      <c r="S55" t="inlineStr">
        <is>
          <t>VC BD, Funding 2.48€</t>
        </is>
      </c>
      <c r="T55" t="inlineStr">
        <is>
          <t>VC BD, Funding 2.48€</t>
        </is>
      </c>
      <c r="U55" t="inlineStr">
        <is>
          <t>VC BD;Funding 2.48€</t>
        </is>
      </c>
      <c r="V55" t="inlineStr">
        <is>
          <t>VC BD, Funding 2.48€</t>
        </is>
      </c>
      <c r="W55" t="inlineStr">
        <is>
          <t>无</t>
        </is>
      </c>
      <c r="X55" t="inlineStr">
        <is>
          <t>无</t>
        </is>
      </c>
      <c r="Y55" t="inlineStr">
        <is>
          <t>无</t>
        </is>
      </c>
      <c r="Z55" t="inlineStr">
        <is>
          <t>VM BD:Funding 4.17€（无进度条）</t>
        </is>
      </c>
      <c r="AA55" t="inlineStr">
        <is>
          <t>VM BD:Funding 4.17€（无进度条）</t>
        </is>
      </c>
      <c r="AB55" t="inlineStr">
        <is>
          <t>VM BD:Funding 4.17€（无进度条）</t>
        </is>
      </c>
      <c r="AC55" t="inlineStr">
        <is>
          <t>VM BD:Funding 4.17€（无进度条）</t>
        </is>
      </c>
      <c r="AD55" t="inlineStr">
        <is>
          <t>VM BD:Funding 4.17€（无进度条）</t>
        </is>
      </c>
      <c r="AE55" t="inlineStr">
        <is>
          <t>VM BD:Funding 4.17€（无进度条）</t>
        </is>
      </c>
      <c r="AF55" t="inlineStr">
        <is>
          <t>VM BD:Funding 4.17€（无进度条）</t>
        </is>
      </c>
      <c r="AG55" t="inlineStr">
        <is>
          <t>VM BD:Funding 4.17€（无进度条）</t>
        </is>
      </c>
      <c r="AH55" t="inlineStr">
        <is>
          <t>VM BD:Funding 4.17€（无进度条）</t>
        </is>
      </c>
      <c r="AI55" t="inlineStr">
        <is>
          <t>VM BD:Funding 4.17€（无进度条）</t>
        </is>
      </c>
      <c r="AJ55" t="inlineStr">
        <is>
          <t>VM BD:Funding 4.17€（无进度条）</t>
        </is>
      </c>
      <c r="AK55" t="inlineStr">
        <is>
          <t>VM BD:Funding 4.17€（无进度条）</t>
        </is>
      </c>
      <c r="AL55" t="inlineStr">
        <is>
          <t>VM BD:Funding 4.17€（无进度条）</t>
        </is>
      </c>
      <c r="AM55" t="inlineStr">
        <is>
          <t>VM BD:Funding 4.17€（无进度条）</t>
        </is>
      </c>
      <c r="AN55" t="inlineStr">
        <is>
          <t>COUPON 9%</t>
        </is>
      </c>
      <c r="AO55" t="inlineStr">
        <is>
          <t>COUPON 9%</t>
        </is>
      </c>
      <c r="AP55" t="inlineStr">
        <is>
          <t>COUPON 9%</t>
        </is>
      </c>
      <c r="AQ55" t="inlineStr">
        <is>
          <t>COUPON 9%</t>
        </is>
      </c>
      <c r="AR55" t="inlineStr">
        <is>
          <t>COUPON 9%</t>
        </is>
      </c>
      <c r="AS55" t="inlineStr">
        <is>
          <t>COUPON 9%</t>
        </is>
      </c>
      <c r="AT55" t="inlineStr">
        <is>
          <t>COUPON 9%</t>
        </is>
      </c>
      <c r="AU55" t="inlineStr">
        <is>
          <t>COUPON 9%</t>
        </is>
      </c>
      <c r="AV55" t="inlineStr">
        <is>
          <t>COUPON 9%</t>
        </is>
      </c>
      <c r="AW55" t="inlineStr">
        <is>
          <t>COUPON 9%</t>
        </is>
      </c>
      <c r="AX55" t="inlineStr">
        <is>
          <t>无</t>
        </is>
      </c>
      <c r="AY55" t="inlineStr">
        <is>
          <t>无</t>
        </is>
      </c>
      <c r="AZ55" t="inlineStr">
        <is>
          <t>无</t>
        </is>
      </c>
      <c r="BA55" t="inlineStr">
        <is>
          <t>无</t>
        </is>
      </c>
      <c r="BB55" t="inlineStr">
        <is>
          <t>无</t>
        </is>
      </c>
      <c r="BC55" t="inlineStr">
        <is>
          <t>无</t>
        </is>
      </c>
      <c r="BD55" t="inlineStr">
        <is>
          <t>无</t>
        </is>
      </c>
      <c r="BE55" t="inlineStr">
        <is>
          <t>无</t>
        </is>
      </c>
      <c r="BF55" t="inlineStr">
        <is>
          <t>无</t>
        </is>
      </c>
      <c r="BG55" t="inlineStr">
        <is>
          <t>无</t>
        </is>
      </c>
      <c r="BH55" t="inlineStr">
        <is>
          <t>无</t>
        </is>
      </c>
      <c r="BI55" t="inlineStr">
        <is>
          <t>VC BD, Funding 2.74€(100pcs)</t>
        </is>
      </c>
      <c r="BJ55" t="inlineStr">
        <is>
          <t>VC BD, Funding 2.74€(100pcs)</t>
        </is>
      </c>
      <c r="BK55" t="inlineStr">
        <is>
          <t>VC BD, Funding 2.74€(100pcs)</t>
        </is>
      </c>
      <c r="BL55" t="inlineStr">
        <is>
          <t>VC BD, Funding 2.74€(100pcs)</t>
        </is>
      </c>
      <c r="BM55" t="inlineStr">
        <is>
          <t>VC BD, Funding 2.74€(100pcs)</t>
        </is>
      </c>
      <c r="BN55" t="inlineStr">
        <is>
          <t>VC BD, Funding 2.74€(100pcs)</t>
        </is>
      </c>
      <c r="BO55" t="inlineStr">
        <is>
          <t>VC BD, Funding 2.74€(100pcs)</t>
        </is>
      </c>
      <c r="BP55" t="inlineStr">
        <is>
          <t>VC BD, Funding 2.74€(100pcs)</t>
        </is>
      </c>
      <c r="BQ55" t="inlineStr">
        <is>
          <t>VC BD, Funding 2.74€(100pcs)</t>
        </is>
      </c>
      <c r="BR55" t="inlineStr">
        <is>
          <t>VC BD, Funding 2.74€(100pcs)</t>
        </is>
      </c>
      <c r="BS55" t="inlineStr">
        <is>
          <t>VC BD, Funding 2.74€(100pcs)</t>
        </is>
      </c>
      <c r="BT55" t="inlineStr">
        <is>
          <t>VC BD, Funding 2.74€(100pcs)</t>
        </is>
      </c>
      <c r="BU55" t="inlineStr">
        <is>
          <t>VC BD, Funding 2.74€(100pcs)</t>
        </is>
      </c>
      <c r="BV55" t="inlineStr">
        <is>
          <t>VC BD, Funding 2.74€(100pcs)</t>
        </is>
      </c>
      <c r="BW55" t="inlineStr">
        <is>
          <t>无</t>
        </is>
      </c>
      <c r="BX55" t="inlineStr">
        <is>
          <t>无</t>
        </is>
      </c>
      <c r="BY55" t="inlineStr">
        <is>
          <t>无</t>
        </is>
      </c>
      <c r="BZ55" t="inlineStr">
        <is>
          <t>无</t>
        </is>
      </c>
      <c r="CA55" t="inlineStr">
        <is>
          <t>无</t>
        </is>
      </c>
      <c r="CB55" t="inlineStr">
        <is>
          <t>无</t>
        </is>
      </c>
      <c r="CC55" t="inlineStr">
        <is>
          <t>无</t>
        </is>
      </c>
      <c r="CD55" t="inlineStr">
        <is>
          <t>无</t>
        </is>
      </c>
      <c r="CE55" t="inlineStr">
        <is>
          <t>无</t>
        </is>
      </c>
      <c r="CF55" t="inlineStr">
        <is>
          <t>无</t>
        </is>
      </c>
      <c r="CG55" t="inlineStr">
        <is>
          <t>无</t>
        </is>
      </c>
      <c r="CH55" t="inlineStr">
        <is>
          <t>无</t>
        </is>
      </c>
      <c r="CI55" t="inlineStr">
        <is>
          <t>无</t>
        </is>
      </c>
      <c r="CJ55" t="inlineStr">
        <is>
          <t>无</t>
        </is>
      </c>
      <c r="CK55" t="inlineStr">
        <is>
          <t>无</t>
        </is>
      </c>
      <c r="CL55" t="inlineStr">
        <is>
          <t>无</t>
        </is>
      </c>
      <c r="CM55" t="inlineStr">
        <is>
          <t>无</t>
        </is>
      </c>
      <c r="CN55" t="inlineStr">
        <is>
          <t>无</t>
        </is>
      </c>
      <c r="CO55" t="inlineStr">
        <is>
          <t>无</t>
        </is>
      </c>
      <c r="CP55" t="inlineStr">
        <is>
          <t>无</t>
        </is>
      </c>
      <c r="CQ55" t="inlineStr">
        <is>
          <t>无</t>
        </is>
      </c>
      <c r="CR55" t="inlineStr">
        <is>
          <t>无</t>
        </is>
      </c>
      <c r="CS55" t="inlineStr">
        <is>
          <t>无</t>
        </is>
      </c>
      <c r="CT55" t="inlineStr">
        <is>
          <t>无</t>
        </is>
      </c>
      <c r="CU55" t="inlineStr">
        <is>
          <t>无</t>
        </is>
      </c>
      <c r="CV55" t="inlineStr">
        <is>
          <t>无</t>
        </is>
      </c>
      <c r="CW55" t="inlineStr">
        <is>
          <t>无</t>
        </is>
      </c>
      <c r="CX55" t="inlineStr">
        <is>
          <t>无</t>
        </is>
      </c>
      <c r="CY55" t="inlineStr">
        <is>
          <t>无</t>
        </is>
      </c>
      <c r="CZ55" t="inlineStr">
        <is>
          <t>无</t>
        </is>
      </c>
      <c r="DA55" t="inlineStr">
        <is>
          <t>无</t>
        </is>
      </c>
      <c r="DB55" t="inlineStr">
        <is>
          <t>无</t>
        </is>
      </c>
      <c r="DC55" t="inlineStr">
        <is>
          <t>无</t>
        </is>
      </c>
      <c r="DD55" t="inlineStr">
        <is>
          <t>无</t>
        </is>
      </c>
      <c r="DE55"/>
      <c r="DF55"/>
      <c r="DG55"/>
      <c r="DH55"/>
      <c r="DI55"/>
      <c r="DJ55"/>
      <c r="DK55"/>
      <c r="DL55"/>
      <c r="DM55"/>
      <c r="DN55"/>
      <c r="DO55"/>
      <c r="DP55"/>
      <c r="DQ55"/>
      <c r="DR55"/>
      <c r="DS55"/>
      <c r="DT55"/>
      <c r="DU55"/>
      <c r="DV55"/>
      <c r="DW55"/>
      <c r="DX55"/>
      <c r="DY55"/>
      <c r="DZ55"/>
      <c r="EA55"/>
      <c r="EB55"/>
      <c r="EC55"/>
      <c r="ED55"/>
      <c r="EE55"/>
      <c r="EF55"/>
      <c r="EG55"/>
      <c r="EH55"/>
      <c r="EI55"/>
      <c r="EJ55"/>
    </row>
    <row r="56" ht="25.5" customHeight="1">
      <c r="A56"/>
      <c r="B56" t="inlineStr">
        <is>
          <t>DE</t>
        </is>
      </c>
      <c r="C56" t="inlineStr">
        <is>
          <t>优惠券</t>
        </is>
      </c>
      <c r="D56" t="inlineStr">
        <is>
          <t>0.15</t>
        </is>
      </c>
      <c r="E56" t="inlineStr">
        <is>
          <t>无</t>
        </is>
      </c>
      <c r="F56" t="inlineStr">
        <is>
          <t>无</t>
        </is>
      </c>
      <c r="G56" t="inlineStr">
        <is>
          <t>无</t>
        </is>
      </c>
      <c r="H56" t="inlineStr">
        <is>
          <t>无</t>
        </is>
      </c>
      <c r="I56" t="inlineStr">
        <is>
          <t>无</t>
        </is>
      </c>
      <c r="J56" t="inlineStr">
        <is>
          <t>无</t>
        </is>
      </c>
      <c r="K56" t="inlineStr">
        <is>
          <t>无</t>
        </is>
      </c>
      <c r="L56" t="inlineStr">
        <is>
          <t>无</t>
        </is>
      </c>
      <c r="M56" t="inlineStr">
        <is>
          <t>无</t>
        </is>
      </c>
      <c r="N56" t="inlineStr">
        <is>
          <t>无</t>
        </is>
      </c>
      <c r="O56" t="inlineStr">
        <is>
          <t>无</t>
        </is>
      </c>
      <c r="P56" t="inlineStr">
        <is>
          <t>无</t>
        </is>
      </c>
      <c r="Q56" t="inlineStr">
        <is>
          <t>无</t>
        </is>
      </c>
      <c r="R56" t="inlineStr">
        <is>
          <t>无</t>
        </is>
      </c>
      <c r="S56" t="inlineStr">
        <is>
          <t>无</t>
        </is>
      </c>
      <c r="T56" t="inlineStr">
        <is>
          <t>无</t>
        </is>
      </c>
      <c r="U56" t="inlineStr">
        <is>
          <t>无</t>
        </is>
      </c>
      <c r="V56" t="inlineStr">
        <is>
          <t>无</t>
        </is>
      </c>
      <c r="W56" t="inlineStr">
        <is>
          <t>无</t>
        </is>
      </c>
      <c r="X56" t="inlineStr">
        <is>
          <t>无</t>
        </is>
      </c>
      <c r="Y56" t="inlineStr">
        <is>
          <t>无</t>
        </is>
      </c>
      <c r="Z56" t="inlineStr">
        <is>
          <t>无</t>
        </is>
      </c>
      <c r="AA56" t="inlineStr">
        <is>
          <t>无</t>
        </is>
      </c>
      <c r="AB56" t="inlineStr">
        <is>
          <t>无</t>
        </is>
      </c>
      <c r="AC56" t="inlineStr">
        <is>
          <t>无</t>
        </is>
      </c>
      <c r="AD56" t="inlineStr">
        <is>
          <t>无</t>
        </is>
      </c>
      <c r="AE56" t="inlineStr">
        <is>
          <t>无</t>
        </is>
      </c>
      <c r="AF56" t="inlineStr">
        <is>
          <t>无</t>
        </is>
      </c>
      <c r="AG56" t="inlineStr">
        <is>
          <t>无</t>
        </is>
      </c>
      <c r="AH56" t="inlineStr">
        <is>
          <t>无</t>
        </is>
      </c>
      <c r="AI56" t="inlineStr">
        <is>
          <t>无</t>
        </is>
      </c>
      <c r="AJ56" t="inlineStr">
        <is>
          <t>无</t>
        </is>
      </c>
      <c r="AK56" t="inlineStr">
        <is>
          <t>无</t>
        </is>
      </c>
      <c r="AL56" t="inlineStr">
        <is>
          <t>无</t>
        </is>
      </c>
      <c r="AM56" t="inlineStr">
        <is>
          <t>无</t>
        </is>
      </c>
      <c r="AN56" t="inlineStr">
        <is>
          <t>无</t>
        </is>
      </c>
      <c r="AO56" t="inlineStr">
        <is>
          <t>无</t>
        </is>
      </c>
      <c r="AP56" t="inlineStr">
        <is>
          <t>无</t>
        </is>
      </c>
      <c r="AQ56" t="inlineStr">
        <is>
          <t>无</t>
        </is>
      </c>
      <c r="AR56" t="inlineStr">
        <is>
          <t>无</t>
        </is>
      </c>
      <c r="AS56" t="inlineStr">
        <is>
          <t>无</t>
        </is>
      </c>
      <c r="AT56" t="inlineStr">
        <is>
          <t>无</t>
        </is>
      </c>
      <c r="AU56" t="inlineStr">
        <is>
          <t>无</t>
        </is>
      </c>
      <c r="AV56" t="inlineStr">
        <is>
          <t>无</t>
        </is>
      </c>
      <c r="AW56" t="inlineStr">
        <is>
          <t>无</t>
        </is>
      </c>
      <c r="AX56" t="inlineStr">
        <is>
          <t>无</t>
        </is>
      </c>
      <c r="AY56" t="inlineStr">
        <is>
          <t>无</t>
        </is>
      </c>
      <c r="AZ56" t="inlineStr">
        <is>
          <t>无</t>
        </is>
      </c>
      <c r="BA56" t="inlineStr">
        <is>
          <t>无</t>
        </is>
      </c>
      <c r="BB56" t="inlineStr">
        <is>
          <t>无</t>
        </is>
      </c>
      <c r="BC56" t="inlineStr">
        <is>
          <t>无</t>
        </is>
      </c>
      <c r="BD56" t="inlineStr">
        <is>
          <t>无</t>
        </is>
      </c>
      <c r="BE56" t="inlineStr">
        <is>
          <t>无</t>
        </is>
      </c>
      <c r="BF56" t="inlineStr">
        <is>
          <t>无</t>
        </is>
      </c>
      <c r="BG56" t="inlineStr">
        <is>
          <t>无</t>
        </is>
      </c>
      <c r="BH56" t="inlineStr">
        <is>
          <t>无</t>
        </is>
      </c>
      <c r="BI56" t="inlineStr">
        <is>
          <t>无货</t>
        </is>
      </c>
      <c r="BJ56" t="inlineStr">
        <is>
          <t>无货</t>
        </is>
      </c>
      <c r="BK56" t="inlineStr">
        <is>
          <t>无货</t>
        </is>
      </c>
      <c r="BL56" t="inlineStr">
        <is>
          <t>无货</t>
        </is>
      </c>
      <c r="BM56" t="inlineStr">
        <is>
          <t>无货</t>
        </is>
      </c>
      <c r="BN56" t="inlineStr">
        <is>
          <t>无货</t>
        </is>
      </c>
      <c r="BO56" t="inlineStr">
        <is>
          <t>无货</t>
        </is>
      </c>
      <c r="BP56" t="inlineStr">
        <is>
          <t>无货</t>
        </is>
      </c>
      <c r="BQ56" t="inlineStr">
        <is>
          <t>无货</t>
        </is>
      </c>
      <c r="BR56" t="inlineStr">
        <is>
          <t>无货</t>
        </is>
      </c>
      <c r="BS56" t="inlineStr">
        <is>
          <t>无货</t>
        </is>
      </c>
      <c r="BT56" t="inlineStr">
        <is>
          <t>无货</t>
        </is>
      </c>
      <c r="BU56" t="inlineStr">
        <is>
          <t>无货</t>
        </is>
      </c>
      <c r="BV56" t="inlineStr">
        <is>
          <t>无货</t>
        </is>
      </c>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row>
    <row r="57" ht="25.5" customHeight="1">
      <c r="A57"/>
      <c r="B57" t="inlineStr">
        <is>
          <t>DE</t>
        </is>
      </c>
      <c r="C57" t="inlineStr">
        <is>
          <t>活动</t>
        </is>
      </c>
      <c r="D57" t="inlineStr">
        <is>
          <t>Funding 3，广告2，毛利-0.13</t>
        </is>
      </c>
      <c r="E57" t="inlineStr">
        <is>
          <t>无</t>
        </is>
      </c>
      <c r="F57" t="inlineStr">
        <is>
          <t>无</t>
        </is>
      </c>
      <c r="G57" t="inlineStr">
        <is>
          <t>无</t>
        </is>
      </c>
      <c r="H57" t="inlineStr">
        <is>
          <t>VM提报 BFCM, Funding 4.71€, 无广告预算, 无进度条</t>
        </is>
      </c>
      <c r="I57" t="inlineStr">
        <is>
          <t>VM提报 BFCM, Funding 4.71€, 无广告预算, 无进度条</t>
        </is>
      </c>
      <c r="J57" t="inlineStr">
        <is>
          <t>VM提报 BFCM, Funding 4.71€, 无广告预算, 无进度条</t>
        </is>
      </c>
      <c r="K57" t="inlineStr">
        <is>
          <t>VM提报 BFCM, Funding 4.71€, 无广告预算, 无进度条</t>
        </is>
      </c>
      <c r="L57" t="inlineStr">
        <is>
          <t>VM提报 BFCM, Funding 4.71€, 无广告预算, 无进度条</t>
        </is>
      </c>
      <c r="M57" t="inlineStr">
        <is>
          <t>VM提报 BFCM, Funding 4.71€, 无广告预算, 无进度条</t>
        </is>
      </c>
      <c r="N57" t="inlineStr">
        <is>
          <t>VM提报 BFCM, Funding 4.71€, 无广告预算, 无进度条</t>
        </is>
      </c>
      <c r="O57" t="inlineStr">
        <is>
          <t>VM提报 BFCM, Funding 4.71€, 无广告预算, 无进度条</t>
        </is>
      </c>
      <c r="P57" t="inlineStr">
        <is>
          <t>VM提报 BFCM, Funding 4.71€, 无广告预算, 无进度条</t>
        </is>
      </c>
      <c r="Q57" t="inlineStr">
        <is>
          <t>VM提报 BFCM, Funding 4.71€, 无广告预算, 无进度条</t>
        </is>
      </c>
      <c r="R57" t="inlineStr">
        <is>
          <t>VM提报 BFCM, Funding 4.71€, 无广告预算, 无进度条</t>
        </is>
      </c>
      <c r="S57" t="inlineStr">
        <is>
          <t>VM提报 BFCM, Funding 4.71€, 无广告预算, 无进度条</t>
        </is>
      </c>
      <c r="T57" t="inlineStr">
        <is>
          <t>无</t>
        </is>
      </c>
      <c r="U57" t="inlineStr">
        <is>
          <t>无</t>
        </is>
      </c>
      <c r="V57" t="inlineStr">
        <is>
          <t>无</t>
        </is>
      </c>
      <c r="W57" t="inlineStr">
        <is>
          <t>无</t>
        </is>
      </c>
      <c r="X57" t="inlineStr">
        <is>
          <t>无</t>
        </is>
      </c>
      <c r="Y57" t="inlineStr">
        <is>
          <t>无</t>
        </is>
      </c>
      <c r="Z57" t="inlineStr">
        <is>
          <t>无</t>
        </is>
      </c>
      <c r="AA57" t="inlineStr">
        <is>
          <t>无</t>
        </is>
      </c>
      <c r="AB57" t="inlineStr">
        <is>
          <t>无</t>
        </is>
      </c>
      <c r="AC57" t="inlineStr">
        <is>
          <t>无</t>
        </is>
      </c>
      <c r="AD57" t="inlineStr">
        <is>
          <t>无</t>
        </is>
      </c>
      <c r="AE57" t="inlineStr">
        <is>
          <t>无</t>
        </is>
      </c>
      <c r="AF57" t="inlineStr">
        <is>
          <t>无</t>
        </is>
      </c>
      <c r="AG57" t="inlineStr">
        <is>
          <t>无</t>
        </is>
      </c>
      <c r="AH57" t="inlineStr">
        <is>
          <t>无</t>
        </is>
      </c>
      <c r="AI57" t="inlineStr">
        <is>
          <t>无</t>
        </is>
      </c>
      <c r="AJ57" t="inlineStr">
        <is>
          <t>无</t>
        </is>
      </c>
      <c r="AK57" t="inlineStr">
        <is>
          <t>无</t>
        </is>
      </c>
      <c r="AL57" t="inlineStr">
        <is>
          <t>无</t>
        </is>
      </c>
      <c r="AM57" t="inlineStr">
        <is>
          <t>无</t>
        </is>
      </c>
      <c r="AN57" t="inlineStr">
        <is>
          <t>无</t>
        </is>
      </c>
      <c r="AO57" t="inlineStr">
        <is>
          <t>无</t>
        </is>
      </c>
      <c r="AP57" t="inlineStr">
        <is>
          <t>无</t>
        </is>
      </c>
      <c r="AQ57" t="inlineStr">
        <is>
          <t>无</t>
        </is>
      </c>
      <c r="AR57" t="inlineStr">
        <is>
          <t>无</t>
        </is>
      </c>
      <c r="AS57" t="inlineStr">
        <is>
          <t>无</t>
        </is>
      </c>
      <c r="AT57" t="inlineStr">
        <is>
          <t>无</t>
        </is>
      </c>
      <c r="AU57" t="inlineStr">
        <is>
          <t>无</t>
        </is>
      </c>
      <c r="AV57" t="inlineStr">
        <is>
          <t>无</t>
        </is>
      </c>
      <c r="AW57" t="inlineStr">
        <is>
          <t>无</t>
        </is>
      </c>
      <c r="AX57" t="inlineStr">
        <is>
          <t>无</t>
        </is>
      </c>
      <c r="AY57" t="inlineStr">
        <is>
          <t>无</t>
        </is>
      </c>
      <c r="AZ57" t="inlineStr">
        <is>
          <t>无</t>
        </is>
      </c>
      <c r="BA57" t="inlineStr">
        <is>
          <t>无</t>
        </is>
      </c>
      <c r="BB57" t="inlineStr">
        <is>
          <t>无</t>
        </is>
      </c>
      <c r="BC57" t="inlineStr">
        <is>
          <t>无</t>
        </is>
      </c>
      <c r="BD57" t="inlineStr">
        <is>
          <t>无</t>
        </is>
      </c>
      <c r="BE57" t="inlineStr">
        <is>
          <t>无</t>
        </is>
      </c>
      <c r="BF57" t="inlineStr">
        <is>
          <t>无</t>
        </is>
      </c>
      <c r="BG57" t="inlineStr">
        <is>
          <t>无</t>
        </is>
      </c>
      <c r="BH57" t="inlineStr">
        <is>
          <t>无</t>
        </is>
      </c>
      <c r="BI57" t="inlineStr">
        <is>
          <t>无货</t>
        </is>
      </c>
      <c r="BJ57" t="inlineStr">
        <is>
          <t>无货</t>
        </is>
      </c>
      <c r="BK57" t="inlineStr">
        <is>
          <t>无货</t>
        </is>
      </c>
      <c r="BL57" t="inlineStr">
        <is>
          <t>无货</t>
        </is>
      </c>
      <c r="BM57" t="inlineStr">
        <is>
          <t>无货</t>
        </is>
      </c>
      <c r="BN57" t="inlineStr">
        <is>
          <t>无货</t>
        </is>
      </c>
      <c r="BO57" t="inlineStr">
        <is>
          <t>无货</t>
        </is>
      </c>
      <c r="BP57" t="inlineStr">
        <is>
          <t>无货</t>
        </is>
      </c>
      <c r="BQ57" t="inlineStr">
        <is>
          <t>无货</t>
        </is>
      </c>
      <c r="BR57" t="inlineStr">
        <is>
          <t>无货</t>
        </is>
      </c>
      <c r="BS57" t="inlineStr">
        <is>
          <t>无货</t>
        </is>
      </c>
      <c r="BT57" t="inlineStr">
        <is>
          <t>无货</t>
        </is>
      </c>
      <c r="BU57" t="inlineStr">
        <is>
          <t>无货</t>
        </is>
      </c>
      <c r="BV57" t="inlineStr">
        <is>
          <t>无货</t>
        </is>
      </c>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row>
    <row r="58" ht="25.5" customHeight="1">
      <c r="A58"/>
      <c r="B58" t="inlineStr">
        <is>
          <t>FR</t>
        </is>
      </c>
      <c r="C58" t="inlineStr">
        <is>
          <t>优惠券</t>
        </is>
      </c>
      <c r="D58" t="inlineStr">
        <is>
          <t>0.15</t>
        </is>
      </c>
      <c r="E58" t="inlineStr">
        <is>
          <t>Discount：2.5€, 报错取消</t>
        </is>
      </c>
      <c r="F58" t="inlineStr">
        <is>
          <t>Discount：2.5€, 报错取消</t>
        </is>
      </c>
      <c r="G58" t="inlineStr">
        <is>
          <t>Discount：2.5€, 报错取消</t>
        </is>
      </c>
      <c r="H58" t="inlineStr">
        <is>
          <t>无</t>
        </is>
      </c>
      <c r="I58" t="inlineStr">
        <is>
          <t>无</t>
        </is>
      </c>
      <c r="J58" t="inlineStr">
        <is>
          <t>无</t>
        </is>
      </c>
      <c r="K58" t="inlineStr">
        <is>
          <t>无</t>
        </is>
      </c>
      <c r="L58" t="inlineStr">
        <is>
          <t>无</t>
        </is>
      </c>
      <c r="M58" t="inlineStr">
        <is>
          <t>无</t>
        </is>
      </c>
      <c r="N58" t="inlineStr">
        <is>
          <t>无</t>
        </is>
      </c>
      <c r="O58" t="inlineStr">
        <is>
          <t>无</t>
        </is>
      </c>
      <c r="P58" t="inlineStr">
        <is>
          <t>无</t>
        </is>
      </c>
      <c r="Q58" t="inlineStr">
        <is>
          <t>无</t>
        </is>
      </c>
      <c r="R58" t="inlineStr">
        <is>
          <t>无</t>
        </is>
      </c>
      <c r="S58" t="inlineStr">
        <is>
          <t>无</t>
        </is>
      </c>
      <c r="T58" t="inlineStr">
        <is>
          <t>无</t>
        </is>
      </c>
      <c r="U58" t="inlineStr">
        <is>
          <t>无</t>
        </is>
      </c>
      <c r="V58" t="inlineStr">
        <is>
          <t>无</t>
        </is>
      </c>
      <c r="W58" t="inlineStr">
        <is>
          <t>无</t>
        </is>
      </c>
      <c r="X58" t="inlineStr">
        <is>
          <t>无</t>
        </is>
      </c>
      <c r="Y58" t="inlineStr">
        <is>
          <t>无</t>
        </is>
      </c>
      <c r="Z58" t="inlineStr">
        <is>
          <t>无</t>
        </is>
      </c>
      <c r="AA58" t="inlineStr">
        <is>
          <t>无</t>
        </is>
      </c>
      <c r="AB58" t="inlineStr">
        <is>
          <t>无</t>
        </is>
      </c>
      <c r="AC58" t="inlineStr">
        <is>
          <t>无</t>
        </is>
      </c>
      <c r="AD58" t="inlineStr">
        <is>
          <t>无</t>
        </is>
      </c>
      <c r="AE58" t="inlineStr">
        <is>
          <t>无</t>
        </is>
      </c>
      <c r="AF58" t="inlineStr">
        <is>
          <t>无</t>
        </is>
      </c>
      <c r="AG58" t="inlineStr">
        <is>
          <t>无</t>
        </is>
      </c>
      <c r="AH58" t="inlineStr">
        <is>
          <t>无</t>
        </is>
      </c>
      <c r="AI58" t="inlineStr">
        <is>
          <t>无</t>
        </is>
      </c>
      <c r="AJ58" t="inlineStr">
        <is>
          <t>无</t>
        </is>
      </c>
      <c r="AK58" t="inlineStr">
        <is>
          <t>无</t>
        </is>
      </c>
      <c r="AL58" t="inlineStr">
        <is>
          <t>无</t>
        </is>
      </c>
      <c r="AM58" t="inlineStr">
        <is>
          <t>无</t>
        </is>
      </c>
      <c r="AN58" t="inlineStr">
        <is>
          <t>无</t>
        </is>
      </c>
      <c r="AO58" t="inlineStr">
        <is>
          <t>无</t>
        </is>
      </c>
      <c r="AP58" t="inlineStr">
        <is>
          <t>无</t>
        </is>
      </c>
      <c r="AQ58" t="inlineStr">
        <is>
          <t>无</t>
        </is>
      </c>
      <c r="AR58" t="inlineStr">
        <is>
          <t>无</t>
        </is>
      </c>
      <c r="AS58" t="inlineStr">
        <is>
          <t>无</t>
        </is>
      </c>
      <c r="AT58" t="inlineStr">
        <is>
          <t>无</t>
        </is>
      </c>
      <c r="AU58" t="inlineStr">
        <is>
          <t>无</t>
        </is>
      </c>
      <c r="AV58" t="inlineStr">
        <is>
          <t>无</t>
        </is>
      </c>
      <c r="AW58" t="inlineStr">
        <is>
          <t>无</t>
        </is>
      </c>
      <c r="AX58" t="inlineStr">
        <is>
          <t>无</t>
        </is>
      </c>
      <c r="AY58" t="inlineStr">
        <is>
          <t>无</t>
        </is>
      </c>
      <c r="AZ58" t="inlineStr">
        <is>
          <t>无</t>
        </is>
      </c>
      <c r="BA58" t="inlineStr">
        <is>
          <t>无</t>
        </is>
      </c>
      <c r="BB58" t="inlineStr">
        <is>
          <t>无</t>
        </is>
      </c>
      <c r="BC58" t="inlineStr">
        <is>
          <t>无</t>
        </is>
      </c>
      <c r="BD58" t="inlineStr">
        <is>
          <t>无</t>
        </is>
      </c>
      <c r="BE58" t="inlineStr">
        <is>
          <t>无</t>
        </is>
      </c>
      <c r="BF58" t="inlineStr">
        <is>
          <t>无</t>
        </is>
      </c>
      <c r="BG58" t="inlineStr">
        <is>
          <t>无</t>
        </is>
      </c>
      <c r="BH58" t="inlineStr">
        <is>
          <t>无</t>
        </is>
      </c>
      <c r="BI58" t="inlineStr">
        <is>
          <t>无货</t>
        </is>
      </c>
      <c r="BJ58" t="inlineStr">
        <is>
          <t>无货</t>
        </is>
      </c>
      <c r="BK58" t="inlineStr">
        <is>
          <t>无货</t>
        </is>
      </c>
      <c r="BL58" t="inlineStr">
        <is>
          <t>无货</t>
        </is>
      </c>
      <c r="BM58" t="inlineStr">
        <is>
          <t>无货</t>
        </is>
      </c>
      <c r="BN58" t="inlineStr">
        <is>
          <t>无货</t>
        </is>
      </c>
      <c r="BO58" t="inlineStr">
        <is>
          <t>无货</t>
        </is>
      </c>
      <c r="BP58" t="inlineStr">
        <is>
          <t>无货</t>
        </is>
      </c>
      <c r="BQ58" t="inlineStr">
        <is>
          <t>无货</t>
        </is>
      </c>
      <c r="BR58" t="inlineStr">
        <is>
          <t>无货</t>
        </is>
      </c>
      <c r="BS58" t="inlineStr">
        <is>
          <t>无货</t>
        </is>
      </c>
      <c r="BT58" t="inlineStr">
        <is>
          <t>无货</t>
        </is>
      </c>
      <c r="BU58" t="inlineStr">
        <is>
          <t>无货</t>
        </is>
      </c>
      <c r="BV58" t="inlineStr">
        <is>
          <t>无货</t>
        </is>
      </c>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row>
    <row r="59" ht="25.5" customHeight="1">
      <c r="A59"/>
      <c r="B59" t="inlineStr">
        <is>
          <t>FR</t>
        </is>
      </c>
      <c r="C59" t="inlineStr">
        <is>
          <t>活动</t>
        </is>
      </c>
      <c r="D59" t="inlineStr">
        <is>
          <t>Funding 3，广告2，毛利-0.65</t>
        </is>
      </c>
      <c r="E59" t="inlineStr">
        <is>
          <t>无</t>
        </is>
      </c>
      <c r="F59" t="inlineStr">
        <is>
          <t>无</t>
        </is>
      </c>
      <c r="G59" t="inlineStr">
        <is>
          <t>无</t>
        </is>
      </c>
      <c r="H59" t="inlineStr">
        <is>
          <t>VC Price discount:Funding 3.34€</t>
        </is>
      </c>
      <c r="I59" t="inlineStr">
        <is>
          <t>VC Price discount:Funding 3.34€</t>
        </is>
      </c>
      <c r="J59" t="inlineStr">
        <is>
          <t>VC Price discount:Funding 3.34€</t>
        </is>
      </c>
      <c r="K59" t="inlineStr">
        <is>
          <t>VC Price discount:Funding 3.34€</t>
        </is>
      </c>
      <c r="L59" t="inlineStr">
        <is>
          <t>VC Price discount:Funding 3.34€</t>
        </is>
      </c>
      <c r="M59" t="inlineStr">
        <is>
          <t>VC Price discount:Funding 3.34€</t>
        </is>
      </c>
      <c r="N59" t="inlineStr">
        <is>
          <t>VC Price discount:Funding 3.34€</t>
        </is>
      </c>
      <c r="O59" t="inlineStr">
        <is>
          <t>VC Price discount:Funding 3.34€</t>
        </is>
      </c>
      <c r="P59" t="inlineStr">
        <is>
          <t>VC Price discount:Funding 3.34€</t>
        </is>
      </c>
      <c r="Q59" t="inlineStr">
        <is>
          <t>VC Price discount:Funding 3.34€</t>
        </is>
      </c>
      <c r="R59" t="inlineStr">
        <is>
          <t>VC Price discount:Funding 3.34€</t>
        </is>
      </c>
      <c r="S59" t="inlineStr">
        <is>
          <t>VC Price discount:Funding 3.34€</t>
        </is>
      </c>
      <c r="T59" t="inlineStr">
        <is>
          <t>无</t>
        </is>
      </c>
      <c r="U59" t="inlineStr">
        <is>
          <t>VC BD;Funding 2.5€；</t>
        </is>
      </c>
      <c r="V59" t="inlineStr">
        <is>
          <t>VC BD, Funding 2.5€</t>
        </is>
      </c>
      <c r="W59" t="inlineStr">
        <is>
          <t>VC BD, Funding 2.5€</t>
        </is>
      </c>
      <c r="X59" t="inlineStr">
        <is>
          <t>VC BD, Funding 2.5€</t>
        </is>
      </c>
      <c r="Y59" t="inlineStr">
        <is>
          <t>VC BD, Funding 2.5€</t>
        </is>
      </c>
      <c r="Z59" t="inlineStr">
        <is>
          <t>VC BD, Funding 2.5€</t>
        </is>
      </c>
      <c r="AA59" t="inlineStr">
        <is>
          <t>VC BD, Funding 2.5€</t>
        </is>
      </c>
      <c r="AB59" t="inlineStr">
        <is>
          <t>VC BD, Funding 2.5€</t>
        </is>
      </c>
      <c r="AC59" t="inlineStr">
        <is>
          <t>VC BD, Funding 2.5€</t>
        </is>
      </c>
      <c r="AD59" t="inlineStr">
        <is>
          <t>VC BD, Funding 2.5€</t>
        </is>
      </c>
      <c r="AE59" t="inlineStr">
        <is>
          <t>VC BD, Funding 2.5€</t>
        </is>
      </c>
      <c r="AF59" t="inlineStr">
        <is>
          <t>VC BD, Funding 2.5€</t>
        </is>
      </c>
      <c r="AG59" t="inlineStr">
        <is>
          <t>VC BD, Funding 2.5€</t>
        </is>
      </c>
      <c r="AH59" t="inlineStr">
        <is>
          <t>VC BD, Funding 2.5€</t>
        </is>
      </c>
      <c r="AI59" t="inlineStr">
        <is>
          <t>无</t>
        </is>
      </c>
      <c r="AJ59" t="inlineStr">
        <is>
          <t>无</t>
        </is>
      </c>
      <c r="AK59" t="inlineStr">
        <is>
          <t>无</t>
        </is>
      </c>
      <c r="AL59" t="inlineStr">
        <is>
          <t>无</t>
        </is>
      </c>
      <c r="AM59" t="inlineStr">
        <is>
          <t>无</t>
        </is>
      </c>
      <c r="AN59" t="inlineStr">
        <is>
          <t>无</t>
        </is>
      </c>
      <c r="AO59" t="inlineStr">
        <is>
          <t>无</t>
        </is>
      </c>
      <c r="AP59" t="inlineStr">
        <is>
          <t>无</t>
        </is>
      </c>
      <c r="AQ59" t="inlineStr">
        <is>
          <t>无</t>
        </is>
      </c>
      <c r="AR59" t="inlineStr">
        <is>
          <t>无</t>
        </is>
      </c>
      <c r="AS59" t="inlineStr">
        <is>
          <t>无</t>
        </is>
      </c>
      <c r="AT59" t="inlineStr">
        <is>
          <t>无</t>
        </is>
      </c>
      <c r="AU59" t="inlineStr">
        <is>
          <t>无</t>
        </is>
      </c>
      <c r="AV59" t="inlineStr">
        <is>
          <t>无</t>
        </is>
      </c>
      <c r="AW59" t="inlineStr">
        <is>
          <t>无</t>
        </is>
      </c>
      <c r="AX59" t="inlineStr">
        <is>
          <t>无</t>
        </is>
      </c>
      <c r="AY59" t="inlineStr">
        <is>
          <t>无</t>
        </is>
      </c>
      <c r="AZ59" t="inlineStr">
        <is>
          <t>无</t>
        </is>
      </c>
      <c r="BA59" t="inlineStr">
        <is>
          <t>无</t>
        </is>
      </c>
      <c r="BB59" t="inlineStr">
        <is>
          <t>无</t>
        </is>
      </c>
      <c r="BC59" t="inlineStr">
        <is>
          <t>无</t>
        </is>
      </c>
      <c r="BD59" t="inlineStr">
        <is>
          <t>无</t>
        </is>
      </c>
      <c r="BE59" t="inlineStr">
        <is>
          <t>无</t>
        </is>
      </c>
      <c r="BF59" t="inlineStr">
        <is>
          <t>无</t>
        </is>
      </c>
      <c r="BG59" t="inlineStr">
        <is>
          <t>无</t>
        </is>
      </c>
      <c r="BH59" t="inlineStr">
        <is>
          <t>无</t>
        </is>
      </c>
      <c r="BI59" t="inlineStr">
        <is>
          <t>无货</t>
        </is>
      </c>
      <c r="BJ59" t="inlineStr">
        <is>
          <t>无货</t>
        </is>
      </c>
      <c r="BK59" t="inlineStr">
        <is>
          <t>无货</t>
        </is>
      </c>
      <c r="BL59" t="inlineStr">
        <is>
          <t>无货</t>
        </is>
      </c>
      <c r="BM59" t="inlineStr">
        <is>
          <t>无货</t>
        </is>
      </c>
      <c r="BN59" t="inlineStr">
        <is>
          <t>无货</t>
        </is>
      </c>
      <c r="BO59" t="inlineStr">
        <is>
          <t>无货</t>
        </is>
      </c>
      <c r="BP59" t="inlineStr">
        <is>
          <t>无货</t>
        </is>
      </c>
      <c r="BQ59" t="inlineStr">
        <is>
          <t>无货</t>
        </is>
      </c>
      <c r="BR59" t="inlineStr">
        <is>
          <t>无货</t>
        </is>
      </c>
      <c r="BS59" t="inlineStr">
        <is>
          <t>无货</t>
        </is>
      </c>
      <c r="BT59" t="inlineStr">
        <is>
          <t>无货</t>
        </is>
      </c>
      <c r="BU59" t="inlineStr">
        <is>
          <t>无货</t>
        </is>
      </c>
      <c r="BV59" t="inlineStr">
        <is>
          <t>无货</t>
        </is>
      </c>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row>
    <row r="60" ht="25.5" customHeight="1">
      <c r="A60"/>
      <c r="B60" t="inlineStr">
        <is>
          <t>IT</t>
        </is>
      </c>
      <c r="C60" t="inlineStr">
        <is>
          <t>优惠券</t>
        </is>
      </c>
      <c r="D60" t="inlineStr">
        <is>
          <t>0.15</t>
        </is>
      </c>
      <c r="E60" t="inlineStr">
        <is>
          <t>无</t>
        </is>
      </c>
      <c r="F60" t="inlineStr">
        <is>
          <t>无</t>
        </is>
      </c>
      <c r="G60" t="inlineStr">
        <is>
          <t>无</t>
        </is>
      </c>
      <c r="H60" t="inlineStr">
        <is>
          <t>无</t>
        </is>
      </c>
      <c r="I60" t="inlineStr">
        <is>
          <t>无</t>
        </is>
      </c>
      <c r="J60" t="inlineStr">
        <is>
          <t>无</t>
        </is>
      </c>
      <c r="K60" t="inlineStr">
        <is>
          <t>无</t>
        </is>
      </c>
      <c r="L60" t="inlineStr">
        <is>
          <t>无</t>
        </is>
      </c>
      <c r="M60" t="inlineStr">
        <is>
          <t>无</t>
        </is>
      </c>
      <c r="N60" t="inlineStr">
        <is>
          <t>无</t>
        </is>
      </c>
      <c r="O60" t="inlineStr">
        <is>
          <t>无</t>
        </is>
      </c>
      <c r="P60" t="inlineStr">
        <is>
          <t>无</t>
        </is>
      </c>
      <c r="Q60" t="inlineStr">
        <is>
          <t>无</t>
        </is>
      </c>
      <c r="R60" t="inlineStr">
        <is>
          <t>无</t>
        </is>
      </c>
      <c r="S60" t="inlineStr">
        <is>
          <t>无</t>
        </is>
      </c>
      <c r="T60" t="inlineStr">
        <is>
          <t>Discount：15%</t>
        </is>
      </c>
      <c r="U60" t="inlineStr">
        <is>
          <t>Discount：15%</t>
        </is>
      </c>
      <c r="V60" t="inlineStr">
        <is>
          <t>Discount：15%</t>
        </is>
      </c>
      <c r="W60" t="inlineStr">
        <is>
          <t>Discount：15%</t>
        </is>
      </c>
      <c r="X60" t="inlineStr">
        <is>
          <t>Discount：15%</t>
        </is>
      </c>
      <c r="Y60" t="inlineStr">
        <is>
          <t>Discount：15%</t>
        </is>
      </c>
      <c r="Z60" t="inlineStr">
        <is>
          <t>无</t>
        </is>
      </c>
      <c r="AA60" t="inlineStr">
        <is>
          <t>无</t>
        </is>
      </c>
      <c r="AB60" t="inlineStr">
        <is>
          <t>Discount：12%</t>
        </is>
      </c>
      <c r="AC60" t="inlineStr">
        <is>
          <t>Discount：12%</t>
        </is>
      </c>
      <c r="AD60" t="inlineStr">
        <is>
          <t>Discount：12%</t>
        </is>
      </c>
      <c r="AE60" t="inlineStr">
        <is>
          <t>无</t>
        </is>
      </c>
      <c r="AF60" t="inlineStr">
        <is>
          <t>无</t>
        </is>
      </c>
      <c r="AG60" t="inlineStr">
        <is>
          <t>无</t>
        </is>
      </c>
      <c r="AH60" t="inlineStr">
        <is>
          <t>无</t>
        </is>
      </c>
      <c r="AI60" t="inlineStr">
        <is>
          <t>无</t>
        </is>
      </c>
      <c r="AJ60" t="inlineStr">
        <is>
          <t>无</t>
        </is>
      </c>
      <c r="AK60" t="inlineStr">
        <is>
          <t>无</t>
        </is>
      </c>
      <c r="AL60" t="inlineStr">
        <is>
          <t>无</t>
        </is>
      </c>
      <c r="AM60" t="inlineStr">
        <is>
          <t>无</t>
        </is>
      </c>
      <c r="AN60" t="inlineStr">
        <is>
          <t>无</t>
        </is>
      </c>
      <c r="AO60" t="inlineStr">
        <is>
          <t>无</t>
        </is>
      </c>
      <c r="AP60" t="inlineStr">
        <is>
          <t>无</t>
        </is>
      </c>
      <c r="AQ60" t="inlineStr">
        <is>
          <t>无</t>
        </is>
      </c>
      <c r="AR60" t="inlineStr">
        <is>
          <t>无</t>
        </is>
      </c>
      <c r="AS60" t="inlineStr">
        <is>
          <t>无</t>
        </is>
      </c>
      <c r="AT60" t="inlineStr">
        <is>
          <t>无</t>
        </is>
      </c>
      <c r="AU60" t="inlineStr">
        <is>
          <t>无</t>
        </is>
      </c>
      <c r="AV60" t="inlineStr">
        <is>
          <t>无</t>
        </is>
      </c>
      <c r="AW60" t="inlineStr">
        <is>
          <t>无</t>
        </is>
      </c>
      <c r="AX60" t="inlineStr">
        <is>
          <t>无</t>
        </is>
      </c>
      <c r="AY60" t="inlineStr">
        <is>
          <t>无</t>
        </is>
      </c>
      <c r="AZ60" t="inlineStr">
        <is>
          <t>无</t>
        </is>
      </c>
      <c r="BA60" t="inlineStr">
        <is>
          <t>无</t>
        </is>
      </c>
      <c r="BB60" t="inlineStr">
        <is>
          <t>无</t>
        </is>
      </c>
      <c r="BC60" t="inlineStr">
        <is>
          <t>无</t>
        </is>
      </c>
      <c r="BD60" t="inlineStr">
        <is>
          <t>无</t>
        </is>
      </c>
      <c r="BE60" t="inlineStr">
        <is>
          <t>无</t>
        </is>
      </c>
      <c r="BF60" t="inlineStr">
        <is>
          <t>无</t>
        </is>
      </c>
      <c r="BG60" t="inlineStr">
        <is>
          <t>无</t>
        </is>
      </c>
      <c r="BH60" t="inlineStr">
        <is>
          <t>无</t>
        </is>
      </c>
      <c r="BI60" t="inlineStr">
        <is>
          <t>无货</t>
        </is>
      </c>
      <c r="BJ60" t="inlineStr">
        <is>
          <t>无货</t>
        </is>
      </c>
      <c r="BK60" t="inlineStr">
        <is>
          <t>无货</t>
        </is>
      </c>
      <c r="BL60" t="inlineStr">
        <is>
          <t>无货</t>
        </is>
      </c>
      <c r="BM60" t="inlineStr">
        <is>
          <t>无货</t>
        </is>
      </c>
      <c r="BN60" t="inlineStr">
        <is>
          <t>无货</t>
        </is>
      </c>
      <c r="BO60" t="inlineStr">
        <is>
          <t>无货</t>
        </is>
      </c>
      <c r="BP60" t="inlineStr">
        <is>
          <t>无货</t>
        </is>
      </c>
      <c r="BQ60" t="inlineStr">
        <is>
          <t>无货</t>
        </is>
      </c>
      <c r="BR60" t="inlineStr">
        <is>
          <t>无货</t>
        </is>
      </c>
      <c r="BS60" t="inlineStr">
        <is>
          <t>无货</t>
        </is>
      </c>
      <c r="BT60" t="inlineStr">
        <is>
          <t>无货</t>
        </is>
      </c>
      <c r="BU60" t="inlineStr">
        <is>
          <t>无货</t>
        </is>
      </c>
      <c r="BV60" t="inlineStr">
        <is>
          <t>无货</t>
        </is>
      </c>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row>
    <row r="61" ht="25.5" customHeight="1">
      <c r="A61"/>
      <c r="B61" t="inlineStr">
        <is>
          <t>IT</t>
        </is>
      </c>
      <c r="C61" t="inlineStr">
        <is>
          <t>活动</t>
        </is>
      </c>
      <c r="D61" t="inlineStr">
        <is>
          <t>Funding 3，广告2，毛利-0.48</t>
        </is>
      </c>
      <c r="E61" t="inlineStr">
        <is>
          <t>无</t>
        </is>
      </c>
      <c r="F61" t="inlineStr">
        <is>
          <t>无</t>
        </is>
      </c>
      <c r="G61" t="inlineStr">
        <is>
          <t>无</t>
        </is>
      </c>
      <c r="H61" t="inlineStr">
        <is>
          <t>VC Price discount:Funding 2.46€</t>
        </is>
      </c>
      <c r="I61" t="inlineStr">
        <is>
          <t>VC Price discount:Funding 2.46€</t>
        </is>
      </c>
      <c r="J61" t="inlineStr">
        <is>
          <t>VC Price discount:Funding 2.46€</t>
        </is>
      </c>
      <c r="K61" t="inlineStr">
        <is>
          <t>VC Price discount:Funding 2.46€</t>
        </is>
      </c>
      <c r="L61" t="inlineStr">
        <is>
          <t>VC Price discount:Funding 2.46€</t>
        </is>
      </c>
      <c r="M61" t="inlineStr">
        <is>
          <t>VC Price discount:Funding 2.46€</t>
        </is>
      </c>
      <c r="N61" t="inlineStr">
        <is>
          <t>VC Price discount:Funding 2.46€</t>
        </is>
      </c>
      <c r="O61" t="inlineStr">
        <is>
          <t>VC Price discount:Funding 2.46€</t>
        </is>
      </c>
      <c r="P61" t="inlineStr">
        <is>
          <t>VC Price discount:Funding 2.46€</t>
        </is>
      </c>
      <c r="Q61" t="inlineStr">
        <is>
          <t>VC Price discount:Funding 2.46€</t>
        </is>
      </c>
      <c r="R61" t="inlineStr">
        <is>
          <t>VC Price discount:Funding 2.46€</t>
        </is>
      </c>
      <c r="S61" t="inlineStr">
        <is>
          <t>VC Price discount:Funding 2.46€</t>
        </is>
      </c>
      <c r="T61" t="inlineStr">
        <is>
          <t>无</t>
        </is>
      </c>
      <c r="U61" t="inlineStr">
        <is>
          <t>无</t>
        </is>
      </c>
      <c r="V61" t="inlineStr">
        <is>
          <t>无</t>
        </is>
      </c>
      <c r="W61" t="inlineStr">
        <is>
          <t>无</t>
        </is>
      </c>
      <c r="X61" t="inlineStr">
        <is>
          <t>无</t>
        </is>
      </c>
      <c r="Y61" t="inlineStr">
        <is>
          <t>无</t>
        </is>
      </c>
      <c r="Z61" t="inlineStr">
        <is>
          <t>无</t>
        </is>
      </c>
      <c r="AA61" t="inlineStr">
        <is>
          <t>无</t>
        </is>
      </c>
      <c r="AB61" t="inlineStr">
        <is>
          <t>无</t>
        </is>
      </c>
      <c r="AC61" t="inlineStr">
        <is>
          <t>无</t>
        </is>
      </c>
      <c r="AD61" t="inlineStr">
        <is>
          <t>无</t>
        </is>
      </c>
      <c r="AE61" t="inlineStr">
        <is>
          <t>VC BD, Funding 2.46€</t>
        </is>
      </c>
      <c r="AF61" t="inlineStr">
        <is>
          <t>VC BD, Funding 2.46€</t>
        </is>
      </c>
      <c r="AG61" t="inlineStr">
        <is>
          <t>VC BD, Funding 2.46€</t>
        </is>
      </c>
      <c r="AH61" t="inlineStr">
        <is>
          <t>VC BD, Funding 2.46€</t>
        </is>
      </c>
      <c r="AI61" t="inlineStr">
        <is>
          <t>VC BD, Funding 2.46€</t>
        </is>
      </c>
      <c r="AJ61" t="inlineStr">
        <is>
          <t>VC BD, Funding 2.46€</t>
        </is>
      </c>
      <c r="AK61" t="inlineStr">
        <is>
          <t>VC BD, Funding 2.46€</t>
        </is>
      </c>
      <c r="AL61" t="inlineStr">
        <is>
          <t>VC BD, Funding 2.46€</t>
        </is>
      </c>
      <c r="AM61" t="inlineStr">
        <is>
          <t>VC BD, Funding 2.46€</t>
        </is>
      </c>
      <c r="AN61" t="inlineStr">
        <is>
          <t>VC BD, Funding 2.46€</t>
        </is>
      </c>
      <c r="AO61" t="inlineStr">
        <is>
          <t>VC BD, Funding 2.46€</t>
        </is>
      </c>
      <c r="AP61" t="inlineStr">
        <is>
          <t>VC BD, Funding 2.46€</t>
        </is>
      </c>
      <c r="AQ61" t="inlineStr">
        <is>
          <t>VC BD, Funding 2.46€</t>
        </is>
      </c>
      <c r="AR61" t="inlineStr">
        <is>
          <t>VC BD, Funding 2.46€</t>
        </is>
      </c>
      <c r="AS61" t="inlineStr">
        <is>
          <t>无</t>
        </is>
      </c>
      <c r="AT61" t="inlineStr">
        <is>
          <t>无</t>
        </is>
      </c>
      <c r="AU61" t="inlineStr">
        <is>
          <t>无</t>
        </is>
      </c>
      <c r="AV61" t="inlineStr">
        <is>
          <t>无</t>
        </is>
      </c>
      <c r="AW61" t="inlineStr">
        <is>
          <t>无</t>
        </is>
      </c>
      <c r="AX61" t="inlineStr">
        <is>
          <t>无</t>
        </is>
      </c>
      <c r="AY61" t="inlineStr">
        <is>
          <t>无</t>
        </is>
      </c>
      <c r="AZ61" t="inlineStr">
        <is>
          <t>无</t>
        </is>
      </c>
      <c r="BA61" t="inlineStr">
        <is>
          <t>无</t>
        </is>
      </c>
      <c r="BB61" t="inlineStr">
        <is>
          <t>无</t>
        </is>
      </c>
      <c r="BC61" t="inlineStr">
        <is>
          <t>无</t>
        </is>
      </c>
      <c r="BD61" t="inlineStr">
        <is>
          <t>无</t>
        </is>
      </c>
      <c r="BE61" t="inlineStr">
        <is>
          <t>无</t>
        </is>
      </c>
      <c r="BF61" t="inlineStr">
        <is>
          <t>无</t>
        </is>
      </c>
      <c r="BG61" t="inlineStr">
        <is>
          <t>无</t>
        </is>
      </c>
      <c r="BH61" t="inlineStr">
        <is>
          <t>无</t>
        </is>
      </c>
      <c r="BI61" t="inlineStr">
        <is>
          <t>无货</t>
        </is>
      </c>
      <c r="BJ61" t="inlineStr">
        <is>
          <t>无货</t>
        </is>
      </c>
      <c r="BK61" t="inlineStr">
        <is>
          <t>无货</t>
        </is>
      </c>
      <c r="BL61" t="inlineStr">
        <is>
          <t>无货</t>
        </is>
      </c>
      <c r="BM61" t="inlineStr">
        <is>
          <t>无货</t>
        </is>
      </c>
      <c r="BN61" t="inlineStr">
        <is>
          <t>无货</t>
        </is>
      </c>
      <c r="BO61" t="inlineStr">
        <is>
          <t>无货</t>
        </is>
      </c>
      <c r="BP61" t="inlineStr">
        <is>
          <t>无货</t>
        </is>
      </c>
      <c r="BQ61" t="inlineStr">
        <is>
          <t>无货</t>
        </is>
      </c>
      <c r="BR61" t="inlineStr">
        <is>
          <t>无货</t>
        </is>
      </c>
      <c r="BS61" t="inlineStr">
        <is>
          <t>无货</t>
        </is>
      </c>
      <c r="BT61" t="inlineStr">
        <is>
          <t>无货</t>
        </is>
      </c>
      <c r="BU61" t="inlineStr">
        <is>
          <t>无货</t>
        </is>
      </c>
      <c r="BV61" t="inlineStr">
        <is>
          <t>无货</t>
        </is>
      </c>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row>
    <row r="62" ht="25.5" customHeight="1">
      <c r="A62"/>
      <c r="B62" t="inlineStr">
        <is>
          <t>ES</t>
        </is>
      </c>
      <c r="C62" t="inlineStr">
        <is>
          <t>优惠券</t>
        </is>
      </c>
      <c r="D62" t="inlineStr">
        <is>
          <t>0.15</t>
        </is>
      </c>
      <c r="E62" t="inlineStr">
        <is>
          <t>无</t>
        </is>
      </c>
      <c r="F62" t="inlineStr">
        <is>
          <t>无</t>
        </is>
      </c>
      <c r="G62" t="inlineStr">
        <is>
          <t>无</t>
        </is>
      </c>
      <c r="H62" t="inlineStr">
        <is>
          <t>无</t>
        </is>
      </c>
      <c r="I62" t="inlineStr">
        <is>
          <t>无</t>
        </is>
      </c>
      <c r="J62" t="inlineStr">
        <is>
          <t>无</t>
        </is>
      </c>
      <c r="K62" t="inlineStr">
        <is>
          <t>无</t>
        </is>
      </c>
      <c r="L62" t="inlineStr">
        <is>
          <t>无</t>
        </is>
      </c>
      <c r="M62" t="inlineStr">
        <is>
          <t>无</t>
        </is>
      </c>
      <c r="N62" t="inlineStr">
        <is>
          <t>无</t>
        </is>
      </c>
      <c r="O62" t="inlineStr">
        <is>
          <t>无</t>
        </is>
      </c>
      <c r="P62" t="inlineStr">
        <is>
          <t>无</t>
        </is>
      </c>
      <c r="Q62" t="inlineStr">
        <is>
          <t>无</t>
        </is>
      </c>
      <c r="R62" t="inlineStr">
        <is>
          <t>无</t>
        </is>
      </c>
      <c r="S62" t="inlineStr">
        <is>
          <t>无</t>
        </is>
      </c>
      <c r="T62" t="inlineStr">
        <is>
          <t>无</t>
        </is>
      </c>
      <c r="U62" t="inlineStr">
        <is>
          <t>无</t>
        </is>
      </c>
      <c r="V62" t="inlineStr">
        <is>
          <t>无</t>
        </is>
      </c>
      <c r="W62" t="inlineStr">
        <is>
          <t>无</t>
        </is>
      </c>
      <c r="X62" t="inlineStr">
        <is>
          <t>无</t>
        </is>
      </c>
      <c r="Y62" t="inlineStr">
        <is>
          <t>无</t>
        </is>
      </c>
      <c r="Z62" t="inlineStr">
        <is>
          <t>无</t>
        </is>
      </c>
      <c r="AA62" t="inlineStr">
        <is>
          <t>无</t>
        </is>
      </c>
      <c r="AB62" t="inlineStr">
        <is>
          <t>无</t>
        </is>
      </c>
      <c r="AC62" t="inlineStr">
        <is>
          <t>无</t>
        </is>
      </c>
      <c r="AD62" t="inlineStr">
        <is>
          <t>无</t>
        </is>
      </c>
      <c r="AE62" t="inlineStr">
        <is>
          <t>无</t>
        </is>
      </c>
      <c r="AF62" t="inlineStr">
        <is>
          <t>无</t>
        </is>
      </c>
      <c r="AG62" t="inlineStr">
        <is>
          <t>无</t>
        </is>
      </c>
      <c r="AH62" t="inlineStr">
        <is>
          <t>无</t>
        </is>
      </c>
      <c r="AI62" t="inlineStr">
        <is>
          <t>无</t>
        </is>
      </c>
      <c r="AJ62" t="inlineStr">
        <is>
          <t>无</t>
        </is>
      </c>
      <c r="AK62" t="inlineStr">
        <is>
          <t>无</t>
        </is>
      </c>
      <c r="AL62" t="inlineStr">
        <is>
          <t>无</t>
        </is>
      </c>
      <c r="AM62" t="inlineStr">
        <is>
          <t>无</t>
        </is>
      </c>
      <c r="AN62" t="inlineStr">
        <is>
          <t>无</t>
        </is>
      </c>
      <c r="AO62" t="inlineStr">
        <is>
          <t>无</t>
        </is>
      </c>
      <c r="AP62" t="inlineStr">
        <is>
          <t>无</t>
        </is>
      </c>
      <c r="AQ62" t="inlineStr">
        <is>
          <t>无</t>
        </is>
      </c>
      <c r="AR62" t="inlineStr">
        <is>
          <t>无</t>
        </is>
      </c>
      <c r="AS62" t="inlineStr">
        <is>
          <t>无</t>
        </is>
      </c>
      <c r="AT62" t="inlineStr">
        <is>
          <t>无</t>
        </is>
      </c>
      <c r="AU62" t="inlineStr">
        <is>
          <t>无</t>
        </is>
      </c>
      <c r="AV62" t="inlineStr">
        <is>
          <t>无</t>
        </is>
      </c>
      <c r="AW62" t="inlineStr">
        <is>
          <t>无</t>
        </is>
      </c>
      <c r="AX62" t="inlineStr">
        <is>
          <t>无</t>
        </is>
      </c>
      <c r="AY62" t="inlineStr">
        <is>
          <t>无</t>
        </is>
      </c>
      <c r="AZ62" t="inlineStr">
        <is>
          <t>无</t>
        </is>
      </c>
      <c r="BA62" t="inlineStr">
        <is>
          <t>无</t>
        </is>
      </c>
      <c r="BB62" t="inlineStr">
        <is>
          <t>无</t>
        </is>
      </c>
      <c r="BC62" t="inlineStr">
        <is>
          <t>无</t>
        </is>
      </c>
      <c r="BD62" t="inlineStr">
        <is>
          <t>无</t>
        </is>
      </c>
      <c r="BE62" t="inlineStr">
        <is>
          <t>无</t>
        </is>
      </c>
      <c r="BF62" t="inlineStr">
        <is>
          <t>无</t>
        </is>
      </c>
      <c r="BG62" t="inlineStr">
        <is>
          <t>无</t>
        </is>
      </c>
      <c r="BH62" t="inlineStr">
        <is>
          <t>无</t>
        </is>
      </c>
      <c r="BI62" t="inlineStr">
        <is>
          <t>无货</t>
        </is>
      </c>
      <c r="BJ62" t="inlineStr">
        <is>
          <t>无货</t>
        </is>
      </c>
      <c r="BK62" t="inlineStr">
        <is>
          <t>无货</t>
        </is>
      </c>
      <c r="BL62" t="inlineStr">
        <is>
          <t>无货</t>
        </is>
      </c>
      <c r="BM62" t="inlineStr">
        <is>
          <t>无货</t>
        </is>
      </c>
      <c r="BN62" t="inlineStr">
        <is>
          <t>无货</t>
        </is>
      </c>
      <c r="BO62" t="inlineStr">
        <is>
          <t>无货</t>
        </is>
      </c>
      <c r="BP62" t="inlineStr">
        <is>
          <t>无货</t>
        </is>
      </c>
      <c r="BQ62" t="inlineStr">
        <is>
          <t>无货</t>
        </is>
      </c>
      <c r="BR62" t="inlineStr">
        <is>
          <t>无货</t>
        </is>
      </c>
      <c r="BS62" t="inlineStr">
        <is>
          <t>无货</t>
        </is>
      </c>
      <c r="BT62" t="inlineStr">
        <is>
          <t>无货</t>
        </is>
      </c>
      <c r="BU62" t="inlineStr">
        <is>
          <t>无货</t>
        </is>
      </c>
      <c r="BV62" t="inlineStr">
        <is>
          <t>无货</t>
        </is>
      </c>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row>
    <row r="63" ht="25.5" customHeight="1">
      <c r="A63"/>
      <c r="B63" t="inlineStr">
        <is>
          <t>ES</t>
        </is>
      </c>
      <c r="C63" t="inlineStr">
        <is>
          <t>活动</t>
        </is>
      </c>
      <c r="D63" t="inlineStr">
        <is>
          <t>Funding 3，广告2，毛利-0.29</t>
        </is>
      </c>
      <c r="E63" t="inlineStr">
        <is>
          <t>VC BD, Funding 2.48€, 提前结束</t>
        </is>
      </c>
      <c r="F63" t="inlineStr">
        <is>
          <t>VC BD, Funding 2.48€, 提前结束</t>
        </is>
      </c>
      <c r="G63" t="inlineStr">
        <is>
          <t>VC BD, Funding 2.48€, 提前结束</t>
        </is>
      </c>
      <c r="H63" t="inlineStr">
        <is>
          <t>VM提报 BFCM, Funding 4.85€, 无广告预算, 无进度条</t>
        </is>
      </c>
      <c r="I63" t="inlineStr">
        <is>
          <t>VM提报 BFCM, Funding 4.85€, 无广告预算, 无进度条</t>
        </is>
      </c>
      <c r="J63" t="inlineStr">
        <is>
          <t>VM提报 BFCM, Funding 4.85€, 无广告预算, 无进度条</t>
        </is>
      </c>
      <c r="K63" t="inlineStr">
        <is>
          <t>VM提报 BFCM, Funding 4.85€, 无广告预算, 无进度条</t>
        </is>
      </c>
      <c r="L63" t="inlineStr">
        <is>
          <t>VM提报 BFCM, Funding 4.85€, 无广告预算, 无进度条</t>
        </is>
      </c>
      <c r="M63" t="inlineStr">
        <is>
          <t>VM提报 BFCM, Funding 4.85€, 无广告预算, 无进度条</t>
        </is>
      </c>
      <c r="N63" t="inlineStr">
        <is>
          <t>VM提报 BFCM, Funding 4.85€, 无广告预算, 无进度条</t>
        </is>
      </c>
      <c r="O63" t="inlineStr">
        <is>
          <t>VM提报 BFCM, Funding 4.85€, 无广告预算, 无进度条</t>
        </is>
      </c>
      <c r="P63" t="inlineStr">
        <is>
          <t>VM提报 BFCM, Funding 4.85€, 无广告预算, 无进度条</t>
        </is>
      </c>
      <c r="Q63" t="inlineStr">
        <is>
          <t>VM提报 BFCM, Funding 4.85€, 无广告预算, 无进度条</t>
        </is>
      </c>
      <c r="R63" t="inlineStr">
        <is>
          <t>VM提报 BFCM, Funding 4.85€, 无广告预算, 无进度条</t>
        </is>
      </c>
      <c r="S63" t="inlineStr">
        <is>
          <t>VM提报 BFCM, Funding 4.85€, 无广告预算, 无进度条</t>
        </is>
      </c>
      <c r="T63" t="inlineStr">
        <is>
          <t>VC BD, Funding 5.5€</t>
        </is>
      </c>
      <c r="U63" t="inlineStr">
        <is>
          <t>VC BD;Funding 5.5€；</t>
        </is>
      </c>
      <c r="V63" t="inlineStr">
        <is>
          <t>VC BD, Funding 5.5€</t>
        </is>
      </c>
      <c r="W63" t="inlineStr">
        <is>
          <t>无</t>
        </is>
      </c>
      <c r="X63" t="inlineStr">
        <is>
          <t>无</t>
        </is>
      </c>
      <c r="Y63" t="inlineStr">
        <is>
          <t>无</t>
        </is>
      </c>
      <c r="Z63" t="inlineStr">
        <is>
          <t>无</t>
        </is>
      </c>
      <c r="AA63" t="inlineStr">
        <is>
          <t>无</t>
        </is>
      </c>
      <c r="AB63" t="inlineStr">
        <is>
          <t>无</t>
        </is>
      </c>
      <c r="AC63" t="inlineStr">
        <is>
          <t>无</t>
        </is>
      </c>
      <c r="AD63" t="inlineStr">
        <is>
          <t>无</t>
        </is>
      </c>
      <c r="AE63" t="inlineStr">
        <is>
          <t>无</t>
        </is>
      </c>
      <c r="AF63" t="inlineStr">
        <is>
          <t>无</t>
        </is>
      </c>
      <c r="AG63" t="inlineStr">
        <is>
          <t>无</t>
        </is>
      </c>
      <c r="AH63" t="inlineStr">
        <is>
          <t>无</t>
        </is>
      </c>
      <c r="AI63" t="inlineStr">
        <is>
          <t>无</t>
        </is>
      </c>
      <c r="AJ63" t="inlineStr">
        <is>
          <t>无</t>
        </is>
      </c>
      <c r="AK63" t="inlineStr">
        <is>
          <t>无</t>
        </is>
      </c>
      <c r="AL63" t="inlineStr">
        <is>
          <t>无</t>
        </is>
      </c>
      <c r="AM63" t="inlineStr">
        <is>
          <t>无</t>
        </is>
      </c>
      <c r="AN63" t="inlineStr">
        <is>
          <t>无</t>
        </is>
      </c>
      <c r="AO63" t="inlineStr">
        <is>
          <t>无</t>
        </is>
      </c>
      <c r="AP63" t="inlineStr">
        <is>
          <t>无</t>
        </is>
      </c>
      <c r="AQ63" t="inlineStr">
        <is>
          <t>无</t>
        </is>
      </c>
      <c r="AR63" t="inlineStr">
        <is>
          <t>无</t>
        </is>
      </c>
      <c r="AS63" t="inlineStr">
        <is>
          <t>无</t>
        </is>
      </c>
      <c r="AT63" t="inlineStr">
        <is>
          <t>无</t>
        </is>
      </c>
      <c r="AU63" t="inlineStr">
        <is>
          <t>无</t>
        </is>
      </c>
      <c r="AV63" t="inlineStr">
        <is>
          <t>无</t>
        </is>
      </c>
      <c r="AW63" t="inlineStr">
        <is>
          <t>无</t>
        </is>
      </c>
      <c r="AX63" t="inlineStr">
        <is>
          <t>无</t>
        </is>
      </c>
      <c r="AY63" t="inlineStr">
        <is>
          <t>无</t>
        </is>
      </c>
      <c r="AZ63" t="inlineStr">
        <is>
          <t>无</t>
        </is>
      </c>
      <c r="BA63" t="inlineStr">
        <is>
          <t>无</t>
        </is>
      </c>
      <c r="BB63" t="inlineStr">
        <is>
          <t>无</t>
        </is>
      </c>
      <c r="BC63" t="inlineStr">
        <is>
          <t>无</t>
        </is>
      </c>
      <c r="BD63" t="inlineStr">
        <is>
          <t>无</t>
        </is>
      </c>
      <c r="BE63" t="inlineStr">
        <is>
          <t>无</t>
        </is>
      </c>
      <c r="BF63" t="inlineStr">
        <is>
          <t>无</t>
        </is>
      </c>
      <c r="BG63" t="inlineStr">
        <is>
          <t>无</t>
        </is>
      </c>
      <c r="BH63" t="inlineStr">
        <is>
          <t>无</t>
        </is>
      </c>
      <c r="BI63" t="inlineStr">
        <is>
          <t>无货</t>
        </is>
      </c>
      <c r="BJ63" t="inlineStr">
        <is>
          <t>无货</t>
        </is>
      </c>
      <c r="BK63" t="inlineStr">
        <is>
          <t>无货</t>
        </is>
      </c>
      <c r="BL63" t="inlineStr">
        <is>
          <t>无货</t>
        </is>
      </c>
      <c r="BM63" t="inlineStr">
        <is>
          <t>无货</t>
        </is>
      </c>
      <c r="BN63" t="inlineStr">
        <is>
          <t>无货</t>
        </is>
      </c>
      <c r="BO63" t="inlineStr">
        <is>
          <t>无货</t>
        </is>
      </c>
      <c r="BP63" t="inlineStr">
        <is>
          <t>无货</t>
        </is>
      </c>
      <c r="BQ63" t="inlineStr">
        <is>
          <t>无货</t>
        </is>
      </c>
      <c r="BR63" t="inlineStr">
        <is>
          <t>无货</t>
        </is>
      </c>
      <c r="BS63" t="inlineStr">
        <is>
          <t>无货</t>
        </is>
      </c>
      <c r="BT63" t="inlineStr">
        <is>
          <t>无货</t>
        </is>
      </c>
      <c r="BU63" t="inlineStr">
        <is>
          <t>无货</t>
        </is>
      </c>
      <c r="BV63" t="inlineStr">
        <is>
          <t>无货</t>
        </is>
      </c>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row>
    <row r="64" ht="25.5" customHeight="1">
      <c r="A64"/>
      <c r="B64" t="inlineStr">
        <is>
          <t>UK</t>
        </is>
      </c>
      <c r="C64" t="inlineStr">
        <is>
          <t>优惠券</t>
        </is>
      </c>
      <c r="D64" t="inlineStr">
        <is>
          <t>0.15</t>
        </is>
      </c>
      <c r="E64" t="inlineStr">
        <is>
          <t>无</t>
        </is>
      </c>
      <c r="F64" t="inlineStr">
        <is>
          <t>无</t>
        </is>
      </c>
      <c r="G64" t="inlineStr">
        <is>
          <t>无</t>
        </is>
      </c>
      <c r="H64" t="inlineStr">
        <is>
          <t>无</t>
        </is>
      </c>
      <c r="I64" t="inlineStr">
        <is>
          <t>无</t>
        </is>
      </c>
      <c r="J64" t="inlineStr">
        <is>
          <t>无</t>
        </is>
      </c>
      <c r="K64" t="inlineStr">
        <is>
          <t>无</t>
        </is>
      </c>
      <c r="L64" t="inlineStr">
        <is>
          <t>无</t>
        </is>
      </c>
      <c r="M64" t="inlineStr">
        <is>
          <t>无</t>
        </is>
      </c>
      <c r="N64" t="inlineStr">
        <is>
          <t>无</t>
        </is>
      </c>
      <c r="O64" t="inlineStr">
        <is>
          <t>无</t>
        </is>
      </c>
      <c r="P64" t="inlineStr">
        <is>
          <t>无</t>
        </is>
      </c>
      <c r="Q64" t="inlineStr">
        <is>
          <t>无</t>
        </is>
      </c>
      <c r="R64" t="inlineStr">
        <is>
          <t>无</t>
        </is>
      </c>
      <c r="S64" t="inlineStr">
        <is>
          <t>无</t>
        </is>
      </c>
      <c r="T64" t="inlineStr">
        <is>
          <t>无</t>
        </is>
      </c>
      <c r="U64" t="inlineStr">
        <is>
          <t>无</t>
        </is>
      </c>
      <c r="V64" t="inlineStr">
        <is>
          <t>无</t>
        </is>
      </c>
      <c r="W64" t="inlineStr">
        <is>
          <t>无</t>
        </is>
      </c>
      <c r="X64" t="inlineStr">
        <is>
          <t>无</t>
        </is>
      </c>
      <c r="Y64" t="inlineStr">
        <is>
          <t>无</t>
        </is>
      </c>
      <c r="Z64" t="inlineStr">
        <is>
          <t>无</t>
        </is>
      </c>
      <c r="AA64" t="inlineStr">
        <is>
          <t>无</t>
        </is>
      </c>
      <c r="AB64" t="inlineStr">
        <is>
          <t>无</t>
        </is>
      </c>
      <c r="AC64" t="inlineStr">
        <is>
          <t>无</t>
        </is>
      </c>
      <c r="AD64" t="inlineStr">
        <is>
          <t>无</t>
        </is>
      </c>
      <c r="AE64" t="inlineStr">
        <is>
          <t>无</t>
        </is>
      </c>
      <c r="AF64" t="inlineStr">
        <is>
          <t>无</t>
        </is>
      </c>
      <c r="AG64" t="inlineStr">
        <is>
          <t>无</t>
        </is>
      </c>
      <c r="AH64" t="inlineStr">
        <is>
          <t>无</t>
        </is>
      </c>
      <c r="AI64" t="inlineStr">
        <is>
          <t>无</t>
        </is>
      </c>
      <c r="AJ64" t="inlineStr">
        <is>
          <t>无</t>
        </is>
      </c>
      <c r="AK64" t="inlineStr">
        <is>
          <t>无</t>
        </is>
      </c>
      <c r="AL64" t="inlineStr">
        <is>
          <t>无</t>
        </is>
      </c>
      <c r="AM64" t="inlineStr">
        <is>
          <t>无</t>
        </is>
      </c>
      <c r="AN64" t="inlineStr">
        <is>
          <t>COUPON 12%</t>
        </is>
      </c>
      <c r="AO64" t="inlineStr">
        <is>
          <t>COUPON 12%</t>
        </is>
      </c>
      <c r="AP64" t="inlineStr">
        <is>
          <t>COUPON 12%</t>
        </is>
      </c>
      <c r="AQ64" t="inlineStr">
        <is>
          <t>COUPON 12%</t>
        </is>
      </c>
      <c r="AR64" t="inlineStr">
        <is>
          <t>COUPON 12%</t>
        </is>
      </c>
      <c r="AS64" t="inlineStr">
        <is>
          <t>COUPON 12%</t>
        </is>
      </c>
      <c r="AT64" t="inlineStr">
        <is>
          <t>COUPON 12%</t>
        </is>
      </c>
      <c r="AU64" t="inlineStr">
        <is>
          <t>COUPON 12%</t>
        </is>
      </c>
      <c r="AV64" t="inlineStr">
        <is>
          <t>COUPON 12%</t>
        </is>
      </c>
      <c r="AW64" t="inlineStr">
        <is>
          <t>COUPON 12%</t>
        </is>
      </c>
      <c r="AX64" t="inlineStr">
        <is>
          <t>无</t>
        </is>
      </c>
      <c r="AY64" t="inlineStr">
        <is>
          <t>无</t>
        </is>
      </c>
      <c r="AZ64" t="inlineStr">
        <is>
          <t>无</t>
        </is>
      </c>
      <c r="BA64" t="inlineStr">
        <is>
          <t>无</t>
        </is>
      </c>
      <c r="BB64" t="inlineStr">
        <is>
          <t>COUPON Funding2.5</t>
        </is>
      </c>
      <c r="BC64" t="inlineStr">
        <is>
          <t>COUPON Funding2.5</t>
        </is>
      </c>
      <c r="BD64" t="inlineStr">
        <is>
          <t>COUPON Funding2.5</t>
        </is>
      </c>
      <c r="BE64" t="inlineStr">
        <is>
          <t>COUPON Funding2.5</t>
        </is>
      </c>
      <c r="BF64" t="inlineStr">
        <is>
          <t>COUPON Funding2.5</t>
        </is>
      </c>
      <c r="BG64" t="inlineStr">
        <is>
          <t>COUPON Funding2.5</t>
        </is>
      </c>
      <c r="BH64" t="inlineStr">
        <is>
          <t>COUPON Funding2.5</t>
        </is>
      </c>
      <c r="BI64" t="inlineStr">
        <is>
          <t>无</t>
        </is>
      </c>
      <c r="BJ64" t="inlineStr">
        <is>
          <t>无</t>
        </is>
      </c>
      <c r="BK64" t="inlineStr">
        <is>
          <t>无</t>
        </is>
      </c>
      <c r="BL64" t="inlineStr">
        <is>
          <t>无</t>
        </is>
      </c>
      <c r="BM64" t="inlineStr">
        <is>
          <t>无</t>
        </is>
      </c>
      <c r="BN64" t="inlineStr">
        <is>
          <t>无</t>
        </is>
      </c>
      <c r="BO64" t="inlineStr">
        <is>
          <t>无</t>
        </is>
      </c>
      <c r="BP64" t="inlineStr">
        <is>
          <t>无</t>
        </is>
      </c>
      <c r="BQ64" t="inlineStr">
        <is>
          <t>无</t>
        </is>
      </c>
      <c r="BR64" t="inlineStr">
        <is>
          <t>无</t>
        </is>
      </c>
      <c r="BS64" t="inlineStr">
        <is>
          <t>无</t>
        </is>
      </c>
      <c r="BT64" t="inlineStr">
        <is>
          <t>无</t>
        </is>
      </c>
      <c r="BU64" t="inlineStr">
        <is>
          <t>无</t>
        </is>
      </c>
      <c r="BV64" t="inlineStr">
        <is>
          <t>无</t>
        </is>
      </c>
      <c r="BW64" t="inlineStr">
        <is>
          <t>无</t>
        </is>
      </c>
      <c r="BX64" t="inlineStr">
        <is>
          <t>无</t>
        </is>
      </c>
      <c r="BY64" t="inlineStr">
        <is>
          <t>无</t>
        </is>
      </c>
      <c r="BZ64" t="inlineStr">
        <is>
          <t>无</t>
        </is>
      </c>
      <c r="CA64" t="inlineStr">
        <is>
          <t>COUPON 5%</t>
        </is>
      </c>
      <c r="CB64" t="inlineStr">
        <is>
          <t>COUPON 5%</t>
        </is>
      </c>
      <c r="CC64" t="inlineStr">
        <is>
          <t xml:space="preserve">COUPON 5% </t>
        </is>
      </c>
      <c r="CD64" t="inlineStr">
        <is>
          <t>COUPON 5%</t>
        </is>
      </c>
      <c r="CE64" t="inlineStr">
        <is>
          <t>COUPON 5%</t>
        </is>
      </c>
      <c r="CF64" t="inlineStr">
        <is>
          <t>COUPON 5%</t>
        </is>
      </c>
      <c r="CG64" t="inlineStr">
        <is>
          <t>COUPON 5%</t>
        </is>
      </c>
      <c r="CH64" t="inlineStr">
        <is>
          <t>COUPON 5%</t>
        </is>
      </c>
      <c r="CI64" t="inlineStr">
        <is>
          <t>COUPON 5%</t>
        </is>
      </c>
      <c r="CJ64" t="inlineStr">
        <is>
          <t>COUPON 5%</t>
        </is>
      </c>
      <c r="CK64" t="inlineStr">
        <is>
          <t>COUPON 5%</t>
        </is>
      </c>
      <c r="CL64" t="inlineStr">
        <is>
          <t>COUPON 5%</t>
        </is>
      </c>
      <c r="CM64" t="inlineStr">
        <is>
          <t>COUPON 5%</t>
        </is>
      </c>
      <c r="CN64" t="inlineStr">
        <is>
          <t>COUPON 5%</t>
        </is>
      </c>
      <c r="CO64" t="inlineStr">
        <is>
          <t>COUPON 5%</t>
        </is>
      </c>
      <c r="CP64" t="inlineStr">
        <is>
          <t>COUPON 5%</t>
        </is>
      </c>
      <c r="CQ64" t="inlineStr">
        <is>
          <t>COUPON 5%</t>
        </is>
      </c>
      <c r="CR64" t="inlineStr">
        <is>
          <t>COUPON 5%</t>
        </is>
      </c>
      <c r="CS64" t="inlineStr">
        <is>
          <t>COUPON 5%</t>
        </is>
      </c>
      <c r="CT64" t="inlineStr">
        <is>
          <t>COUPON 5%</t>
        </is>
      </c>
      <c r="CU64" t="inlineStr">
        <is>
          <t>COUPON 5%</t>
        </is>
      </c>
      <c r="CV64" t="inlineStr">
        <is>
          <t>COUPON 5%</t>
        </is>
      </c>
      <c r="CW64" t="inlineStr">
        <is>
          <t>COUPON 5%</t>
        </is>
      </c>
      <c r="CX64" t="inlineStr">
        <is>
          <t>COUPON 5%</t>
        </is>
      </c>
      <c r="CY64" t="inlineStr">
        <is>
          <t>COUPON 5%</t>
        </is>
      </c>
      <c r="CZ64" t="inlineStr">
        <is>
          <t>COUPON 5%</t>
        </is>
      </c>
      <c r="DA64" t="inlineStr">
        <is>
          <t>COUPON 5%</t>
        </is>
      </c>
      <c r="DB64" t="inlineStr">
        <is>
          <t>COUPON 5%</t>
        </is>
      </c>
      <c r="DC64" t="inlineStr">
        <is>
          <t>COUPON 5%</t>
        </is>
      </c>
      <c r="DD64" t="inlineStr">
        <is>
          <t>COUPON 5%</t>
        </is>
      </c>
      <c r="DE64"/>
      <c r="DF64"/>
      <c r="DG64"/>
      <c r="DH64"/>
      <c r="DI64"/>
      <c r="DJ64"/>
      <c r="DK64"/>
      <c r="DL64"/>
      <c r="DM64"/>
      <c r="DN64"/>
      <c r="DO64"/>
      <c r="DP64"/>
      <c r="DQ64"/>
      <c r="DR64"/>
      <c r="DS64"/>
      <c r="DT64"/>
      <c r="DU64"/>
      <c r="DV64"/>
      <c r="DW64"/>
      <c r="DX64"/>
      <c r="DY64"/>
      <c r="DZ64"/>
      <c r="EA64"/>
      <c r="EB64"/>
      <c r="EC64"/>
      <c r="ED64"/>
      <c r="EE64"/>
      <c r="EF64"/>
      <c r="EG64"/>
      <c r="EH64"/>
      <c r="EI64"/>
      <c r="EJ64"/>
    </row>
    <row r="65" ht="25.5" customHeight="1">
      <c r="A65"/>
      <c r="B65" t="inlineStr">
        <is>
          <t>UK</t>
        </is>
      </c>
      <c r="C65" t="inlineStr">
        <is>
          <t>活动</t>
        </is>
      </c>
      <c r="D65" t="inlineStr">
        <is>
          <t>Funding 2.85，广告2，毛利0.28</t>
        </is>
      </c>
      <c r="E65" t="inlineStr">
        <is>
          <t>无</t>
        </is>
      </c>
      <c r="F65" t="inlineStr">
        <is>
          <t>无</t>
        </is>
      </c>
      <c r="G65" t="inlineStr">
        <is>
          <t>无</t>
        </is>
      </c>
      <c r="H65" t="inlineStr">
        <is>
          <t>VC BD, Funding 2￡</t>
        </is>
      </c>
      <c r="I65" t="inlineStr">
        <is>
          <t>VC BD, Funding 2￡</t>
        </is>
      </c>
      <c r="J65" t="inlineStr">
        <is>
          <t>VC BD, Funding 2￡</t>
        </is>
      </c>
      <c r="K65" t="inlineStr">
        <is>
          <t>VC BD, Funding 2￡</t>
        </is>
      </c>
      <c r="L65" t="inlineStr">
        <is>
          <t>VC BD, Funding 2￡</t>
        </is>
      </c>
      <c r="M65" t="inlineStr">
        <is>
          <t>VC BD, Funding 2￡</t>
        </is>
      </c>
      <c r="N65" t="inlineStr">
        <is>
          <t>VC BD, Funding 2￡</t>
        </is>
      </c>
      <c r="O65" t="inlineStr">
        <is>
          <t>VC BD, Funding 2￡</t>
        </is>
      </c>
      <c r="P65" t="inlineStr">
        <is>
          <t>VC BD, Funding 2￡</t>
        </is>
      </c>
      <c r="Q65" t="inlineStr">
        <is>
          <t>VC BD, Funding 2￡</t>
        </is>
      </c>
      <c r="R65" t="inlineStr">
        <is>
          <t>VC BD, Funding 2￡</t>
        </is>
      </c>
      <c r="S65" t="inlineStr">
        <is>
          <t>VC BD, Funding 2￡</t>
        </is>
      </c>
      <c r="T65" t="inlineStr">
        <is>
          <t>无</t>
        </is>
      </c>
      <c r="U65" t="inlineStr">
        <is>
          <t>无</t>
        </is>
      </c>
      <c r="V65" t="inlineStr">
        <is>
          <t>无</t>
        </is>
      </c>
      <c r="W65" t="inlineStr">
        <is>
          <t>无</t>
        </is>
      </c>
      <c r="X65" t="inlineStr">
        <is>
          <t>无</t>
        </is>
      </c>
      <c r="Y65" t="inlineStr">
        <is>
          <t>无</t>
        </is>
      </c>
      <c r="Z65" t="inlineStr">
        <is>
          <t>VM BD:Funding 4.56€（暂未显示）</t>
        </is>
      </c>
      <c r="AA65" t="inlineStr">
        <is>
          <t>VM BD:Funding 4.56€（暂未显示）</t>
        </is>
      </c>
      <c r="AB65" t="inlineStr">
        <is>
          <t>VM BD:Funding 4.56€（暂未显示）</t>
        </is>
      </c>
      <c r="AC65" t="inlineStr">
        <is>
          <t>VM BD:Funding 4.56€（暂未显示）</t>
        </is>
      </c>
      <c r="AD65" t="inlineStr">
        <is>
          <t>VM BD:Funding 4.56€（暂未显示）</t>
        </is>
      </c>
      <c r="AE65" t="inlineStr">
        <is>
          <t>VM BD:Funding 4.56€（暂未显示）</t>
        </is>
      </c>
      <c r="AF65" t="inlineStr">
        <is>
          <t>VM BD:Funding 4.56€（暂未显示）</t>
        </is>
      </c>
      <c r="AG65" t="inlineStr">
        <is>
          <t>VM BD:Funding 4.56€（暂未显示）</t>
        </is>
      </c>
      <c r="AH65" t="inlineStr">
        <is>
          <t>VM BD:Funding 4.56€（暂未显示）</t>
        </is>
      </c>
      <c r="AI65" t="inlineStr">
        <is>
          <t>VM BD:Funding 4.56€（暂未显示）</t>
        </is>
      </c>
      <c r="AJ65" t="inlineStr">
        <is>
          <t>VM BD:Funding 4.56€（暂未显示）</t>
        </is>
      </c>
      <c r="AK65" t="inlineStr">
        <is>
          <t>VM BD:Funding 4.56€（暂未显示）</t>
        </is>
      </c>
      <c r="AL65" t="inlineStr">
        <is>
          <t>VM BD:Funding 4.56€（暂未显示）</t>
        </is>
      </c>
      <c r="AM65" t="inlineStr">
        <is>
          <t>VM BD:Funding 4.56€（暂未显示）</t>
        </is>
      </c>
      <c r="AN65" t="inlineStr">
        <is>
          <t>无</t>
        </is>
      </c>
      <c r="AO65" t="inlineStr">
        <is>
          <t>无</t>
        </is>
      </c>
      <c r="AP65" t="inlineStr">
        <is>
          <t>无</t>
        </is>
      </c>
      <c r="AQ65" t="inlineStr">
        <is>
          <t>无</t>
        </is>
      </c>
      <c r="AR65" t="inlineStr">
        <is>
          <t>无</t>
        </is>
      </c>
      <c r="AS65" t="inlineStr">
        <is>
          <t>无</t>
        </is>
      </c>
      <c r="AT65" t="inlineStr">
        <is>
          <t>无</t>
        </is>
      </c>
      <c r="AU65" t="inlineStr">
        <is>
          <t>无</t>
        </is>
      </c>
      <c r="AV65" t="inlineStr">
        <is>
          <t>无</t>
        </is>
      </c>
      <c r="AW65" t="inlineStr">
        <is>
          <t>无</t>
        </is>
      </c>
      <c r="AX65" t="inlineStr">
        <is>
          <t>无</t>
        </is>
      </c>
      <c r="AY65" t="inlineStr">
        <is>
          <t>无</t>
        </is>
      </c>
      <c r="AZ65" t="inlineStr">
        <is>
          <t>无</t>
        </is>
      </c>
      <c r="BA65" t="inlineStr">
        <is>
          <t>无</t>
        </is>
      </c>
      <c r="BB65" t="inlineStr">
        <is>
          <t>无</t>
        </is>
      </c>
      <c r="BC65" t="inlineStr">
        <is>
          <t>无</t>
        </is>
      </c>
      <c r="BD65" t="inlineStr">
        <is>
          <t>无</t>
        </is>
      </c>
      <c r="BE65" t="inlineStr">
        <is>
          <t>无</t>
        </is>
      </c>
      <c r="BF65" t="inlineStr">
        <is>
          <t>无</t>
        </is>
      </c>
      <c r="BG65" t="inlineStr">
        <is>
          <t>无</t>
        </is>
      </c>
      <c r="BH65" t="inlineStr">
        <is>
          <t>无</t>
        </is>
      </c>
      <c r="BI65" t="inlineStr">
        <is>
          <t>VC BD, Funding 2.9€(100pcs)</t>
        </is>
      </c>
      <c r="BJ65" t="inlineStr">
        <is>
          <t>VC BD, Funding 2.9€(100pcs)</t>
        </is>
      </c>
      <c r="BK65" t="inlineStr">
        <is>
          <t>VC BD, Funding 2.9€(100pcs)</t>
        </is>
      </c>
      <c r="BL65" t="inlineStr">
        <is>
          <t>VC BD, Funding 2.9€(100pcs)</t>
        </is>
      </c>
      <c r="BM65" t="inlineStr">
        <is>
          <t>VC BD, Funding 2.9€(100pcs)</t>
        </is>
      </c>
      <c r="BN65" t="inlineStr">
        <is>
          <t>VC BD, Funding 2.9€(100pcs)</t>
        </is>
      </c>
      <c r="BO65" t="inlineStr">
        <is>
          <t>VC BD, Funding 2.9€(100pcs)</t>
        </is>
      </c>
      <c r="BP65" t="inlineStr">
        <is>
          <t>VC BD, Funding 2.9€(100pcs)</t>
        </is>
      </c>
      <c r="BQ65" t="inlineStr">
        <is>
          <t>VC BD, Funding 2.9€(100pcs)</t>
        </is>
      </c>
      <c r="BR65" t="inlineStr">
        <is>
          <t>VC BD, Funding 2.9€(100pcs)</t>
        </is>
      </c>
      <c r="BS65" t="inlineStr">
        <is>
          <t>VC BD, Funding 2.9€(100pcs)</t>
        </is>
      </c>
      <c r="BT65" t="inlineStr">
        <is>
          <t>VC BD, Funding 2.9€(100pcs)</t>
        </is>
      </c>
      <c r="BU65" t="inlineStr">
        <is>
          <t>VC BD, Funding 2.9€(100pcs)</t>
        </is>
      </c>
      <c r="BV65" t="inlineStr">
        <is>
          <t>VC BD, Funding 2.9€(100pcs)</t>
        </is>
      </c>
      <c r="BW65" t="inlineStr">
        <is>
          <t>无</t>
        </is>
      </c>
      <c r="BX65" t="inlineStr">
        <is>
          <t>无</t>
        </is>
      </c>
      <c r="BY65" t="inlineStr">
        <is>
          <t>无</t>
        </is>
      </c>
      <c r="BZ65" t="inlineStr">
        <is>
          <t>无</t>
        </is>
      </c>
      <c r="CA65" t="inlineStr">
        <is>
          <t>无</t>
        </is>
      </c>
      <c r="CB65" t="inlineStr">
        <is>
          <t>无</t>
        </is>
      </c>
      <c r="CC65" t="inlineStr">
        <is>
          <t>无</t>
        </is>
      </c>
      <c r="CD65" t="inlineStr">
        <is>
          <t>无</t>
        </is>
      </c>
      <c r="CE65" t="inlineStr">
        <is>
          <t>无</t>
        </is>
      </c>
      <c r="CF65" t="inlineStr">
        <is>
          <t>无</t>
        </is>
      </c>
      <c r="CG65" t="inlineStr">
        <is>
          <t>无</t>
        </is>
      </c>
      <c r="CH65" t="inlineStr">
        <is>
          <t>无</t>
        </is>
      </c>
      <c r="CI65" t="inlineStr">
        <is>
          <t>无</t>
        </is>
      </c>
      <c r="CJ65" t="inlineStr">
        <is>
          <t>无</t>
        </is>
      </c>
      <c r="CK65" t="inlineStr">
        <is>
          <t>无</t>
        </is>
      </c>
      <c r="CL65" t="inlineStr">
        <is>
          <t>无</t>
        </is>
      </c>
      <c r="CM65" t="inlineStr">
        <is>
          <t>无</t>
        </is>
      </c>
      <c r="CN65" t="inlineStr">
        <is>
          <t>无</t>
        </is>
      </c>
      <c r="CO65" t="inlineStr">
        <is>
          <t>无</t>
        </is>
      </c>
      <c r="CP65" t="inlineStr">
        <is>
          <t>无</t>
        </is>
      </c>
      <c r="CQ65" t="inlineStr">
        <is>
          <t>无</t>
        </is>
      </c>
      <c r="CR65" t="inlineStr">
        <is>
          <t>无</t>
        </is>
      </c>
      <c r="CS65" t="inlineStr">
        <is>
          <t>无</t>
        </is>
      </c>
      <c r="CT65" t="inlineStr">
        <is>
          <t>无</t>
        </is>
      </c>
      <c r="CU65" t="inlineStr">
        <is>
          <t>无</t>
        </is>
      </c>
      <c r="CV65" t="inlineStr">
        <is>
          <t>无</t>
        </is>
      </c>
      <c r="CW65" t="inlineStr">
        <is>
          <t>无</t>
        </is>
      </c>
      <c r="CX65" t="inlineStr">
        <is>
          <t>无</t>
        </is>
      </c>
      <c r="CY65" t="inlineStr">
        <is>
          <t>无</t>
        </is>
      </c>
      <c r="CZ65" t="inlineStr">
        <is>
          <t>无</t>
        </is>
      </c>
      <c r="DA65" t="inlineStr">
        <is>
          <t>无</t>
        </is>
      </c>
      <c r="DB65" t="inlineStr">
        <is>
          <t>无</t>
        </is>
      </c>
      <c r="DC65" t="inlineStr">
        <is>
          <t>无</t>
        </is>
      </c>
      <c r="DD65" t="inlineStr">
        <is>
          <t>无</t>
        </is>
      </c>
      <c r="DE65"/>
      <c r="DF65"/>
      <c r="DG65"/>
      <c r="DH65"/>
      <c r="DI65"/>
      <c r="DJ65"/>
      <c r="DK65"/>
      <c r="DL65"/>
      <c r="DM65"/>
      <c r="DN65"/>
      <c r="DO65"/>
      <c r="DP65"/>
      <c r="DQ65"/>
      <c r="DR65"/>
      <c r="DS65"/>
      <c r="DT65"/>
      <c r="DU65"/>
      <c r="DV65"/>
      <c r="DW65"/>
      <c r="DX65"/>
      <c r="DY65"/>
      <c r="DZ65"/>
      <c r="EA65"/>
      <c r="EB65"/>
      <c r="EC65"/>
      <c r="ED65"/>
      <c r="EE65"/>
      <c r="EF65"/>
      <c r="EG65"/>
      <c r="EH65"/>
      <c r="EI65"/>
      <c r="EJ65"/>
    </row>
  </sheetData>
  <dataValidations count="6">
    <dataValidation allowBlank="false" sqref="B2:B64" type="list">
      <formula1>"DE,FR,IT,ES,UK"</formula1>
    </dataValidation>
    <dataValidation allowBlank="false" sqref="C2:C64" type="list">
      <formula1>"优惠券,活动"</formula1>
    </dataValidation>
    <dataValidation allowBlank="false" sqref="BA2:BA64" type="list">
      <formula1>"无,COUPON 25%,COUPON 8%"</formula1>
    </dataValidation>
    <dataValidation allowBlank="false" sqref="BB2:BB64" type="list">
      <formula1>"无,COUPON 15%,COUPON 10%,COUPON 8%,COUPON Funding2.5"</formula1>
    </dataValidation>
    <dataValidation allowBlank="false" sqref="BC2:BC64" type="list">
      <formula1>"无,COUPON 15%,COUPON 8%,COUPON Funding2.5"</formula1>
    </dataValidation>
    <dataValidation allowBlank="false" sqref="CC2:CC64" type="list">
      <formula1>"无,Coupon 10%,COUPON 5% "</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批次</t>
        </is>
      </c>
      <c r="B1" s="1" t="inlineStr">
        <is>
          <t>中文名</t>
        </is>
      </c>
      <c r="C1" s="1" t="inlineStr">
        <is>
          <t>国家</t>
        </is>
      </c>
      <c r="D1" s="1" t="inlineStr">
        <is>
          <t>渠道</t>
        </is>
      </c>
      <c r="E1" s="1" t="inlineStr">
        <is>
          <t>数量</t>
        </is>
      </c>
      <c r="F1" s="1" t="inlineStr">
        <is>
          <t>计费重</t>
        </is>
      </c>
      <c r="G1" s="1" t="inlineStr">
        <is>
          <t>单价</t>
        </is>
      </c>
      <c r="H1" s="1" t="inlineStr">
        <is>
          <t>单价（1）</t>
        </is>
      </c>
      <c r="I1" s="1" t="inlineStr">
        <is>
          <t>报关+清关</t>
        </is>
      </c>
      <c r="J1" s="1" t="inlineStr">
        <is>
          <t>关税</t>
        </is>
      </c>
      <c r="K1" s="1" t="inlineStr">
        <is>
          <t>总费用</t>
        </is>
      </c>
      <c r="L1" s="1" t="inlineStr">
        <is>
          <t>单价（2）</t>
        </is>
      </c>
      <c r="M1" s="1" t="inlineStr">
        <is>
          <t>均价</t>
        </is>
      </c>
      <c r="N1" s="1" t="inlineStr">
        <is>
          <t>货代</t>
        </is>
      </c>
      <c r="O1" s="1" t="inlineStr">
        <is>
          <t>付款</t>
        </is>
      </c>
      <c r="P1" s="1" t="inlineStr">
        <is>
          <t>列16</t>
        </is>
      </c>
    </row>
    <row r="2" ht="25.5" customHeight="1">
      <c r="A2" t="inlineStr">
        <is>
          <t>No-2025021101</t>
        </is>
      </c>
      <c r="B2"/>
      <c r="C2" t="inlineStr">
        <is>
          <t>US</t>
        </is>
      </c>
      <c r="D2" t="inlineStr">
        <is>
          <t>美森</t>
        </is>
      </c>
      <c r="E2">
        <v>96</v>
      </c>
      <c r="F2">
        <v>408</v>
      </c>
      <c r="G2">
        <v>19</v>
      </c>
      <c r="H2">
        <v>13.8</v>
      </c>
      <c r="I2">
        <v>100</v>
      </c>
      <c r="J2">
        <v>0</v>
      </c>
      <c r="K2"/>
      <c r="L2"/>
      <c r="M2"/>
      <c r="N2" t="inlineStr">
        <is>
          <t>佳景</t>
        </is>
      </c>
      <c r="O2" t="inlineStr">
        <is>
          <t>已付</t>
        </is>
      </c>
      <c r="P2" s="2"/>
    </row>
    <row r="3" ht="25.5" customHeight="1">
      <c r="A3" t="inlineStr">
        <is>
          <t>No-2025021101</t>
        </is>
      </c>
      <c r="B3"/>
      <c r="C3" t="inlineStr">
        <is>
          <t>US</t>
        </is>
      </c>
      <c r="D3" t="inlineStr">
        <is>
          <t>普船</t>
        </is>
      </c>
      <c r="E3">
        <v>132</v>
      </c>
      <c r="F3">
        <v>561</v>
      </c>
      <c r="G3">
        <v>15</v>
      </c>
      <c r="H3">
        <v>9.8</v>
      </c>
      <c r="I3">
        <v>100</v>
      </c>
      <c r="J3">
        <v>0</v>
      </c>
      <c r="K3"/>
      <c r="L3"/>
      <c r="M3"/>
      <c r="N3" t="inlineStr">
        <is>
          <t>佳景</t>
        </is>
      </c>
      <c r="O3" t="inlineStr">
        <is>
          <t>已付</t>
        </is>
      </c>
      <c r="P3" s="2"/>
    </row>
    <row r="4" ht="25.5" customHeight="1">
      <c r="A4" t="inlineStr">
        <is>
          <t>No-2025021101</t>
        </is>
      </c>
      <c r="B4"/>
      <c r="C4" t="inlineStr">
        <is>
          <t>US</t>
        </is>
      </c>
      <c r="D4" t="inlineStr">
        <is>
          <t>普船</t>
        </is>
      </c>
      <c r="E4">
        <v>172</v>
      </c>
      <c r="F4">
        <v>731</v>
      </c>
      <c r="G4">
        <v>8.4</v>
      </c>
      <c r="H4">
        <v>8.9</v>
      </c>
      <c r="I4">
        <v>100</v>
      </c>
      <c r="J4">
        <v>0</v>
      </c>
      <c r="K4"/>
      <c r="L4"/>
      <c r="M4" t="inlineStr">
        <is>
          <t>降关税</t>
        </is>
      </c>
      <c r="N4" t="inlineStr">
        <is>
          <t>佳景</t>
        </is>
      </c>
      <c r="O4" t="inlineStr">
        <is>
          <t>已付</t>
        </is>
      </c>
      <c r="P4" s="2"/>
    </row>
    <row r="5" ht="25.5" customHeight="1">
      <c r="A5" t="inlineStr">
        <is>
          <t>No-2025021101</t>
        </is>
      </c>
      <c r="B5"/>
      <c r="C5" t="inlineStr">
        <is>
          <t>US</t>
        </is>
      </c>
      <c r="D5" t="inlineStr">
        <is>
          <t>普船</t>
        </is>
      </c>
      <c r="E5">
        <v>600</v>
      </c>
      <c r="F5">
        <v>2550</v>
      </c>
      <c r="G5">
        <v>12.7</v>
      </c>
      <c r="H5">
        <v>7.5</v>
      </c>
      <c r="I5">
        <v>100</v>
      </c>
      <c r="J5">
        <v>0</v>
      </c>
      <c r="K5"/>
      <c r="L5"/>
      <c r="M5"/>
      <c r="N5" t="inlineStr">
        <is>
          <t>佳景</t>
        </is>
      </c>
      <c r="O5" t="inlineStr">
        <is>
          <t>已付</t>
        </is>
      </c>
      <c r="P5" s="2"/>
    </row>
    <row r="6" ht="25.5" customHeight="1">
      <c r="A6" t="inlineStr">
        <is>
          <t>No-2025021101</t>
        </is>
      </c>
      <c r="B6"/>
      <c r="C6" t="inlineStr">
        <is>
          <t>EU</t>
        </is>
      </c>
      <c r="D6" t="inlineStr">
        <is>
          <t>铁路</t>
        </is>
      </c>
      <c r="E6">
        <v>360</v>
      </c>
      <c r="F6">
        <v>1531</v>
      </c>
      <c r="G6">
        <v>8.5</v>
      </c>
      <c r="H6">
        <v>8.5</v>
      </c>
      <c r="I6">
        <v>750</v>
      </c>
      <c r="J6"/>
      <c r="K6"/>
      <c r="L6"/>
      <c r="M6"/>
      <c r="N6" t="inlineStr">
        <is>
          <t>天运</t>
        </is>
      </c>
      <c r="O6" t="inlineStr">
        <is>
          <t>已付</t>
        </is>
      </c>
      <c r="P6" s="2"/>
    </row>
    <row r="7" ht="25.5" customHeight="1">
      <c r="A7" t="inlineStr">
        <is>
          <t>No-2025021101</t>
        </is>
      </c>
      <c r="B7"/>
      <c r="C7" t="inlineStr">
        <is>
          <t>EU</t>
        </is>
      </c>
      <c r="D7" t="inlineStr">
        <is>
          <t>整柜</t>
        </is>
      </c>
      <c r="E7">
        <v>1140</v>
      </c>
      <c r="F7">
        <v>27.9</v>
      </c>
      <c r="G7">
        <v>8.5</v>
      </c>
      <c r="H7">
        <v>70</v>
      </c>
      <c r="I7">
        <v>350</v>
      </c>
      <c r="J7"/>
      <c r="K7"/>
      <c r="L7"/>
      <c r="M7"/>
      <c r="N7" t="inlineStr">
        <is>
          <t>4PX</t>
        </is>
      </c>
      <c r="O7"/>
      <c r="P7" s="2"/>
    </row>
    <row r="8" ht="25.5" customHeight="1">
      <c r="A8" t="inlineStr">
        <is>
          <t>No-2025021101</t>
        </is>
      </c>
      <c r="B8"/>
      <c r="C8" t="inlineStr">
        <is>
          <t>UK</t>
        </is>
      </c>
      <c r="D8" t="inlineStr">
        <is>
          <t>铁路</t>
        </is>
      </c>
      <c r="E8">
        <v>160</v>
      </c>
      <c r="F8">
        <v>681</v>
      </c>
      <c r="G8">
        <v>10.5</v>
      </c>
      <c r="H8">
        <v>10.5</v>
      </c>
      <c r="I8">
        <v>750</v>
      </c>
      <c r="J8"/>
      <c r="K8"/>
      <c r="L8"/>
      <c r="M8"/>
      <c r="N8" t="inlineStr">
        <is>
          <t>天运</t>
        </is>
      </c>
      <c r="O8" t="inlineStr">
        <is>
          <t>已付</t>
        </is>
      </c>
      <c r="P8" s="2"/>
    </row>
    <row r="9" ht="25.5" customHeight="1">
      <c r="A9" t="inlineStr">
        <is>
          <t>No-2025021101</t>
        </is>
      </c>
      <c r="B9"/>
      <c r="C9" t="inlineStr">
        <is>
          <t>UK</t>
        </is>
      </c>
      <c r="D9" t="inlineStr">
        <is>
          <t>海运</t>
        </is>
      </c>
      <c r="E9">
        <v>340</v>
      </c>
      <c r="F9">
        <v>8.672</v>
      </c>
      <c r="G9">
        <v>570</v>
      </c>
      <c r="H9">
        <v>570</v>
      </c>
      <c r="I9">
        <v>750</v>
      </c>
      <c r="J9"/>
      <c r="K9"/>
      <c r="L9"/>
      <c r="M9"/>
      <c r="N9" t="inlineStr">
        <is>
          <t>飞高</t>
        </is>
      </c>
      <c r="O9" t="inlineStr">
        <is>
          <t>已付</t>
        </is>
      </c>
      <c r="P9" s="2"/>
    </row>
    <row r="10" ht="25.5" customHeight="1">
      <c r="A10"/>
      <c r="B10"/>
      <c r="C10"/>
      <c r="D10"/>
      <c r="E10"/>
      <c r="F10"/>
      <c r="G10"/>
      <c r="H10"/>
      <c r="I10"/>
      <c r="J10"/>
      <c r="K10"/>
      <c r="L10"/>
      <c r="M10"/>
      <c r="N10"/>
      <c r="O10"/>
      <c r="P10" s="2"/>
    </row>
    <row r="11" ht="25.5" customHeight="1">
      <c r="A11"/>
      <c r="B11"/>
      <c r="C11" t="inlineStr">
        <is>
          <t>EU</t>
        </is>
      </c>
      <c r="D11" t="inlineStr">
        <is>
          <t>空运-C1</t>
        </is>
      </c>
      <c r="E11">
        <v>100</v>
      </c>
      <c r="F11">
        <v>40</v>
      </c>
      <c r="G11">
        <v>30</v>
      </c>
      <c r="H11"/>
      <c r="I11">
        <v>350</v>
      </c>
      <c r="J11">
        <v>0</v>
      </c>
      <c r="K11"/>
      <c r="L11"/>
      <c r="M11"/>
      <c r="N11" t="inlineStr">
        <is>
          <t>美易</t>
        </is>
      </c>
      <c r="O11"/>
      <c r="P11" s="2"/>
    </row>
    <row r="12" ht="25.5" customHeight="1">
      <c r="A12"/>
      <c r="B12"/>
      <c r="C12" t="inlineStr">
        <is>
          <t>EU</t>
        </is>
      </c>
      <c r="D12" t="inlineStr">
        <is>
          <t>铁路-UPS</t>
        </is>
      </c>
      <c r="E12">
        <v>500</v>
      </c>
      <c r="F12">
        <v>199</v>
      </c>
      <c r="G12">
        <v>10.5</v>
      </c>
      <c r="H12"/>
      <c r="I12">
        <v>350</v>
      </c>
      <c r="J12">
        <v>0</v>
      </c>
      <c r="K12"/>
      <c r="L12"/>
      <c r="M12"/>
      <c r="N12" t="inlineStr">
        <is>
          <t>美易</t>
        </is>
      </c>
      <c r="O12"/>
      <c r="P12" s="2"/>
    </row>
    <row r="13" ht="25.5" customHeight="1">
      <c r="A13"/>
      <c r="B13"/>
      <c r="C13" t="inlineStr">
        <is>
          <t>UK</t>
        </is>
      </c>
      <c r="D13" t="inlineStr">
        <is>
          <t>空运-A0</t>
        </is>
      </c>
      <c r="E13">
        <v>100</v>
      </c>
      <c r="F13">
        <v>40</v>
      </c>
      <c r="G13">
        <v>37</v>
      </c>
      <c r="H13"/>
      <c r="I13">
        <v>350</v>
      </c>
      <c r="J13">
        <v>0</v>
      </c>
      <c r="K13"/>
      <c r="L13"/>
      <c r="M13"/>
      <c r="N13" t="inlineStr">
        <is>
          <t>美易</t>
        </is>
      </c>
      <c r="O13"/>
      <c r="P13" s="2"/>
    </row>
    <row r="14" ht="25.5" customHeight="1">
      <c r="A14"/>
      <c r="B14"/>
      <c r="C14" t="inlineStr">
        <is>
          <t>UK</t>
        </is>
      </c>
      <c r="D14" t="inlineStr">
        <is>
          <t>铁路-DPD</t>
        </is>
      </c>
      <c r="E14">
        <v>300</v>
      </c>
      <c r="F14">
        <v>120</v>
      </c>
      <c r="G14">
        <v>13</v>
      </c>
      <c r="H14"/>
      <c r="I14">
        <v>350</v>
      </c>
      <c r="J14">
        <v>0</v>
      </c>
      <c r="K14"/>
      <c r="L14"/>
      <c r="M14"/>
      <c r="N14" t="inlineStr">
        <is>
          <t>美易</t>
        </is>
      </c>
      <c r="O14"/>
      <c r="P14" s="2"/>
    </row>
    <row r="15" ht="25.5" customHeight="1">
      <c r="A15"/>
      <c r="B15"/>
      <c r="C15"/>
      <c r="D15"/>
      <c r="E15"/>
      <c r="F15"/>
      <c r="G15"/>
      <c r="H15"/>
      <c r="I15"/>
      <c r="J15"/>
      <c r="K15"/>
      <c r="L15"/>
      <c r="M15"/>
      <c r="N15"/>
      <c r="O15"/>
      <c r="P15" s="2"/>
    </row>
    <row r="16" ht="25.5" customHeight="1">
      <c r="A16" t="inlineStr">
        <is>
          <t>No-2025062702</t>
        </is>
      </c>
      <c r="B16"/>
      <c r="C16" t="inlineStr">
        <is>
          <t>EU</t>
        </is>
      </c>
      <c r="D16" t="inlineStr">
        <is>
          <t>铁路</t>
        </is>
      </c>
      <c r="E16">
        <v>500</v>
      </c>
      <c r="F16">
        <v>2123</v>
      </c>
      <c r="G16">
        <v>10.8</v>
      </c>
      <c r="H16"/>
      <c r="I16">
        <v>350</v>
      </c>
      <c r="J16">
        <v>0</v>
      </c>
      <c r="K16"/>
      <c r="L16"/>
      <c r="M16"/>
      <c r="N16" t="inlineStr">
        <is>
          <t>嘀嗒嘀</t>
        </is>
      </c>
      <c r="O16" t="inlineStr">
        <is>
          <t>已付</t>
        </is>
      </c>
      <c r="P16" s="2"/>
    </row>
    <row r="17" ht="25.5" customHeight="1">
      <c r="A17" t="inlineStr">
        <is>
          <t>No-2025062701</t>
        </is>
      </c>
      <c r="B17"/>
      <c r="C17" t="inlineStr">
        <is>
          <t>EU</t>
        </is>
      </c>
      <c r="D17" t="inlineStr">
        <is>
          <t>整柜</t>
        </is>
      </c>
      <c r="E17">
        <v>1500</v>
      </c>
      <c r="F17">
        <v>36.7</v>
      </c>
      <c r="G17">
        <v>750</v>
      </c>
      <c r="H17"/>
      <c r="I17">
        <v>750</v>
      </c>
      <c r="J17"/>
      <c r="K17"/>
      <c r="L17"/>
      <c r="M17"/>
      <c r="N17" t="inlineStr">
        <is>
          <t>欧铁</t>
        </is>
      </c>
      <c r="O17" t="inlineStr">
        <is>
          <t>已付</t>
        </is>
      </c>
      <c r="P17" s="2"/>
    </row>
    <row r="18" ht="25.5" customHeight="1">
      <c r="A18" t="inlineStr">
        <is>
          <t>No-2025063001</t>
        </is>
      </c>
      <c r="B18"/>
      <c r="C18" t="inlineStr">
        <is>
          <t>UK</t>
        </is>
      </c>
      <c r="D18" t="inlineStr">
        <is>
          <t>散货</t>
        </is>
      </c>
      <c r="E18">
        <v>500</v>
      </c>
      <c r="F18">
        <v>12.8</v>
      </c>
      <c r="G18">
        <v>590</v>
      </c>
      <c r="H18"/>
      <c r="I18">
        <v>650</v>
      </c>
      <c r="J18"/>
      <c r="K18"/>
      <c r="L18"/>
      <c r="M18"/>
      <c r="N18" t="inlineStr">
        <is>
          <t>保英达</t>
        </is>
      </c>
      <c r="O18" t="inlineStr">
        <is>
          <t>已付</t>
        </is>
      </c>
      <c r="P18" s="2"/>
    </row>
    <row r="19" ht="25.5" customHeight="1">
      <c r="A19" t="inlineStr">
        <is>
          <t>No-2025062702</t>
        </is>
      </c>
      <c r="B19"/>
      <c r="C19" t="inlineStr">
        <is>
          <t>EU</t>
        </is>
      </c>
      <c r="D19" t="inlineStr">
        <is>
          <t>整柜</t>
        </is>
      </c>
      <c r="E19">
        <v>1000</v>
      </c>
      <c r="F19">
        <v>25</v>
      </c>
      <c r="G19">
        <v>650</v>
      </c>
      <c r="H19"/>
      <c r="I19">
        <v>750</v>
      </c>
      <c r="J19"/>
      <c r="K19"/>
      <c r="L19"/>
      <c r="M19"/>
      <c r="N19" t="inlineStr">
        <is>
          <t>4PX</t>
        </is>
      </c>
      <c r="O19" t="inlineStr">
        <is>
          <t>已付</t>
        </is>
      </c>
      <c r="P19" s="2"/>
    </row>
    <row r="20" ht="25.5" customHeight="1">
      <c r="A20"/>
      <c r="B20"/>
      <c r="C20"/>
      <c r="D20"/>
      <c r="E20"/>
      <c r="F20"/>
      <c r="G20"/>
      <c r="H20"/>
      <c r="I20"/>
      <c r="J20"/>
      <c r="K20"/>
      <c r="L20"/>
      <c r="M20"/>
      <c r="N20"/>
      <c r="O20"/>
      <c r="P20" s="2"/>
    </row>
    <row r="21" ht="25.5" customHeight="1">
      <c r="A21" t="inlineStr">
        <is>
          <t>No-2025090201</t>
        </is>
      </c>
      <c r="B21"/>
      <c r="C21" t="inlineStr">
        <is>
          <t>UK</t>
        </is>
      </c>
      <c r="D21" t="inlineStr">
        <is>
          <t>散货</t>
        </is>
      </c>
      <c r="E21">
        <v>500</v>
      </c>
      <c r="F21">
        <v>12.7</v>
      </c>
      <c r="G21">
        <v>540</v>
      </c>
      <c r="H21"/>
      <c r="I21">
        <v>650</v>
      </c>
      <c r="J21"/>
      <c r="K21"/>
      <c r="L21"/>
      <c r="M21"/>
      <c r="N21" t="inlineStr">
        <is>
          <t>保英达</t>
        </is>
      </c>
      <c r="O21" t="inlineStr">
        <is>
          <t>已付</t>
        </is>
      </c>
      <c r="P21" s="2"/>
    </row>
    <row r="22" ht="25.5" customHeight="1">
      <c r="A22" t="inlineStr">
        <is>
          <t>No-2025090201</t>
        </is>
      </c>
      <c r="B22"/>
      <c r="C22" t="inlineStr">
        <is>
          <t>EU</t>
        </is>
      </c>
      <c r="D22" t="inlineStr">
        <is>
          <t>整柜</t>
        </is>
      </c>
      <c r="E22">
        <v>2000</v>
      </c>
      <c r="F22">
        <v>50</v>
      </c>
      <c r="G22"/>
      <c r="H22"/>
      <c r="I22">
        <v>650</v>
      </c>
      <c r="J22"/>
      <c r="K22"/>
      <c r="L22"/>
      <c r="M22"/>
      <c r="N22" t="inlineStr">
        <is>
          <t>飞高</t>
        </is>
      </c>
      <c r="O22" t="inlineStr">
        <is>
          <t>已付</t>
        </is>
      </c>
      <c r="P22" s="2"/>
    </row>
    <row r="23" ht="25.5" customHeight="1">
      <c r="A23"/>
      <c r="B23"/>
      <c r="C23"/>
      <c r="D23"/>
      <c r="E23"/>
      <c r="F23"/>
      <c r="G23"/>
      <c r="H23"/>
      <c r="I23"/>
      <c r="J23"/>
      <c r="K23"/>
      <c r="L23"/>
      <c r="M23"/>
      <c r="N23"/>
      <c r="O23"/>
      <c r="P23" s="2"/>
    </row>
    <row r="24" ht="25.5" customHeight="1">
      <c r="A24" t="inlineStr">
        <is>
          <t>No-2025090201</t>
        </is>
      </c>
      <c r="B24"/>
      <c r="C24" t="inlineStr">
        <is>
          <t>EU</t>
        </is>
      </c>
      <c r="D24" t="inlineStr">
        <is>
          <t>整柜</t>
        </is>
      </c>
      <c r="E24">
        <v>500</v>
      </c>
      <c r="F24">
        <v>12.5</v>
      </c>
      <c r="G24"/>
      <c r="H24"/>
      <c r="I24">
        <v>650</v>
      </c>
      <c r="J24"/>
      <c r="K24"/>
      <c r="L24"/>
      <c r="M24"/>
      <c r="N24" t="inlineStr">
        <is>
          <t>飞高</t>
        </is>
      </c>
      <c r="O24"/>
      <c r="P24" s="2"/>
    </row>
    <row r="25" ht="25.5" customHeight="1">
      <c r="A25" t="inlineStr">
        <is>
          <t>No-2025080801</t>
        </is>
      </c>
      <c r="B25"/>
      <c r="C25" t="inlineStr">
        <is>
          <t>EU</t>
        </is>
      </c>
      <c r="D25" t="inlineStr">
        <is>
          <t>铁路</t>
        </is>
      </c>
      <c r="E25">
        <v>225</v>
      </c>
      <c r="F25">
        <v>470</v>
      </c>
      <c r="G25">
        <v>8.5</v>
      </c>
      <c r="H25"/>
      <c r="I25">
        <v>700</v>
      </c>
      <c r="J25"/>
      <c r="K25"/>
      <c r="L25"/>
      <c r="M25"/>
      <c r="N25" t="inlineStr">
        <is>
          <t>飞高</t>
        </is>
      </c>
      <c r="O25"/>
      <c r="P25" s="2"/>
    </row>
    <row r="26" ht="25.5" customHeight="1">
      <c r="A26" t="inlineStr">
        <is>
          <t>No-2025080801</t>
        </is>
      </c>
      <c r="B26"/>
      <c r="C26" t="inlineStr">
        <is>
          <t>EU</t>
        </is>
      </c>
      <c r="D26" t="inlineStr">
        <is>
          <t>散货</t>
        </is>
      </c>
      <c r="E26">
        <v>765</v>
      </c>
      <c r="F26">
        <v>1600</v>
      </c>
      <c r="G26">
        <v>5.4</v>
      </c>
      <c r="H26"/>
      <c r="I26">
        <v>700</v>
      </c>
      <c r="J26"/>
      <c r="K26"/>
      <c r="L26"/>
      <c r="M26"/>
      <c r="N26" t="inlineStr">
        <is>
          <t>飞高</t>
        </is>
      </c>
      <c r="O26"/>
      <c r="P26" s="2"/>
    </row>
    <row r="27" ht="25.5" customHeight="1">
      <c r="A27" t="inlineStr">
        <is>
          <t>No-2025080801</t>
        </is>
      </c>
      <c r="B27"/>
      <c r="C27" t="inlineStr">
        <is>
          <t>UK</t>
        </is>
      </c>
      <c r="D27" t="inlineStr">
        <is>
          <t>铁路</t>
        </is>
      </c>
      <c r="E27">
        <v>135</v>
      </c>
      <c r="F27">
        <v>282</v>
      </c>
      <c r="G27">
        <v>9</v>
      </c>
      <c r="H27"/>
      <c r="I27">
        <v>700</v>
      </c>
      <c r="J27"/>
      <c r="K27"/>
      <c r="L27"/>
      <c r="M27"/>
      <c r="N27" t="inlineStr">
        <is>
          <t>飞高</t>
        </is>
      </c>
      <c r="O27"/>
      <c r="P27" s="2"/>
    </row>
    <row r="28" ht="25.5" customHeight="1">
      <c r="A28" t="inlineStr">
        <is>
          <t>No-2025080801</t>
        </is>
      </c>
      <c r="B28"/>
      <c r="C28" t="inlineStr">
        <is>
          <t>UK</t>
        </is>
      </c>
      <c r="D28" t="inlineStr">
        <is>
          <t>散货</t>
        </is>
      </c>
      <c r="E28">
        <v>405</v>
      </c>
      <c r="F28">
        <v>847</v>
      </c>
      <c r="G28">
        <v>3.7</v>
      </c>
      <c r="H28"/>
      <c r="I28">
        <v>700</v>
      </c>
      <c r="J28"/>
      <c r="K28"/>
      <c r="L28"/>
      <c r="M28"/>
      <c r="N28" t="inlineStr">
        <is>
          <t>飞高</t>
        </is>
      </c>
      <c r="O28"/>
      <c r="P28" s="2"/>
    </row>
    <row r="29" ht="25.5" customHeight="1">
      <c r="A29" t="inlineStr">
        <is>
          <t>No-2025080801</t>
        </is>
      </c>
      <c r="B29"/>
      <c r="C29" t="inlineStr">
        <is>
          <t>EU</t>
        </is>
      </c>
      <c r="D29" t="inlineStr">
        <is>
          <t>铁路</t>
        </is>
      </c>
      <c r="E29">
        <v>108</v>
      </c>
      <c r="F29">
        <v>89</v>
      </c>
      <c r="G29">
        <v>8.5</v>
      </c>
      <c r="H29"/>
      <c r="I29">
        <v>0</v>
      </c>
      <c r="J29"/>
      <c r="K29"/>
      <c r="L29"/>
      <c r="M29"/>
      <c r="N29" t="inlineStr">
        <is>
          <t>飞高</t>
        </is>
      </c>
      <c r="O29"/>
      <c r="P29" s="2"/>
    </row>
    <row r="30" ht="25.5" customHeight="1">
      <c r="A30" t="inlineStr">
        <is>
          <t>No-2025080801</t>
        </is>
      </c>
      <c r="B30"/>
      <c r="C30" t="inlineStr">
        <is>
          <t>UK</t>
        </is>
      </c>
      <c r="D30" t="inlineStr">
        <is>
          <t>铁路</t>
        </is>
      </c>
      <c r="E30">
        <v>54</v>
      </c>
      <c r="F30">
        <v>45</v>
      </c>
      <c r="G30">
        <v>9</v>
      </c>
      <c r="H30"/>
      <c r="I30">
        <v>0</v>
      </c>
      <c r="J30"/>
      <c r="K30"/>
      <c r="L30"/>
      <c r="M30"/>
      <c r="N30" t="inlineStr">
        <is>
          <t>飞高</t>
        </is>
      </c>
      <c r="O30"/>
      <c r="P30" s="2"/>
    </row>
    <row r="31" ht="25.5" customHeight="1">
      <c r="A31" t="inlineStr">
        <is>
          <t>No-2025080801</t>
        </is>
      </c>
      <c r="B31"/>
      <c r="C31" t="inlineStr">
        <is>
          <t>US</t>
        </is>
      </c>
      <c r="D31" t="inlineStr">
        <is>
          <t>海运</t>
        </is>
      </c>
      <c r="E31">
        <v>180</v>
      </c>
      <c r="F31">
        <v>377</v>
      </c>
      <c r="G31">
        <v>5.7</v>
      </c>
      <c r="H31"/>
      <c r="I31">
        <v>350</v>
      </c>
      <c r="J31"/>
      <c r="K31"/>
      <c r="L31"/>
      <c r="M31"/>
      <c r="N31" t="inlineStr">
        <is>
          <t>飞高</t>
        </is>
      </c>
      <c r="O31"/>
      <c r="P31" s="2"/>
    </row>
    <row r="32" ht="25.5" customHeight="1">
      <c r="A32" t="inlineStr">
        <is>
          <t>No-2025080801</t>
        </is>
      </c>
      <c r="B32"/>
      <c r="C32" t="inlineStr">
        <is>
          <t>US</t>
        </is>
      </c>
      <c r="D32" t="inlineStr">
        <is>
          <t>海运</t>
        </is>
      </c>
      <c r="E32">
        <v>360</v>
      </c>
      <c r="F32">
        <v>753</v>
      </c>
      <c r="G32">
        <v>7.3</v>
      </c>
      <c r="H32"/>
      <c r="I32">
        <v>350</v>
      </c>
      <c r="J32"/>
      <c r="K32"/>
      <c r="L32"/>
      <c r="M32"/>
      <c r="N32" t="inlineStr">
        <is>
          <t>飞高</t>
        </is>
      </c>
      <c r="O32"/>
      <c r="P32" s="2"/>
    </row>
    <row r="33" ht="25.5" customHeight="1">
      <c r="A33" t="inlineStr">
        <is>
          <t>No-2025080801</t>
        </is>
      </c>
      <c r="B33"/>
      <c r="C33" t="inlineStr">
        <is>
          <t>US</t>
        </is>
      </c>
      <c r="D33" t="inlineStr">
        <is>
          <t>海运</t>
        </is>
      </c>
      <c r="E33">
        <v>54</v>
      </c>
      <c r="F33">
        <v>45</v>
      </c>
      <c r="G33">
        <v>10.5</v>
      </c>
      <c r="H33"/>
      <c r="I33"/>
      <c r="J33"/>
      <c r="K33"/>
      <c r="L33"/>
      <c r="M33"/>
      <c r="N33" t="inlineStr">
        <is>
          <t>飞高</t>
        </is>
      </c>
      <c r="O33"/>
      <c r="P33" s="2"/>
    </row>
    <row r="34" ht="25.5" customHeight="1">
      <c r="A34"/>
      <c r="B34"/>
      <c r="C34"/>
      <c r="D34"/>
      <c r="E34"/>
      <c r="F34"/>
      <c r="G34"/>
      <c r="H34"/>
      <c r="I34"/>
      <c r="J34"/>
      <c r="K34"/>
      <c r="L34"/>
      <c r="M34"/>
      <c r="N34"/>
      <c r="O34"/>
      <c r="P34" s="2"/>
    </row>
    <row r="35" ht="25.5" customHeight="1">
      <c r="A35" t="inlineStr">
        <is>
          <t>No-2025111401</t>
        </is>
      </c>
      <c r="B35"/>
      <c r="C35" t="inlineStr">
        <is>
          <t>UK</t>
        </is>
      </c>
      <c r="D35" t="inlineStr">
        <is>
          <t>海运</t>
        </is>
      </c>
      <c r="E35">
        <v>700</v>
      </c>
      <c r="F35">
        <v>17.1</v>
      </c>
      <c r="G35">
        <v>550</v>
      </c>
      <c r="H35"/>
      <c r="I35">
        <v>650</v>
      </c>
      <c r="J35"/>
      <c r="K35"/>
      <c r="L35"/>
      <c r="M35"/>
      <c r="N35" t="inlineStr">
        <is>
          <t>保英达</t>
        </is>
      </c>
      <c r="O35" t="inlineStr">
        <is>
          <t>已付</t>
        </is>
      </c>
      <c r="P35" s="2"/>
    </row>
    <row r="36" ht="25.5" customHeight="1">
      <c r="A36" t="inlineStr">
        <is>
          <t>No-2025111401</t>
        </is>
      </c>
      <c r="B36"/>
      <c r="C36" t="inlineStr">
        <is>
          <t>EU</t>
        </is>
      </c>
      <c r="D36" t="inlineStr">
        <is>
          <t>整柜</t>
        </is>
      </c>
      <c r="E36">
        <v>1800</v>
      </c>
      <c r="F36">
        <v>44</v>
      </c>
      <c r="G36"/>
      <c r="H36"/>
      <c r="I36">
        <v>650</v>
      </c>
      <c r="J36"/>
      <c r="K36"/>
      <c r="L36"/>
      <c r="M36"/>
      <c r="N36" t="inlineStr">
        <is>
          <t>飞高</t>
        </is>
      </c>
      <c r="O36"/>
      <c r="P36" s="2"/>
    </row>
    <row r="37" ht="25.5" customHeight="1">
      <c r="A37"/>
      <c r="B37"/>
      <c r="C37"/>
      <c r="D37"/>
      <c r="E37"/>
      <c r="F37"/>
      <c r="G37"/>
      <c r="H37"/>
      <c r="I37"/>
      <c r="J37"/>
      <c r="K37"/>
      <c r="L37"/>
      <c r="M37"/>
      <c r="N37"/>
      <c r="O37"/>
      <c r="P37" s="2"/>
    </row>
    <row r="38" ht="25.5" customHeight="1">
      <c r="A38" t="inlineStr">
        <is>
          <t>No-2025121801</t>
        </is>
      </c>
      <c r="B38"/>
      <c r="C38" t="inlineStr">
        <is>
          <t>EU</t>
        </is>
      </c>
      <c r="D38" t="inlineStr">
        <is>
          <t>海运</t>
        </is>
      </c>
      <c r="E38">
        <v>1440</v>
      </c>
      <c r="F38">
        <v>3012</v>
      </c>
      <c r="G38">
        <v>3.8</v>
      </c>
      <c r="H38"/>
      <c r="I38">
        <v>700</v>
      </c>
      <c r="J38"/>
      <c r="K38"/>
      <c r="L38"/>
      <c r="M38"/>
      <c r="N38" t="inlineStr">
        <is>
          <t>飞高</t>
        </is>
      </c>
      <c r="O38"/>
      <c r="P38" s="2">
        <v>46023</v>
      </c>
    </row>
    <row r="39" ht="25.5" customHeight="1">
      <c r="A39" t="inlineStr">
        <is>
          <t>No-2025121801</t>
        </is>
      </c>
      <c r="B39"/>
      <c r="C39" t="inlineStr">
        <is>
          <t>UK</t>
        </is>
      </c>
      <c r="D39" t="inlineStr">
        <is>
          <t>海运</t>
        </is>
      </c>
      <c r="E39">
        <v>630</v>
      </c>
      <c r="F39">
        <v>1318</v>
      </c>
      <c r="G39">
        <v>3.6</v>
      </c>
      <c r="H39"/>
      <c r="I39">
        <v>700</v>
      </c>
      <c r="J39"/>
      <c r="K39"/>
      <c r="L39"/>
      <c r="M39"/>
      <c r="N39" t="inlineStr">
        <is>
          <t>飞高</t>
        </is>
      </c>
      <c r="O39"/>
      <c r="P39" s="2">
        <v>46023</v>
      </c>
    </row>
    <row r="40" ht="25.5" customHeight="1">
      <c r="A40"/>
      <c r="B40"/>
      <c r="C40"/>
      <c r="D40"/>
      <c r="E40"/>
      <c r="F40"/>
      <c r="G40"/>
      <c r="H40"/>
      <c r="I40"/>
      <c r="J40"/>
      <c r="K40"/>
      <c r="L40"/>
      <c r="M40"/>
      <c r="N40"/>
      <c r="O40"/>
      <c r="P40" s="2"/>
    </row>
    <row r="41" ht="25.5" customHeight="1">
      <c r="A41" t="inlineStr">
        <is>
          <t>No-2025111402</t>
        </is>
      </c>
      <c r="B41"/>
      <c r="C41" t="inlineStr">
        <is>
          <t>EU</t>
        </is>
      </c>
      <c r="D41" t="inlineStr">
        <is>
          <t>整柜</t>
        </is>
      </c>
      <c r="E41">
        <v>1000</v>
      </c>
      <c r="F41">
        <v>24.5</v>
      </c>
      <c r="G41"/>
      <c r="H41"/>
      <c r="I41">
        <v>650</v>
      </c>
      <c r="J41"/>
      <c r="K41"/>
      <c r="L41"/>
      <c r="M41"/>
      <c r="N41" t="inlineStr">
        <is>
          <t>飞高</t>
        </is>
      </c>
      <c r="O41"/>
      <c r="P41" s="2">
        <v>46023</v>
      </c>
    </row>
    <row r="42" ht="25.5" customHeight="1">
      <c r="A42"/>
      <c r="B42"/>
      <c r="C42"/>
      <c r="D42"/>
      <c r="E42"/>
      <c r="F42"/>
      <c r="G42"/>
      <c r="H42"/>
      <c r="I42"/>
      <c r="J42"/>
      <c r="K42"/>
      <c r="L42"/>
      <c r="M42"/>
      <c r="N42"/>
      <c r="O42"/>
      <c r="P42" s="2"/>
    </row>
    <row r="43" ht="25.5" customHeight="1">
      <c r="A43" t="inlineStr">
        <is>
          <t>No-2026013001</t>
        </is>
      </c>
      <c r="B43"/>
      <c r="C43" t="inlineStr">
        <is>
          <t>EU</t>
        </is>
      </c>
      <c r="D43" t="inlineStr">
        <is>
          <t>海运</t>
        </is>
      </c>
      <c r="E43">
        <v>1800</v>
      </c>
      <c r="F43"/>
      <c r="G43">
        <v>3.8</v>
      </c>
      <c r="H43"/>
      <c r="I43">
        <v>700</v>
      </c>
      <c r="J43"/>
      <c r="K43"/>
      <c r="L43"/>
      <c r="M43"/>
      <c r="N43" t="inlineStr">
        <is>
          <t>飞高</t>
        </is>
      </c>
      <c r="O43"/>
      <c r="P43" s="2">
        <v>46054</v>
      </c>
    </row>
  </sheetData>
  <dataValidations count="4">
    <dataValidation allowBlank="false" sqref="B2:B42" type="list">
      <formula1>"HYCHIKA-MV2501-除螨仪,HYCHIKA-RS1棘轮螺丝刀套装,HYCHIKA-AP100A-空净,HYCHIKA-F100A-滤芯"</formula1>
    </dataValidation>
    <dataValidation allowBlank="false" sqref="C2:C42" type="list">
      <formula1>"US,EU,UK"</formula1>
    </dataValidation>
    <dataValidation allowBlank="false" sqref="D2:D42" type="list">
      <formula1>"美森,普船,铁路,整柜,海运,空运-C1,铁路-UPS,空运-A0,铁路-DPD,散货"</formula1>
    </dataValidation>
    <dataValidation allowBlank="false" sqref="N2:N42" type="list">
      <formula1>"佳景,天运,4PX,飞高,美易,嘀嗒嘀,欧铁,保英达"</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月份</t>
        </is>
      </c>
      <c r="B1" s="1" t="inlineStr">
        <is>
          <t>期初库存</t>
        </is>
      </c>
      <c r="C1" s="1" t="inlineStr">
        <is>
          <t>入库数量</t>
        </is>
      </c>
      <c r="D1" s="1" t="inlineStr">
        <is>
          <t>待发PO</t>
        </is>
      </c>
      <c r="E1" s="1" t="inlineStr">
        <is>
          <t>普通PO</t>
        </is>
      </c>
      <c r="F1" s="1" t="inlineStr">
        <is>
          <t>PO计划
月销</t>
        </is>
      </c>
      <c r="G1" s="1" t="inlineStr">
        <is>
          <t>PO实际
月销</t>
        </is>
      </c>
      <c r="H1" s="1" t="inlineStr">
        <is>
          <t>前台
月销</t>
        </is>
      </c>
      <c r="I1" s="1" t="inlineStr">
        <is>
          <t>前台期末库存</t>
        </is>
      </c>
      <c r="J1" s="1" t="inlineStr">
        <is>
          <t>入库备注</t>
        </is>
      </c>
      <c r="K1" s="1" t="inlineStr">
        <is>
          <t>到货时间</t>
        </is>
      </c>
      <c r="L1" s="1" t="inlineStr">
        <is>
          <t>出货时间</t>
        </is>
      </c>
      <c r="M1" s="1" t="inlineStr">
        <is>
          <t>下单时间</t>
        </is>
      </c>
      <c r="N1" s="1" t="inlineStr">
        <is>
          <t>订单状态</t>
        </is>
      </c>
      <c r="O1" s="1" t="inlineStr">
        <is>
          <t>采购单号</t>
        </is>
      </c>
      <c r="P1" s="1" t="inlineStr">
        <is>
          <t>物流
交期</t>
        </is>
      </c>
      <c r="Q1" s="1" t="inlineStr">
        <is>
          <t>生产
交期</t>
        </is>
      </c>
    </row>
    <row r="2" ht="25.5" customHeight="1">
      <c r="A2" t="inlineStr">
        <is>
          <t>2025/07/01</t>
        </is>
      </c>
      <c r="B2"/>
      <c r="C2" t="inlineStr">
        <is>
          <t>0</t>
        </is>
      </c>
      <c r="D2" t="inlineStr">
        <is>
          <t>0</t>
        </is>
      </c>
      <c r="E2" t="inlineStr">
        <is>
          <t>0</t>
        </is>
      </c>
      <c r="F2" t="inlineStr">
        <is>
          <t>800</t>
        </is>
      </c>
      <c r="G2" t="inlineStr">
        <is>
          <t>940</t>
        </is>
      </c>
      <c r="H2" t="inlineStr">
        <is>
          <t>559</t>
        </is>
      </c>
      <c r="I2" t="inlineStr">
        <is>
          <t>381</t>
        </is>
      </c>
      <c r="J2"/>
      <c r="K2"/>
      <c r="L2"/>
      <c r="M2"/>
      <c r="N2"/>
      <c r="O2"/>
      <c r="P2" t="inlineStr">
        <is>
          <t>65</t>
        </is>
      </c>
      <c r="Q2" t="inlineStr">
        <is>
          <t>30</t>
        </is>
      </c>
    </row>
    <row r="3" ht="25.5" customHeight="1">
      <c r="A3" t="inlineStr">
        <is>
          <t>2025/08/01</t>
        </is>
      </c>
      <c r="B3"/>
      <c r="C3"/>
      <c r="D3" t="inlineStr">
        <is>
          <t>0</t>
        </is>
      </c>
      <c r="E3" t="inlineStr">
        <is>
          <t>0</t>
        </is>
      </c>
      <c r="F3" t="inlineStr">
        <is>
          <t>340</t>
        </is>
      </c>
      <c r="G3" t="inlineStr">
        <is>
          <t>0</t>
        </is>
      </c>
      <c r="H3" t="inlineStr">
        <is>
          <t>312</t>
        </is>
      </c>
      <c r="I3" t="inlineStr">
        <is>
          <t>69</t>
        </is>
      </c>
      <c r="J3"/>
      <c r="K3"/>
      <c r="L3"/>
      <c r="M3"/>
      <c r="N3"/>
      <c r="O3"/>
      <c r="P3" t="inlineStr">
        <is>
          <t>65</t>
        </is>
      </c>
      <c r="Q3" t="inlineStr">
        <is>
          <t>30</t>
        </is>
      </c>
    </row>
    <row r="4" ht="25.5" customHeight="1">
      <c r="A4" t="inlineStr">
        <is>
          <t>2025/09/01</t>
        </is>
      </c>
      <c r="B4" t="inlineStr">
        <is>
          <t>0</t>
        </is>
      </c>
      <c r="C4" t="inlineStr">
        <is>
          <t>1500</t>
        </is>
      </c>
      <c r="D4" t="inlineStr">
        <is>
          <t>0</t>
        </is>
      </c>
      <c r="E4" t="inlineStr">
        <is>
          <t>0</t>
        </is>
      </c>
      <c r="F4" t="inlineStr">
        <is>
          <t>500</t>
        </is>
      </c>
      <c r="G4" t="inlineStr">
        <is>
          <t>624</t>
        </is>
      </c>
      <c r="H4" t="inlineStr">
        <is>
          <t>70</t>
        </is>
      </c>
      <c r="I4" t="inlineStr">
        <is>
          <t>623</t>
        </is>
      </c>
      <c r="J4" t="inlineStr">
        <is>
          <t>已入库</t>
        </is>
      </c>
      <c r="K4" t="inlineStr">
        <is>
          <t>2025/09/01</t>
        </is>
      </c>
      <c r="L4"/>
      <c r="M4"/>
      <c r="N4"/>
      <c r="O4"/>
      <c r="P4" t="inlineStr">
        <is>
          <t>30</t>
        </is>
      </c>
      <c r="Q4" t="inlineStr">
        <is>
          <t>30</t>
        </is>
      </c>
    </row>
    <row r="5" ht="25.5" customHeight="1">
      <c r="A5" t="inlineStr">
        <is>
          <t>2025/10/01</t>
        </is>
      </c>
      <c r="B5"/>
      <c r="C5" t="inlineStr">
        <is>
          <t>0</t>
        </is>
      </c>
      <c r="D5" t="inlineStr">
        <is>
          <t>0</t>
        </is>
      </c>
      <c r="E5" t="inlineStr">
        <is>
          <t>0</t>
        </is>
      </c>
      <c r="F5" t="inlineStr">
        <is>
          <t>740</t>
        </is>
      </c>
      <c r="G5" t="inlineStr">
        <is>
          <t>876</t>
        </is>
      </c>
      <c r="H5" t="inlineStr">
        <is>
          <t>434</t>
        </is>
      </c>
      <c r="I5" t="inlineStr">
        <is>
          <t>1065</t>
        </is>
      </c>
      <c r="J5"/>
      <c r="K5"/>
      <c r="L5"/>
      <c r="M5"/>
      <c r="N5"/>
      <c r="O5"/>
      <c r="P5" t="inlineStr">
        <is>
          <t>65</t>
        </is>
      </c>
      <c r="Q5" t="inlineStr">
        <is>
          <t>30</t>
        </is>
      </c>
    </row>
    <row r="6" ht="25.5" customHeight="1">
      <c r="A6" t="inlineStr">
        <is>
          <t>2025/11/01</t>
        </is>
      </c>
      <c r="B6" t="inlineStr">
        <is>
          <t>0</t>
        </is>
      </c>
      <c r="C6" t="inlineStr">
        <is>
          <t>1000</t>
        </is>
      </c>
      <c r="D6" t="inlineStr">
        <is>
          <t>0</t>
        </is>
      </c>
      <c r="E6" t="inlineStr">
        <is>
          <t>0</t>
        </is>
      </c>
      <c r="F6" t="inlineStr">
        <is>
          <t>800</t>
        </is>
      </c>
      <c r="G6" t="inlineStr">
        <is>
          <t>1000</t>
        </is>
      </c>
      <c r="H6" t="inlineStr">
        <is>
          <t>1890</t>
        </is>
      </c>
      <c r="I6" t="inlineStr">
        <is>
          <t>175</t>
        </is>
      </c>
      <c r="J6" t="inlineStr">
        <is>
          <t>已入库</t>
        </is>
      </c>
      <c r="K6" t="inlineStr">
        <is>
          <t>2025/11/01</t>
        </is>
      </c>
      <c r="L6"/>
      <c r="M6"/>
      <c r="N6"/>
      <c r="O6"/>
      <c r="P6" t="inlineStr">
        <is>
          <t>65</t>
        </is>
      </c>
      <c r="Q6" t="inlineStr">
        <is>
          <t>30</t>
        </is>
      </c>
    </row>
    <row r="7" ht="25.5" customHeight="1">
      <c r="A7" t="inlineStr">
        <is>
          <t>2025/12/01</t>
        </is>
      </c>
      <c r="B7"/>
      <c r="C7" t="inlineStr">
        <is>
          <t>2000</t>
        </is>
      </c>
      <c r="D7" t="inlineStr">
        <is>
          <t>0</t>
        </is>
      </c>
      <c r="E7" t="inlineStr">
        <is>
          <t>0</t>
        </is>
      </c>
      <c r="F7" t="inlineStr">
        <is>
          <t>1000</t>
        </is>
      </c>
      <c r="G7" t="inlineStr">
        <is>
          <t>952</t>
        </is>
      </c>
      <c r="H7" t="inlineStr">
        <is>
          <t>120</t>
        </is>
      </c>
      <c r="I7" t="inlineStr">
        <is>
          <t>1007</t>
        </is>
      </c>
      <c r="J7" t="inlineStr">
        <is>
          <t>已入库</t>
        </is>
      </c>
      <c r="K7" t="inlineStr">
        <is>
          <t>2025/12/20</t>
        </is>
      </c>
      <c r="L7"/>
      <c r="M7"/>
      <c r="N7"/>
      <c r="O7"/>
      <c r="P7" t="inlineStr">
        <is>
          <t>65</t>
        </is>
      </c>
      <c r="Q7" t="inlineStr">
        <is>
          <t>30</t>
        </is>
      </c>
    </row>
    <row r="8" ht="25.5" customHeight="1">
      <c r="A8" t="inlineStr">
        <is>
          <t>2026/01/01</t>
        </is>
      </c>
      <c r="B8"/>
      <c r="C8" t="inlineStr">
        <is>
          <t>500</t>
        </is>
      </c>
      <c r="D8" t="inlineStr">
        <is>
          <t>0</t>
        </is>
      </c>
      <c r="E8" t="inlineStr">
        <is>
          <t>0</t>
        </is>
      </c>
      <c r="F8" t="inlineStr">
        <is>
          <t>1000</t>
        </is>
      </c>
      <c r="G8" t="inlineStr">
        <is>
          <t>968</t>
        </is>
      </c>
      <c r="H8" t="inlineStr">
        <is>
          <t>860</t>
        </is>
      </c>
      <c r="I8" t="inlineStr">
        <is>
          <t>1115</t>
        </is>
      </c>
      <c r="J8" t="inlineStr">
        <is>
          <t>已入库</t>
        </is>
      </c>
      <c r="K8" t="inlineStr">
        <is>
          <t>2026/01/20</t>
        </is>
      </c>
      <c r="L8"/>
      <c r="M8"/>
      <c r="N8"/>
      <c r="O8"/>
      <c r="P8" t="inlineStr">
        <is>
          <t>60</t>
        </is>
      </c>
      <c r="Q8" t="inlineStr">
        <is>
          <t>30</t>
        </is>
      </c>
    </row>
    <row r="9" ht="25.5" customHeight="1">
      <c r="A9" t="inlineStr">
        <is>
          <t>2026/02/01</t>
        </is>
      </c>
      <c r="B9"/>
      <c r="C9" t="inlineStr">
        <is>
          <t>1800</t>
        </is>
      </c>
      <c r="D9" t="inlineStr">
        <is>
          <t>0</t>
        </is>
      </c>
      <c r="E9" t="inlineStr">
        <is>
          <t>0</t>
        </is>
      </c>
      <c r="F9" t="inlineStr">
        <is>
          <t>800</t>
        </is>
      </c>
      <c r="G9" t="inlineStr">
        <is>
          <t>892</t>
        </is>
      </c>
      <c r="H9" t="inlineStr">
        <is>
          <t>1016</t>
        </is>
      </c>
      <c r="I9" t="inlineStr">
        <is>
          <t>991</t>
        </is>
      </c>
      <c r="J9" t="inlineStr">
        <is>
          <t>已入库</t>
        </is>
      </c>
      <c r="K9" t="inlineStr">
        <is>
          <t>2026/02/20</t>
        </is>
      </c>
      <c r="L9"/>
      <c r="M9"/>
      <c r="N9"/>
      <c r="O9"/>
      <c r="P9" t="inlineStr">
        <is>
          <t>65</t>
        </is>
      </c>
      <c r="Q9" t="inlineStr">
        <is>
          <t>30</t>
        </is>
      </c>
    </row>
    <row r="10" ht="25.5" customHeight="1">
      <c r="A10" t="inlineStr">
        <is>
          <t>2026/03/01</t>
        </is>
      </c>
      <c r="B10"/>
      <c r="C10" t="inlineStr">
        <is>
          <t>1000</t>
        </is>
      </c>
      <c r="D10" t="inlineStr">
        <is>
          <t>0</t>
        </is>
      </c>
      <c r="E10" t="inlineStr">
        <is>
          <t>0</t>
        </is>
      </c>
      <c r="F10" t="inlineStr">
        <is>
          <t>800</t>
        </is>
      </c>
      <c r="G10" t="inlineStr">
        <is>
          <t>1484</t>
        </is>
      </c>
      <c r="H10" t="inlineStr">
        <is>
          <t>1000</t>
        </is>
      </c>
      <c r="I10" t="inlineStr">
        <is>
          <t>1475</t>
        </is>
      </c>
      <c r="J10" t="inlineStr">
        <is>
          <t>在途</t>
        </is>
      </c>
      <c r="K10" t="inlineStr">
        <is>
          <t>2026/03/25</t>
        </is>
      </c>
      <c r="L10"/>
      <c r="M10"/>
      <c r="N10"/>
      <c r="O10"/>
      <c r="P10" t="inlineStr">
        <is>
          <t>65</t>
        </is>
      </c>
      <c r="Q10" t="inlineStr">
        <is>
          <t>30</t>
        </is>
      </c>
    </row>
    <row r="11" ht="25.5" customHeight="1">
      <c r="A11" t="inlineStr">
        <is>
          <t>2026/04/01</t>
        </is>
      </c>
      <c r="B11"/>
      <c r="C11" t="inlineStr">
        <is>
          <t>0</t>
        </is>
      </c>
      <c r="D11" t="inlineStr">
        <is>
          <t>0</t>
        </is>
      </c>
      <c r="E11" t="inlineStr">
        <is>
          <t>0</t>
        </is>
      </c>
      <c r="F11" t="inlineStr">
        <is>
          <t>700</t>
        </is>
      </c>
      <c r="G11" t="inlineStr">
        <is>
          <t>1000</t>
        </is>
      </c>
      <c r="H11" t="inlineStr">
        <is>
          <t>1000</t>
        </is>
      </c>
      <c r="I11" t="inlineStr">
        <is>
          <t>1475</t>
        </is>
      </c>
      <c r="J11"/>
      <c r="K11"/>
      <c r="L11"/>
      <c r="M11"/>
      <c r="N11"/>
      <c r="O11"/>
      <c r="P11" t="inlineStr">
        <is>
          <t>65</t>
        </is>
      </c>
      <c r="Q11" t="inlineStr">
        <is>
          <t>30</t>
        </is>
      </c>
    </row>
    <row r="12" ht="25.5" customHeight="1">
      <c r="A12" t="inlineStr">
        <is>
          <t>2026/05/01</t>
        </is>
      </c>
      <c r="B12"/>
      <c r="C12" t="inlineStr">
        <is>
          <t>1200</t>
        </is>
      </c>
      <c r="D12" t="inlineStr">
        <is>
          <t>0</t>
        </is>
      </c>
      <c r="E12" t="inlineStr">
        <is>
          <t>0</t>
        </is>
      </c>
      <c r="F12" t="inlineStr">
        <is>
          <t>800</t>
        </is>
      </c>
      <c r="G12" t="inlineStr">
        <is>
          <t>1100</t>
        </is>
      </c>
      <c r="H12" t="inlineStr">
        <is>
          <t>1000</t>
        </is>
      </c>
      <c r="I12" t="inlineStr">
        <is>
          <t>1575</t>
        </is>
      </c>
      <c r="J12" t="inlineStr">
        <is>
          <t>已下单</t>
        </is>
      </c>
      <c r="K12" t="inlineStr">
        <is>
          <t>2026/05/10</t>
        </is>
      </c>
      <c r="L12"/>
      <c r="M12"/>
      <c r="N12"/>
      <c r="O12"/>
      <c r="P12" t="inlineStr">
        <is>
          <t>65</t>
        </is>
      </c>
      <c r="Q12" t="inlineStr">
        <is>
          <t>30</t>
        </is>
      </c>
    </row>
    <row r="13" ht="25.5" customHeight="1">
      <c r="A13" t="inlineStr">
        <is>
          <t>2026/06/01</t>
        </is>
      </c>
      <c r="B13"/>
      <c r="C13" t="inlineStr">
        <is>
          <t>1300</t>
        </is>
      </c>
      <c r="D13" t="inlineStr">
        <is>
          <t>0</t>
        </is>
      </c>
      <c r="E13" t="inlineStr">
        <is>
          <t>0</t>
        </is>
      </c>
      <c r="F13" t="inlineStr">
        <is>
          <t>1200</t>
        </is>
      </c>
      <c r="G13" t="inlineStr">
        <is>
          <t>800</t>
        </is>
      </c>
      <c r="H13" t="inlineStr">
        <is>
          <t>1000</t>
        </is>
      </c>
      <c r="I13" t="inlineStr">
        <is>
          <t>1375</t>
        </is>
      </c>
      <c r="J13" t="inlineStr">
        <is>
          <t>已下单</t>
        </is>
      </c>
      <c r="K13" t="inlineStr">
        <is>
          <t>2026/06/01</t>
        </is>
      </c>
      <c r="L13"/>
      <c r="M13"/>
      <c r="N13"/>
      <c r="O13"/>
      <c r="P13" t="inlineStr">
        <is>
          <t>65</t>
        </is>
      </c>
      <c r="Q13" t="inlineStr">
        <is>
          <t>30</t>
        </is>
      </c>
    </row>
    <row r="14" ht="25.5" customHeight="1">
      <c r="A14" t="inlineStr">
        <is>
          <t>2026/06/01</t>
        </is>
      </c>
      <c r="B14"/>
      <c r="C14" t="inlineStr">
        <is>
          <t>1200</t>
        </is>
      </c>
      <c r="D14" t="inlineStr">
        <is>
          <t>0</t>
        </is>
      </c>
      <c r="E14" t="inlineStr">
        <is>
          <t>0</t>
        </is>
      </c>
      <c r="F14" t="inlineStr">
        <is>
          <t>1200</t>
        </is>
      </c>
      <c r="G14" t="inlineStr">
        <is>
          <t>800</t>
        </is>
      </c>
      <c r="H14" t="inlineStr">
        <is>
          <t>0</t>
        </is>
      </c>
      <c r="I14" t="inlineStr">
        <is>
          <t>2175</t>
        </is>
      </c>
      <c r="J14" t="inlineStr">
        <is>
          <t>已下单</t>
        </is>
      </c>
      <c r="K14" t="inlineStr">
        <is>
          <t>2026/06/15</t>
        </is>
      </c>
      <c r="L14"/>
      <c r="M14"/>
      <c r="N14"/>
      <c r="O14"/>
      <c r="P14" t="inlineStr">
        <is>
          <t>65</t>
        </is>
      </c>
      <c r="Q14" t="inlineStr">
        <is>
          <t>30</t>
        </is>
      </c>
    </row>
    <row r="15" ht="25.5" customHeight="1">
      <c r="A15" t="inlineStr">
        <is>
          <t>2026/07/01</t>
        </is>
      </c>
      <c r="B15"/>
      <c r="C15" t="inlineStr">
        <is>
          <t>1000</t>
        </is>
      </c>
      <c r="D15" t="inlineStr">
        <is>
          <t>0</t>
        </is>
      </c>
      <c r="E15" t="inlineStr">
        <is>
          <t>0</t>
        </is>
      </c>
      <c r="F15" t="inlineStr">
        <is>
          <t>800</t>
        </is>
      </c>
      <c r="G15" t="inlineStr">
        <is>
          <t>1100</t>
        </is>
      </c>
      <c r="H15" t="inlineStr">
        <is>
          <t>1500</t>
        </is>
      </c>
      <c r="I15" t="inlineStr">
        <is>
          <t>975</t>
        </is>
      </c>
      <c r="J15" t="inlineStr">
        <is>
          <t>已下单</t>
        </is>
      </c>
      <c r="K15" t="inlineStr">
        <is>
          <t>2026/07/15</t>
        </is>
      </c>
      <c r="L15"/>
      <c r="M15"/>
      <c r="N15"/>
      <c r="O15"/>
      <c r="P15" t="inlineStr">
        <is>
          <t>65</t>
        </is>
      </c>
      <c r="Q15" t="inlineStr">
        <is>
          <t>30</t>
        </is>
      </c>
    </row>
    <row r="16" ht="25.5" customHeight="1">
      <c r="A16" t="inlineStr">
        <is>
          <t>2026/08/01</t>
        </is>
      </c>
      <c r="B16"/>
      <c r="C16" t="inlineStr">
        <is>
          <t>1000</t>
        </is>
      </c>
      <c r="D16" t="inlineStr">
        <is>
          <t>0</t>
        </is>
      </c>
      <c r="E16" t="inlineStr">
        <is>
          <t>0</t>
        </is>
      </c>
      <c r="F16" t="inlineStr">
        <is>
          <t>800</t>
        </is>
      </c>
      <c r="G16" t="inlineStr">
        <is>
          <t>1100</t>
        </is>
      </c>
      <c r="H16" t="inlineStr">
        <is>
          <t>900</t>
        </is>
      </c>
      <c r="I16" t="inlineStr">
        <is>
          <t>1175</t>
        </is>
      </c>
      <c r="J16"/>
      <c r="K16" t="inlineStr">
        <is>
          <t>2025/08/15</t>
        </is>
      </c>
      <c r="L16"/>
      <c r="M16"/>
      <c r="N16"/>
      <c r="O16"/>
      <c r="P16" t="inlineStr">
        <is>
          <t>65</t>
        </is>
      </c>
      <c r="Q16" t="inlineStr">
        <is>
          <t>30</t>
        </is>
      </c>
    </row>
    <row r="17" ht="25.5" customHeight="1">
      <c r="A17" t="inlineStr">
        <is>
          <t>2026/09/01</t>
        </is>
      </c>
      <c r="B17"/>
      <c r="C17" t="inlineStr">
        <is>
          <t>1000</t>
        </is>
      </c>
      <c r="D17" t="inlineStr">
        <is>
          <t>0</t>
        </is>
      </c>
      <c r="E17" t="inlineStr">
        <is>
          <t>0</t>
        </is>
      </c>
      <c r="F17" t="inlineStr">
        <is>
          <t>900</t>
        </is>
      </c>
      <c r="G17" t="inlineStr">
        <is>
          <t>1100</t>
        </is>
      </c>
      <c r="H17" t="inlineStr">
        <is>
          <t>900</t>
        </is>
      </c>
      <c r="I17" t="inlineStr">
        <is>
          <t>1375</t>
        </is>
      </c>
      <c r="J17"/>
      <c r="K17" t="inlineStr">
        <is>
          <t>2025/09/15</t>
        </is>
      </c>
      <c r="L17"/>
      <c r="M17"/>
      <c r="N17"/>
      <c r="O17"/>
      <c r="P17" t="inlineStr">
        <is>
          <t>65</t>
        </is>
      </c>
      <c r="Q17" t="inlineStr">
        <is>
          <t>30</t>
        </is>
      </c>
    </row>
    <row r="18" ht="25.5" customHeight="1">
      <c r="A18" t="inlineStr">
        <is>
          <t>2026/10/01</t>
        </is>
      </c>
      <c r="B18"/>
      <c r="C18" t="inlineStr">
        <is>
          <t>1500</t>
        </is>
      </c>
      <c r="D18" t="inlineStr">
        <is>
          <t>0</t>
        </is>
      </c>
      <c r="E18" t="inlineStr">
        <is>
          <t>0</t>
        </is>
      </c>
      <c r="F18" t="inlineStr">
        <is>
          <t>1000</t>
        </is>
      </c>
      <c r="G18" t="inlineStr">
        <is>
          <t>1500</t>
        </is>
      </c>
      <c r="H18" t="inlineStr">
        <is>
          <t>1500</t>
        </is>
      </c>
      <c r="I18" t="inlineStr">
        <is>
          <t>1375</t>
        </is>
      </c>
      <c r="J18"/>
      <c r="K18" t="inlineStr">
        <is>
          <t>2026/10/15</t>
        </is>
      </c>
      <c r="L18"/>
      <c r="M18"/>
      <c r="N18"/>
      <c r="O18"/>
      <c r="P18" t="inlineStr">
        <is>
          <t>65</t>
        </is>
      </c>
      <c r="Q18" t="inlineStr">
        <is>
          <t>30</t>
        </is>
      </c>
    </row>
    <row r="19" ht="25.5" customHeight="1">
      <c r="A19" t="inlineStr">
        <is>
          <t>2026/11/01</t>
        </is>
      </c>
      <c r="B19"/>
      <c r="C19" t="inlineStr">
        <is>
          <t>1000</t>
        </is>
      </c>
      <c r="D19" t="inlineStr">
        <is>
          <t>0</t>
        </is>
      </c>
      <c r="E19" t="inlineStr">
        <is>
          <t>0</t>
        </is>
      </c>
      <c r="F19" t="inlineStr">
        <is>
          <t>1000</t>
        </is>
      </c>
      <c r="G19" t="inlineStr">
        <is>
          <t>1500</t>
        </is>
      </c>
      <c r="H19" t="inlineStr">
        <is>
          <t>1500</t>
        </is>
      </c>
      <c r="I19" t="inlineStr">
        <is>
          <t>1375</t>
        </is>
      </c>
      <c r="J19"/>
      <c r="K19" t="inlineStr">
        <is>
          <t>2026/11/15</t>
        </is>
      </c>
      <c r="L19"/>
      <c r="M19"/>
      <c r="N19"/>
      <c r="O19"/>
      <c r="P19" t="inlineStr">
        <is>
          <t>65</t>
        </is>
      </c>
      <c r="Q19" t="inlineStr">
        <is>
          <t>30</t>
        </is>
      </c>
    </row>
    <row r="20" ht="25.5" customHeight="1">
      <c r="A20" t="inlineStr">
        <is>
          <t>2026/12/01</t>
        </is>
      </c>
      <c r="B20"/>
      <c r="C20"/>
      <c r="D20" t="inlineStr">
        <is>
          <t>0</t>
        </is>
      </c>
      <c r="E20" t="inlineStr">
        <is>
          <t>0</t>
        </is>
      </c>
      <c r="F20" t="inlineStr">
        <is>
          <t>800</t>
        </is>
      </c>
      <c r="G20" t="inlineStr">
        <is>
          <t>1000</t>
        </is>
      </c>
      <c r="H20" t="inlineStr">
        <is>
          <t>800</t>
        </is>
      </c>
      <c r="I20" t="inlineStr">
        <is>
          <t>1575</t>
        </is>
      </c>
      <c r="J20"/>
      <c r="K20"/>
      <c r="L20"/>
      <c r="M20"/>
      <c r="N20"/>
      <c r="O20"/>
      <c r="P20" t="inlineStr">
        <is>
          <t>65</t>
        </is>
      </c>
      <c r="Q20" t="inlineStr">
        <is>
          <t>30</t>
        </is>
      </c>
    </row>
    <row r="21" ht="25.5" customHeight="1">
      <c r="A21"/>
      <c r="B21"/>
      <c r="C21"/>
      <c r="D21"/>
      <c r="E21"/>
      <c r="F21"/>
      <c r="G21"/>
      <c r="H21"/>
      <c r="I21"/>
      <c r="J21"/>
      <c r="K21"/>
      <c r="L21"/>
      <c r="M21"/>
      <c r="N21"/>
      <c r="O21"/>
      <c r="P21"/>
      <c r="Q21"/>
    </row>
    <row r="22" ht="25.5" customHeight="1">
      <c r="A22" t="inlineStr">
        <is>
          <t>月份</t>
        </is>
      </c>
      <c r="B22" t="inlineStr">
        <is>
          <t>期初库存</t>
        </is>
      </c>
      <c r="C22" t="inlineStr">
        <is>
          <t>入库数量</t>
        </is>
      </c>
      <c r="D22" t="inlineStr">
        <is>
          <t>待发PO</t>
        </is>
      </c>
      <c r="E22" t="inlineStr">
        <is>
          <t>普通PO</t>
        </is>
      </c>
      <c r="F22" t="inlineStr">
        <is>
          <t>PO计划
月销</t>
        </is>
      </c>
      <c r="G22" t="inlineStr">
        <is>
          <t>PO实际
月销</t>
        </is>
      </c>
      <c r="H22" t="inlineStr">
        <is>
          <t>前台
月销</t>
        </is>
      </c>
      <c r="I22" t="inlineStr">
        <is>
          <t>前台期末库存</t>
        </is>
      </c>
      <c r="J22" t="inlineStr">
        <is>
          <t>入库备注</t>
        </is>
      </c>
      <c r="K22" t="inlineStr">
        <is>
          <t>到货时间</t>
        </is>
      </c>
      <c r="L22" t="inlineStr">
        <is>
          <t>出货时间</t>
        </is>
      </c>
      <c r="M22" t="inlineStr">
        <is>
          <t>下单时间</t>
        </is>
      </c>
      <c r="N22" t="inlineStr">
        <is>
          <t>订单状态</t>
        </is>
      </c>
      <c r="O22" t="inlineStr">
        <is>
          <t>采购单号</t>
        </is>
      </c>
      <c r="P22" t="inlineStr">
        <is>
          <t>物流
交期</t>
        </is>
      </c>
      <c r="Q22" t="inlineStr">
        <is>
          <t>生产
交期</t>
        </is>
      </c>
    </row>
    <row r="23" ht="25.5" customHeight="1">
      <c r="A23" t="inlineStr">
        <is>
          <t>2025/07/01</t>
        </is>
      </c>
      <c r="B23" t="inlineStr">
        <is>
          <t>340</t>
        </is>
      </c>
      <c r="C23" t="inlineStr">
        <is>
          <t>0</t>
        </is>
      </c>
      <c r="D23" t="inlineStr">
        <is>
          <t>0</t>
        </is>
      </c>
      <c r="E23" t="inlineStr">
        <is>
          <t>0</t>
        </is>
      </c>
      <c r="F23" t="inlineStr">
        <is>
          <t>80</t>
        </is>
      </c>
      <c r="G23" t="inlineStr">
        <is>
          <t>132</t>
        </is>
      </c>
      <c r="H23" t="inlineStr">
        <is>
          <t>47</t>
        </is>
      </c>
      <c r="I23" t="inlineStr">
        <is>
          <t>85</t>
        </is>
      </c>
      <c r="J23"/>
      <c r="K23"/>
      <c r="L23"/>
      <c r="M23"/>
      <c r="N23"/>
      <c r="O23"/>
      <c r="P23" t="inlineStr">
        <is>
          <t>60</t>
        </is>
      </c>
      <c r="Q23" t="inlineStr">
        <is>
          <t>30</t>
        </is>
      </c>
    </row>
    <row r="24" ht="25.5" customHeight="1">
      <c r="A24" t="inlineStr">
        <is>
          <t>2025/08/01</t>
        </is>
      </c>
      <c r="B24"/>
      <c r="C24"/>
      <c r="D24" t="inlineStr">
        <is>
          <t>0</t>
        </is>
      </c>
      <c r="E24" t="inlineStr">
        <is>
          <t>0</t>
        </is>
      </c>
      <c r="F24" t="inlineStr">
        <is>
          <t>120</t>
        </is>
      </c>
      <c r="G24" t="inlineStr">
        <is>
          <t>204</t>
        </is>
      </c>
      <c r="H24" t="inlineStr">
        <is>
          <t>167</t>
        </is>
      </c>
      <c r="I24" t="inlineStr">
        <is>
          <t>122</t>
        </is>
      </c>
      <c r="J24"/>
      <c r="K24"/>
      <c r="L24"/>
      <c r="M24"/>
      <c r="N24"/>
      <c r="O24"/>
      <c r="P24" t="inlineStr">
        <is>
          <t>60</t>
        </is>
      </c>
      <c r="Q24" t="inlineStr">
        <is>
          <t>30</t>
        </is>
      </c>
    </row>
    <row r="25" ht="25.5" customHeight="1">
      <c r="A25" t="inlineStr">
        <is>
          <t>2025/09/01</t>
        </is>
      </c>
      <c r="B25"/>
      <c r="C25" t="inlineStr">
        <is>
          <t>500</t>
        </is>
      </c>
      <c r="D25" t="inlineStr">
        <is>
          <t>0</t>
        </is>
      </c>
      <c r="E25" t="inlineStr">
        <is>
          <t>0</t>
        </is>
      </c>
      <c r="F25" t="inlineStr">
        <is>
          <t>140</t>
        </is>
      </c>
      <c r="G25" t="inlineStr">
        <is>
          <t>232</t>
        </is>
      </c>
      <c r="H25" t="inlineStr">
        <is>
          <t>109</t>
        </is>
      </c>
      <c r="I25" t="inlineStr">
        <is>
          <t>245</t>
        </is>
      </c>
      <c r="J25" t="inlineStr">
        <is>
          <t>已入库</t>
        </is>
      </c>
      <c r="K25" t="inlineStr">
        <is>
          <t>2025/10/01</t>
        </is>
      </c>
      <c r="L25"/>
      <c r="M25"/>
      <c r="N25"/>
      <c r="O25"/>
      <c r="P25" t="inlineStr">
        <is>
          <t>60</t>
        </is>
      </c>
      <c r="Q25" t="inlineStr">
        <is>
          <t>30</t>
        </is>
      </c>
    </row>
    <row r="26" ht="25.5" customHeight="1">
      <c r="A26" t="inlineStr">
        <is>
          <t>2025/10/01</t>
        </is>
      </c>
      <c r="B26"/>
      <c r="C26" t="inlineStr">
        <is>
          <t>0</t>
        </is>
      </c>
      <c r="D26" t="inlineStr">
        <is>
          <t>0</t>
        </is>
      </c>
      <c r="E26" t="inlineStr">
        <is>
          <t>0</t>
        </is>
      </c>
      <c r="F26" t="inlineStr">
        <is>
          <t>150</t>
        </is>
      </c>
      <c r="G26" t="inlineStr">
        <is>
          <t>136</t>
        </is>
      </c>
      <c r="H26" t="inlineStr">
        <is>
          <t>107</t>
        </is>
      </c>
      <c r="I26" t="inlineStr">
        <is>
          <t>274</t>
        </is>
      </c>
      <c r="J26"/>
      <c r="K26"/>
      <c r="L26"/>
      <c r="M26"/>
      <c r="N26"/>
      <c r="O26"/>
      <c r="P26" t="inlineStr">
        <is>
          <t>60</t>
        </is>
      </c>
      <c r="Q26" t="inlineStr">
        <is>
          <t>30</t>
        </is>
      </c>
    </row>
    <row r="27" ht="25.5" customHeight="1">
      <c r="A27" t="inlineStr">
        <is>
          <t>2025/11/01</t>
        </is>
      </c>
      <c r="B27"/>
      <c r="C27" t="inlineStr">
        <is>
          <t>0</t>
        </is>
      </c>
      <c r="D27" t="inlineStr">
        <is>
          <t>0</t>
        </is>
      </c>
      <c r="E27" t="inlineStr">
        <is>
          <t>0</t>
        </is>
      </c>
      <c r="F27" t="inlineStr">
        <is>
          <t>136</t>
        </is>
      </c>
      <c r="G27" t="inlineStr">
        <is>
          <t>128</t>
        </is>
      </c>
      <c r="H27" t="inlineStr">
        <is>
          <t>183</t>
        </is>
      </c>
      <c r="I27" t="inlineStr">
        <is>
          <t>219</t>
        </is>
      </c>
      <c r="J27"/>
      <c r="K27"/>
      <c r="L27"/>
      <c r="M27"/>
      <c r="N27"/>
      <c r="O27"/>
      <c r="P27" t="inlineStr">
        <is>
          <t>60</t>
        </is>
      </c>
      <c r="Q27" t="inlineStr">
        <is>
          <t>30</t>
        </is>
      </c>
    </row>
    <row r="28" ht="25.5" customHeight="1">
      <c r="A28" t="inlineStr">
        <is>
          <t>2025/12/01</t>
        </is>
      </c>
      <c r="B28"/>
      <c r="C28" t="inlineStr">
        <is>
          <t>500</t>
        </is>
      </c>
      <c r="D28" t="inlineStr">
        <is>
          <t>0</t>
        </is>
      </c>
      <c r="E28" t="inlineStr">
        <is>
          <t>0</t>
        </is>
      </c>
      <c r="F28" t="inlineStr">
        <is>
          <t>180</t>
        </is>
      </c>
      <c r="G28" t="inlineStr">
        <is>
          <t>84</t>
        </is>
      </c>
      <c r="H28" t="inlineStr">
        <is>
          <t>136</t>
        </is>
      </c>
      <c r="I28" t="inlineStr">
        <is>
          <t>167</t>
        </is>
      </c>
      <c r="J28" t="inlineStr">
        <is>
          <t>已入库</t>
        </is>
      </c>
      <c r="K28" t="inlineStr">
        <is>
          <t>2025/12/01</t>
        </is>
      </c>
      <c r="L28"/>
      <c r="M28"/>
      <c r="N28"/>
      <c r="O28"/>
      <c r="P28" t="inlineStr">
        <is>
          <t>60</t>
        </is>
      </c>
      <c r="Q28" t="inlineStr">
        <is>
          <t>30</t>
        </is>
      </c>
    </row>
    <row r="29" ht="25.5" customHeight="1">
      <c r="A29" t="inlineStr">
        <is>
          <t>2026/01/01</t>
        </is>
      </c>
      <c r="B29"/>
      <c r="C29" t="inlineStr">
        <is>
          <t>0</t>
        </is>
      </c>
      <c r="D29" t="inlineStr">
        <is>
          <t>0</t>
        </is>
      </c>
      <c r="E29" t="inlineStr">
        <is>
          <t>0</t>
        </is>
      </c>
      <c r="F29" t="inlineStr">
        <is>
          <t>180</t>
        </is>
      </c>
      <c r="G29" t="inlineStr">
        <is>
          <t>88</t>
        </is>
      </c>
      <c r="H29" t="inlineStr">
        <is>
          <t>126</t>
        </is>
      </c>
      <c r="I29" t="inlineStr">
        <is>
          <t>129</t>
        </is>
      </c>
      <c r="J29"/>
      <c r="K29"/>
      <c r="L29"/>
      <c r="M29"/>
      <c r="N29"/>
      <c r="O29"/>
      <c r="P29" t="inlineStr">
        <is>
          <t>60</t>
        </is>
      </c>
      <c r="Q29" t="inlineStr">
        <is>
          <t>30</t>
        </is>
      </c>
    </row>
    <row r="30" ht="25.5" customHeight="1">
      <c r="A30" t="inlineStr">
        <is>
          <t>2026/02/01</t>
        </is>
      </c>
      <c r="B30"/>
      <c r="C30" t="inlineStr">
        <is>
          <t>700</t>
        </is>
      </c>
      <c r="D30" t="inlineStr">
        <is>
          <t>0</t>
        </is>
      </c>
      <c r="E30" t="inlineStr">
        <is>
          <t>0</t>
        </is>
      </c>
      <c r="F30" t="inlineStr">
        <is>
          <t>210</t>
        </is>
      </c>
      <c r="G30" t="inlineStr">
        <is>
          <t>120</t>
        </is>
      </c>
      <c r="H30" t="inlineStr">
        <is>
          <t>133</t>
        </is>
      </c>
      <c r="I30" t="inlineStr">
        <is>
          <t>116</t>
        </is>
      </c>
      <c r="J30" t="inlineStr">
        <is>
          <t>已入库</t>
        </is>
      </c>
      <c r="K30" t="inlineStr">
        <is>
          <t>2026/02/20</t>
        </is>
      </c>
      <c r="L30"/>
      <c r="M30"/>
      <c r="N30"/>
      <c r="O30"/>
      <c r="P30" t="inlineStr">
        <is>
          <t>60</t>
        </is>
      </c>
      <c r="Q30" t="inlineStr">
        <is>
          <t>30</t>
        </is>
      </c>
    </row>
    <row r="31" ht="25.5" customHeight="1">
      <c r="A31" t="inlineStr">
        <is>
          <t>2026/03/01</t>
        </is>
      </c>
      <c r="B31"/>
      <c r="C31" t="inlineStr">
        <is>
          <t>0</t>
        </is>
      </c>
      <c r="D31" t="inlineStr">
        <is>
          <t>0</t>
        </is>
      </c>
      <c r="E31" t="inlineStr">
        <is>
          <t>0</t>
        </is>
      </c>
      <c r="F31" t="inlineStr">
        <is>
          <t>225</t>
        </is>
      </c>
      <c r="G31" t="inlineStr">
        <is>
          <t>120</t>
        </is>
      </c>
      <c r="H31" t="inlineStr">
        <is>
          <t>120</t>
        </is>
      </c>
      <c r="I31" t="inlineStr">
        <is>
          <t>116</t>
        </is>
      </c>
      <c r="J31"/>
      <c r="K31"/>
      <c r="L31"/>
      <c r="M31"/>
      <c r="N31"/>
      <c r="O31"/>
      <c r="P31" t="inlineStr">
        <is>
          <t>60</t>
        </is>
      </c>
      <c r="Q31" t="inlineStr">
        <is>
          <t>30</t>
        </is>
      </c>
    </row>
    <row r="32" ht="25.5" customHeight="1">
      <c r="A32" t="inlineStr">
        <is>
          <t>2026/04/01</t>
        </is>
      </c>
      <c r="B32"/>
      <c r="C32" t="inlineStr">
        <is>
          <t>0</t>
        </is>
      </c>
      <c r="D32" t="inlineStr">
        <is>
          <t>0</t>
        </is>
      </c>
      <c r="E32" t="inlineStr">
        <is>
          <t>0</t>
        </is>
      </c>
      <c r="F32" t="inlineStr">
        <is>
          <t>225</t>
        </is>
      </c>
      <c r="G32" t="inlineStr">
        <is>
          <t>120</t>
        </is>
      </c>
      <c r="H32" t="inlineStr">
        <is>
          <t>120</t>
        </is>
      </c>
      <c r="I32" t="inlineStr">
        <is>
          <t>116</t>
        </is>
      </c>
      <c r="J32"/>
      <c r="K32"/>
      <c r="L32"/>
      <c r="M32"/>
      <c r="N32"/>
      <c r="O32"/>
      <c r="P32" t="inlineStr">
        <is>
          <t>60</t>
        </is>
      </c>
      <c r="Q32" t="inlineStr">
        <is>
          <t>30</t>
        </is>
      </c>
    </row>
    <row r="33" ht="25.5" customHeight="1">
      <c r="A33" t="inlineStr">
        <is>
          <t>2026/05/01</t>
        </is>
      </c>
      <c r="B33"/>
      <c r="C33" t="inlineStr">
        <is>
          <t>500</t>
        </is>
      </c>
      <c r="D33" t="inlineStr">
        <is>
          <t>0</t>
        </is>
      </c>
      <c r="E33" t="inlineStr">
        <is>
          <t>0</t>
        </is>
      </c>
      <c r="F33" t="inlineStr">
        <is>
          <t>240</t>
        </is>
      </c>
      <c r="G33" t="inlineStr">
        <is>
          <t>120</t>
        </is>
      </c>
      <c r="H33" t="inlineStr">
        <is>
          <t>120</t>
        </is>
      </c>
      <c r="I33" t="inlineStr">
        <is>
          <t>116</t>
        </is>
      </c>
      <c r="J33" t="inlineStr">
        <is>
          <t>已下单</t>
        </is>
      </c>
      <c r="K33" t="inlineStr">
        <is>
          <t>2026/05/01</t>
        </is>
      </c>
      <c r="L33"/>
      <c r="M33"/>
      <c r="N33"/>
      <c r="O33"/>
      <c r="P33" t="inlineStr">
        <is>
          <t>60</t>
        </is>
      </c>
      <c r="Q33" t="inlineStr">
        <is>
          <t>30</t>
        </is>
      </c>
    </row>
    <row r="34" ht="25.5" customHeight="1">
      <c r="A34" t="inlineStr">
        <is>
          <t>2026/06/01</t>
        </is>
      </c>
      <c r="B34"/>
      <c r="C34" t="inlineStr">
        <is>
          <t>0</t>
        </is>
      </c>
      <c r="D34" t="inlineStr">
        <is>
          <t>0</t>
        </is>
      </c>
      <c r="E34" t="inlineStr">
        <is>
          <t>0</t>
        </is>
      </c>
      <c r="F34" t="inlineStr">
        <is>
          <t>300</t>
        </is>
      </c>
      <c r="G34" t="inlineStr">
        <is>
          <t>150</t>
        </is>
      </c>
      <c r="H34" t="inlineStr">
        <is>
          <t>150</t>
        </is>
      </c>
      <c r="I34" t="inlineStr">
        <is>
          <t>116</t>
        </is>
      </c>
      <c r="J34"/>
      <c r="K34" t="inlineStr">
        <is>
          <t>2026/06/01</t>
        </is>
      </c>
      <c r="L34"/>
      <c r="M34"/>
      <c r="N34"/>
      <c r="O34"/>
      <c r="P34" t="inlineStr">
        <is>
          <t>60</t>
        </is>
      </c>
      <c r="Q34" t="inlineStr">
        <is>
          <t>30</t>
        </is>
      </c>
    </row>
    <row r="35" ht="25.5" customHeight="1">
      <c r="A35" t="inlineStr">
        <is>
          <t>2026/07/01</t>
        </is>
      </c>
      <c r="B35"/>
      <c r="C35" t="inlineStr">
        <is>
          <t>500</t>
        </is>
      </c>
      <c r="D35" t="inlineStr">
        <is>
          <t>0</t>
        </is>
      </c>
      <c r="E35" t="inlineStr">
        <is>
          <t>0</t>
        </is>
      </c>
      <c r="F35" t="inlineStr">
        <is>
          <t>240</t>
        </is>
      </c>
      <c r="G35" t="inlineStr">
        <is>
          <t>150</t>
        </is>
      </c>
      <c r="H35" t="inlineStr">
        <is>
          <t>150</t>
        </is>
      </c>
      <c r="I35" t="inlineStr">
        <is>
          <t>116</t>
        </is>
      </c>
      <c r="J35"/>
      <c r="K35" t="inlineStr">
        <is>
          <t>2026/07/01</t>
        </is>
      </c>
      <c r="L35"/>
      <c r="M35"/>
      <c r="N35"/>
      <c r="O35"/>
      <c r="P35" t="inlineStr">
        <is>
          <t>60</t>
        </is>
      </c>
      <c r="Q35" t="inlineStr">
        <is>
          <t>30</t>
        </is>
      </c>
    </row>
    <row r="36" ht="25.5" customHeight="1">
      <c r="A36" t="inlineStr">
        <is>
          <t>2026/08/01</t>
        </is>
      </c>
      <c r="B36"/>
      <c r="C36" t="inlineStr">
        <is>
          <t>0</t>
        </is>
      </c>
      <c r="D36" t="inlineStr">
        <is>
          <t>0</t>
        </is>
      </c>
      <c r="E36" t="inlineStr">
        <is>
          <t>0</t>
        </is>
      </c>
      <c r="F36" t="inlineStr">
        <is>
          <t>275</t>
        </is>
      </c>
      <c r="G36" t="inlineStr">
        <is>
          <t>150</t>
        </is>
      </c>
      <c r="H36" t="inlineStr">
        <is>
          <t>150</t>
        </is>
      </c>
      <c r="I36" t="inlineStr">
        <is>
          <t>116</t>
        </is>
      </c>
      <c r="J36"/>
      <c r="K36"/>
      <c r="L36"/>
      <c r="M36"/>
      <c r="N36"/>
      <c r="O36"/>
      <c r="P36" t="inlineStr">
        <is>
          <t>60</t>
        </is>
      </c>
      <c r="Q36" t="inlineStr">
        <is>
          <t>30</t>
        </is>
      </c>
    </row>
    <row r="37" ht="25.5" customHeight="1">
      <c r="A37" t="inlineStr">
        <is>
          <t>2026/09/01</t>
        </is>
      </c>
      <c r="B37"/>
      <c r="C37" t="inlineStr">
        <is>
          <t>500</t>
        </is>
      </c>
      <c r="D37" t="inlineStr">
        <is>
          <t>0</t>
        </is>
      </c>
      <c r="E37" t="inlineStr">
        <is>
          <t>0</t>
        </is>
      </c>
      <c r="F37" t="inlineStr">
        <is>
          <t>330</t>
        </is>
      </c>
      <c r="G37" t="inlineStr">
        <is>
          <t>150</t>
        </is>
      </c>
      <c r="H37" t="inlineStr">
        <is>
          <t>150</t>
        </is>
      </c>
      <c r="I37" t="inlineStr">
        <is>
          <t>116</t>
        </is>
      </c>
      <c r="J37"/>
      <c r="K37" t="inlineStr">
        <is>
          <t>2026/09/01</t>
        </is>
      </c>
      <c r="L37"/>
      <c r="M37"/>
      <c r="N37"/>
      <c r="O37"/>
      <c r="P37" t="inlineStr">
        <is>
          <t>60</t>
        </is>
      </c>
      <c r="Q37" t="inlineStr">
        <is>
          <t>30</t>
        </is>
      </c>
    </row>
    <row r="38" ht="25.5" customHeight="1">
      <c r="A38" t="inlineStr">
        <is>
          <t>2026/10/01</t>
        </is>
      </c>
      <c r="B38"/>
      <c r="C38" t="inlineStr">
        <is>
          <t>500</t>
        </is>
      </c>
      <c r="D38" t="inlineStr">
        <is>
          <t>0</t>
        </is>
      </c>
      <c r="E38" t="inlineStr">
        <is>
          <t>0</t>
        </is>
      </c>
      <c r="F38" t="inlineStr">
        <is>
          <t>400</t>
        </is>
      </c>
      <c r="G38" t="inlineStr">
        <is>
          <t>150</t>
        </is>
      </c>
      <c r="H38" t="inlineStr">
        <is>
          <t>150</t>
        </is>
      </c>
      <c r="I38" t="inlineStr">
        <is>
          <t>116</t>
        </is>
      </c>
      <c r="J38"/>
      <c r="K38" t="inlineStr">
        <is>
          <t>2026/10/01</t>
        </is>
      </c>
      <c r="L38"/>
      <c r="M38"/>
      <c r="N38"/>
      <c r="O38"/>
      <c r="P38" t="inlineStr">
        <is>
          <t>60</t>
        </is>
      </c>
      <c r="Q38" t="inlineStr">
        <is>
          <t>30</t>
        </is>
      </c>
    </row>
    <row r="39" ht="25.5" customHeight="1">
      <c r="A39" t="inlineStr">
        <is>
          <t>2026/11/01</t>
        </is>
      </c>
      <c r="B39"/>
      <c r="C39" t="inlineStr">
        <is>
          <t>500</t>
        </is>
      </c>
      <c r="D39" t="inlineStr">
        <is>
          <t>0</t>
        </is>
      </c>
      <c r="E39" t="inlineStr">
        <is>
          <t>0</t>
        </is>
      </c>
      <c r="F39" t="inlineStr">
        <is>
          <t>400</t>
        </is>
      </c>
      <c r="G39" t="inlineStr">
        <is>
          <t>150</t>
        </is>
      </c>
      <c r="H39" t="inlineStr">
        <is>
          <t>150</t>
        </is>
      </c>
      <c r="I39" t="inlineStr">
        <is>
          <t>116</t>
        </is>
      </c>
      <c r="J39"/>
      <c r="K39" t="inlineStr">
        <is>
          <t>2026/11/01</t>
        </is>
      </c>
      <c r="L39"/>
      <c r="M39"/>
      <c r="N39"/>
      <c r="O39"/>
      <c r="P39" t="inlineStr">
        <is>
          <t>60</t>
        </is>
      </c>
      <c r="Q39" t="inlineStr">
        <is>
          <t>30</t>
        </is>
      </c>
    </row>
    <row r="40" ht="25.5" customHeight="1">
      <c r="A40" t="inlineStr">
        <is>
          <t>2026/12/01</t>
        </is>
      </c>
      <c r="B40"/>
      <c r="C40" t="inlineStr">
        <is>
          <t>0</t>
        </is>
      </c>
      <c r="D40" t="inlineStr">
        <is>
          <t>0</t>
        </is>
      </c>
      <c r="E40" t="inlineStr">
        <is>
          <t>0</t>
        </is>
      </c>
      <c r="F40" t="inlineStr">
        <is>
          <t>300</t>
        </is>
      </c>
      <c r="G40" t="inlineStr">
        <is>
          <t>150</t>
        </is>
      </c>
      <c r="H40" t="inlineStr">
        <is>
          <t>150</t>
        </is>
      </c>
      <c r="I40" t="inlineStr">
        <is>
          <t>116</t>
        </is>
      </c>
      <c r="J40"/>
      <c r="K40"/>
      <c r="L40"/>
      <c r="M40"/>
      <c r="N40"/>
      <c r="O40"/>
      <c r="P40" t="inlineStr">
        <is>
          <t>60</t>
        </is>
      </c>
      <c r="Q40" t="inlineStr">
        <is>
          <t>30</t>
        </is>
      </c>
    </row>
    <row r="41" ht="25.5" customHeight="1">
      <c r="A41"/>
      <c r="B41"/>
      <c r="C41"/>
      <c r="D41"/>
      <c r="E41"/>
      <c r="F41"/>
      <c r="G41"/>
      <c r="H41"/>
      <c r="I41"/>
      <c r="J41"/>
      <c r="K41"/>
      <c r="L41"/>
      <c r="M41"/>
      <c r="N41"/>
      <c r="O41"/>
      <c r="P41"/>
      <c r="Q41"/>
    </row>
  </sheetData>
  <dataValidations count="1">
    <dataValidation allowBlank="false" sqref="J2:J40" type="list">
      <formula1>"已入库,在途,已下单,入库备注"</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月份</t>
        </is>
      </c>
      <c r="B1" s="1" t="inlineStr">
        <is>
          <t>期初库存</t>
        </is>
      </c>
      <c r="C1" s="1" t="inlineStr">
        <is>
          <t>入库数量</t>
        </is>
      </c>
      <c r="D1" s="1" t="inlineStr">
        <is>
          <t>待发PO</t>
        </is>
      </c>
      <c r="E1" s="1" t="inlineStr">
        <is>
          <t>普通PO</t>
        </is>
      </c>
      <c r="F1" s="1" t="inlineStr">
        <is>
          <t>PO计划
月销</t>
        </is>
      </c>
      <c r="G1" s="1" t="inlineStr">
        <is>
          <t>PO实际
月销</t>
        </is>
      </c>
      <c r="H1" s="1" t="inlineStr">
        <is>
          <t>前台
月销</t>
        </is>
      </c>
      <c r="I1" s="1" t="inlineStr">
        <is>
          <t>前台期末库存</t>
        </is>
      </c>
      <c r="J1" s="1" t="inlineStr">
        <is>
          <t>入库备注</t>
        </is>
      </c>
      <c r="K1" s="1" t="inlineStr">
        <is>
          <t>到货时间</t>
        </is>
      </c>
      <c r="L1" s="1" t="inlineStr">
        <is>
          <t>出货时间</t>
        </is>
      </c>
      <c r="M1" s="1" t="inlineStr">
        <is>
          <t>下单时间</t>
        </is>
      </c>
      <c r="N1" s="1" t="inlineStr">
        <is>
          <t>订单状态</t>
        </is>
      </c>
      <c r="O1" s="1" t="inlineStr">
        <is>
          <t>采购单号</t>
        </is>
      </c>
      <c r="P1" s="1" t="inlineStr">
        <is>
          <t>物流
交期</t>
        </is>
      </c>
      <c r="Q1" s="1" t="inlineStr">
        <is>
          <t>生产
交期</t>
        </is>
      </c>
    </row>
    <row r="2" ht="25.5" customHeight="1">
      <c r="A2" t="inlineStr">
        <is>
          <t>2025/12/01</t>
        </is>
      </c>
      <c r="B2" t="inlineStr">
        <is>
          <t>0</t>
        </is>
      </c>
      <c r="C2" t="inlineStr">
        <is>
          <t>765</t>
        </is>
      </c>
      <c r="D2" t="inlineStr">
        <is>
          <t>0</t>
        </is>
      </c>
      <c r="E2" t="inlineStr">
        <is>
          <t>0</t>
        </is>
      </c>
      <c r="F2" t="inlineStr">
        <is>
          <t>0</t>
        </is>
      </c>
      <c r="G2" t="inlineStr">
        <is>
          <t>0</t>
        </is>
      </c>
      <c r="H2" t="inlineStr">
        <is>
          <t>0</t>
        </is>
      </c>
      <c r="I2" t="inlineStr">
        <is>
          <t>0</t>
        </is>
      </c>
      <c r="J2" t="inlineStr">
        <is>
          <t>已入库</t>
        </is>
      </c>
      <c r="K2" t="inlineStr">
        <is>
          <t>2025/12/15</t>
        </is>
      </c>
      <c r="L2"/>
      <c r="M2"/>
      <c r="N2"/>
      <c r="O2"/>
      <c r="P2" t="inlineStr">
        <is>
          <t>55</t>
        </is>
      </c>
      <c r="Q2" t="inlineStr">
        <is>
          <t>30</t>
        </is>
      </c>
    </row>
    <row r="3" ht="25.5" customHeight="1">
      <c r="A3" t="inlineStr">
        <is>
          <t>2026/01/01</t>
        </is>
      </c>
      <c r="B3"/>
      <c r="C3" t="inlineStr">
        <is>
          <t>0</t>
        </is>
      </c>
      <c r="D3" t="inlineStr">
        <is>
          <t>0</t>
        </is>
      </c>
      <c r="E3" t="inlineStr">
        <is>
          <t>0</t>
        </is>
      </c>
      <c r="F3" t="inlineStr">
        <is>
          <t>200</t>
        </is>
      </c>
      <c r="G3" t="inlineStr">
        <is>
          <t>648</t>
        </is>
      </c>
      <c r="H3" t="inlineStr">
        <is>
          <t>190</t>
        </is>
      </c>
      <c r="I3" t="inlineStr">
        <is>
          <t>458</t>
        </is>
      </c>
      <c r="J3"/>
      <c r="K3"/>
      <c r="L3"/>
      <c r="M3"/>
      <c r="N3"/>
      <c r="O3"/>
      <c r="P3" t="inlineStr">
        <is>
          <t>55</t>
        </is>
      </c>
      <c r="Q3" t="inlineStr">
        <is>
          <t>30</t>
        </is>
      </c>
    </row>
    <row r="4" ht="25.5" customHeight="1">
      <c r="A4" t="inlineStr">
        <is>
          <t>2026/02/01</t>
        </is>
      </c>
      <c r="B4"/>
      <c r="C4" t="inlineStr">
        <is>
          <t>0</t>
        </is>
      </c>
      <c r="D4" t="inlineStr">
        <is>
          <t>0</t>
        </is>
      </c>
      <c r="E4" t="inlineStr">
        <is>
          <t>0</t>
        </is>
      </c>
      <c r="F4" t="inlineStr">
        <is>
          <t>300</t>
        </is>
      </c>
      <c r="G4" t="inlineStr">
        <is>
          <t>117</t>
        </is>
      </c>
      <c r="H4" t="inlineStr">
        <is>
          <t>400</t>
        </is>
      </c>
      <c r="I4" t="inlineStr">
        <is>
          <t>175</t>
        </is>
      </c>
      <c r="J4"/>
      <c r="K4"/>
      <c r="L4"/>
      <c r="M4"/>
      <c r="N4"/>
      <c r="O4"/>
      <c r="P4" t="inlineStr">
        <is>
          <t>55</t>
        </is>
      </c>
      <c r="Q4" t="inlineStr">
        <is>
          <t>30</t>
        </is>
      </c>
    </row>
    <row r="5" ht="25.5" customHeight="1">
      <c r="A5" t="inlineStr">
        <is>
          <t>2026/03/01</t>
        </is>
      </c>
      <c r="B5"/>
      <c r="C5" t="inlineStr">
        <is>
          <t>1440</t>
        </is>
      </c>
      <c r="D5" t="inlineStr">
        <is>
          <t>0</t>
        </is>
      </c>
      <c r="E5" t="inlineStr">
        <is>
          <t>0</t>
        </is>
      </c>
      <c r="F5" t="inlineStr">
        <is>
          <t>400</t>
        </is>
      </c>
      <c r="G5" t="inlineStr">
        <is>
          <t>600</t>
        </is>
      </c>
      <c r="H5"/>
      <c r="I5" t="inlineStr">
        <is>
          <t>775</t>
        </is>
      </c>
      <c r="J5" t="inlineStr">
        <is>
          <t>在途</t>
        </is>
      </c>
      <c r="K5" t="inlineStr">
        <is>
          <t>2026/03/15</t>
        </is>
      </c>
      <c r="L5"/>
      <c r="M5"/>
      <c r="N5"/>
      <c r="O5"/>
      <c r="P5" t="inlineStr">
        <is>
          <t>55</t>
        </is>
      </c>
      <c r="Q5" t="inlineStr">
        <is>
          <t>30</t>
        </is>
      </c>
    </row>
    <row r="6" ht="25.5" customHeight="1">
      <c r="A6" t="inlineStr">
        <is>
          <t>2026/04/01</t>
        </is>
      </c>
      <c r="B6"/>
      <c r="C6" t="inlineStr">
        <is>
          <t>0</t>
        </is>
      </c>
      <c r="D6" t="inlineStr">
        <is>
          <t>0</t>
        </is>
      </c>
      <c r="E6" t="inlineStr">
        <is>
          <t>0</t>
        </is>
      </c>
      <c r="F6" t="inlineStr">
        <is>
          <t>600</t>
        </is>
      </c>
      <c r="G6" t="inlineStr">
        <is>
          <t>800</t>
        </is>
      </c>
      <c r="H6"/>
      <c r="I6" t="inlineStr">
        <is>
          <t>1575</t>
        </is>
      </c>
      <c r="J6"/>
      <c r="K6"/>
      <c r="L6"/>
      <c r="M6"/>
      <c r="N6"/>
      <c r="O6"/>
      <c r="P6" t="inlineStr">
        <is>
          <t>55</t>
        </is>
      </c>
      <c r="Q6" t="inlineStr">
        <is>
          <t>30</t>
        </is>
      </c>
    </row>
    <row r="7" ht="25.5" customHeight="1">
      <c r="A7" t="inlineStr">
        <is>
          <t>2026/05/01</t>
        </is>
      </c>
      <c r="B7"/>
      <c r="C7" t="inlineStr">
        <is>
          <t>1800</t>
        </is>
      </c>
      <c r="D7" t="inlineStr">
        <is>
          <t>0</t>
        </is>
      </c>
      <c r="E7" t="inlineStr">
        <is>
          <t>0</t>
        </is>
      </c>
      <c r="F7" t="inlineStr">
        <is>
          <t>600</t>
        </is>
      </c>
      <c r="G7" t="inlineStr">
        <is>
          <t>800</t>
        </is>
      </c>
      <c r="H7"/>
      <c r="I7" t="inlineStr">
        <is>
          <t>2375</t>
        </is>
      </c>
      <c r="J7" t="inlineStr">
        <is>
          <t>已下单</t>
        </is>
      </c>
      <c r="K7" t="inlineStr">
        <is>
          <t>2026/05/10</t>
        </is>
      </c>
      <c r="L7"/>
      <c r="M7"/>
      <c r="N7"/>
      <c r="O7"/>
      <c r="P7" t="inlineStr">
        <is>
          <t>55</t>
        </is>
      </c>
      <c r="Q7" t="inlineStr">
        <is>
          <t>30</t>
        </is>
      </c>
    </row>
    <row r="8" ht="25.5" customHeight="1">
      <c r="A8" t="inlineStr">
        <is>
          <t>2026/06/01</t>
        </is>
      </c>
      <c r="B8"/>
      <c r="C8" t="inlineStr">
        <is>
          <t>1000</t>
        </is>
      </c>
      <c r="D8" t="inlineStr">
        <is>
          <t>0</t>
        </is>
      </c>
      <c r="E8" t="inlineStr">
        <is>
          <t>0</t>
        </is>
      </c>
      <c r="F8" t="inlineStr">
        <is>
          <t>800</t>
        </is>
      </c>
      <c r="G8" t="inlineStr">
        <is>
          <t>1200</t>
        </is>
      </c>
      <c r="H8"/>
      <c r="I8" t="inlineStr">
        <is>
          <t>3575</t>
        </is>
      </c>
      <c r="J8"/>
      <c r="K8" t="inlineStr">
        <is>
          <t>2026/06/12</t>
        </is>
      </c>
      <c r="L8"/>
      <c r="M8"/>
      <c r="N8"/>
      <c r="O8"/>
      <c r="P8" t="inlineStr">
        <is>
          <t>55</t>
        </is>
      </c>
      <c r="Q8" t="inlineStr">
        <is>
          <t>30</t>
        </is>
      </c>
    </row>
    <row r="9" ht="25.5" customHeight="1">
      <c r="A9" t="inlineStr">
        <is>
          <t>2026/07/01</t>
        </is>
      </c>
      <c r="B9"/>
      <c r="C9" t="inlineStr">
        <is>
          <t>1000</t>
        </is>
      </c>
      <c r="D9" t="inlineStr">
        <is>
          <t>0</t>
        </is>
      </c>
      <c r="E9" t="inlineStr">
        <is>
          <t>0</t>
        </is>
      </c>
      <c r="F9" t="inlineStr">
        <is>
          <t>600</t>
        </is>
      </c>
      <c r="G9" t="inlineStr">
        <is>
          <t>800</t>
        </is>
      </c>
      <c r="H9"/>
      <c r="I9" t="inlineStr">
        <is>
          <t>4375</t>
        </is>
      </c>
      <c r="J9"/>
      <c r="K9"/>
      <c r="L9"/>
      <c r="M9"/>
      <c r="N9"/>
      <c r="O9"/>
      <c r="P9" t="inlineStr">
        <is>
          <t>55</t>
        </is>
      </c>
      <c r="Q9" t="inlineStr">
        <is>
          <t>30</t>
        </is>
      </c>
    </row>
    <row r="10" ht="25.5" customHeight="1">
      <c r="A10" t="inlineStr">
        <is>
          <t>2026/08/01</t>
        </is>
      </c>
      <c r="B10"/>
      <c r="C10" t="inlineStr">
        <is>
          <t>1200</t>
        </is>
      </c>
      <c r="D10" t="inlineStr">
        <is>
          <t>0</t>
        </is>
      </c>
      <c r="E10" t="inlineStr">
        <is>
          <t>0</t>
        </is>
      </c>
      <c r="F10" t="inlineStr">
        <is>
          <t>600</t>
        </is>
      </c>
      <c r="G10" t="inlineStr">
        <is>
          <t>800</t>
        </is>
      </c>
      <c r="H10"/>
      <c r="I10" t="inlineStr">
        <is>
          <t>5175</t>
        </is>
      </c>
      <c r="J10"/>
      <c r="K10" t="inlineStr">
        <is>
          <t>2026/08/01</t>
        </is>
      </c>
      <c r="L10"/>
      <c r="M10"/>
      <c r="N10"/>
      <c r="O10"/>
      <c r="P10" t="inlineStr">
        <is>
          <t>55</t>
        </is>
      </c>
      <c r="Q10" t="inlineStr">
        <is>
          <t>30</t>
        </is>
      </c>
    </row>
    <row r="11" ht="25.5" customHeight="1">
      <c r="A11" t="inlineStr">
        <is>
          <t>2026/09/01</t>
        </is>
      </c>
      <c r="B11"/>
      <c r="C11" t="inlineStr">
        <is>
          <t>1200</t>
        </is>
      </c>
      <c r="D11" t="inlineStr">
        <is>
          <t>0</t>
        </is>
      </c>
      <c r="E11" t="inlineStr">
        <is>
          <t>0</t>
        </is>
      </c>
      <c r="F11" t="inlineStr">
        <is>
          <t>600</t>
        </is>
      </c>
      <c r="G11" t="inlineStr">
        <is>
          <t>1200</t>
        </is>
      </c>
      <c r="H11"/>
      <c r="I11" t="inlineStr">
        <is>
          <t>6375</t>
        </is>
      </c>
      <c r="J11"/>
      <c r="K11"/>
      <c r="L11"/>
      <c r="M11"/>
      <c r="N11"/>
      <c r="O11"/>
      <c r="P11" t="inlineStr">
        <is>
          <t>55</t>
        </is>
      </c>
      <c r="Q11" t="inlineStr">
        <is>
          <t>30</t>
        </is>
      </c>
    </row>
    <row r="12" ht="25.5" customHeight="1">
      <c r="A12" t="inlineStr">
        <is>
          <t>2026/10/01</t>
        </is>
      </c>
      <c r="B12"/>
      <c r="C12" t="inlineStr">
        <is>
          <t>1200</t>
        </is>
      </c>
      <c r="D12" t="inlineStr">
        <is>
          <t>0</t>
        </is>
      </c>
      <c r="E12" t="inlineStr">
        <is>
          <t>0</t>
        </is>
      </c>
      <c r="F12" t="inlineStr">
        <is>
          <t>800</t>
        </is>
      </c>
      <c r="G12" t="inlineStr">
        <is>
          <t>1200</t>
        </is>
      </c>
      <c r="H12"/>
      <c r="I12" t="inlineStr">
        <is>
          <t>7575</t>
        </is>
      </c>
      <c r="J12"/>
      <c r="K12"/>
      <c r="L12"/>
      <c r="M12"/>
      <c r="N12"/>
      <c r="O12"/>
      <c r="P12" t="inlineStr">
        <is>
          <t>55</t>
        </is>
      </c>
      <c r="Q12" t="inlineStr">
        <is>
          <t>30</t>
        </is>
      </c>
    </row>
    <row r="13" ht="25.5" customHeight="1">
      <c r="A13" t="inlineStr">
        <is>
          <t>2026/11/01</t>
        </is>
      </c>
      <c r="B13"/>
      <c r="C13" t="inlineStr">
        <is>
          <t>1200</t>
        </is>
      </c>
      <c r="D13" t="inlineStr">
        <is>
          <t>0</t>
        </is>
      </c>
      <c r="E13" t="inlineStr">
        <is>
          <t>0</t>
        </is>
      </c>
      <c r="F13" t="inlineStr">
        <is>
          <t>1000</t>
        </is>
      </c>
      <c r="G13" t="inlineStr">
        <is>
          <t>1200</t>
        </is>
      </c>
      <c r="H13"/>
      <c r="I13" t="inlineStr">
        <is>
          <t>8775</t>
        </is>
      </c>
      <c r="J13"/>
      <c r="K13"/>
      <c r="L13"/>
      <c r="M13"/>
      <c r="N13"/>
      <c r="O13"/>
      <c r="P13" t="inlineStr">
        <is>
          <t>55</t>
        </is>
      </c>
      <c r="Q13" t="inlineStr">
        <is>
          <t>30</t>
        </is>
      </c>
    </row>
    <row r="14" ht="25.5" customHeight="1">
      <c r="A14" t="inlineStr">
        <is>
          <t>2026/12/01</t>
        </is>
      </c>
      <c r="B14"/>
      <c r="C14" t="inlineStr">
        <is>
          <t>1200</t>
        </is>
      </c>
      <c r="D14" t="inlineStr">
        <is>
          <t>0</t>
        </is>
      </c>
      <c r="E14" t="inlineStr">
        <is>
          <t>0</t>
        </is>
      </c>
      <c r="F14" t="inlineStr">
        <is>
          <t>1000</t>
        </is>
      </c>
      <c r="G14" t="inlineStr">
        <is>
          <t>1200</t>
        </is>
      </c>
      <c r="H14"/>
      <c r="I14" t="inlineStr">
        <is>
          <t>9975</t>
        </is>
      </c>
      <c r="J14"/>
      <c r="K14"/>
      <c r="L14"/>
      <c r="M14"/>
      <c r="N14"/>
      <c r="O14"/>
      <c r="P14" t="inlineStr">
        <is>
          <t>55</t>
        </is>
      </c>
      <c r="Q14" t="inlineStr">
        <is>
          <t>30</t>
        </is>
      </c>
    </row>
    <row r="15" ht="25.5" customHeight="1">
      <c r="A15" t="inlineStr">
        <is>
          <t>2027/01/01</t>
        </is>
      </c>
      <c r="B15"/>
      <c r="C15" t="inlineStr">
        <is>
          <t>1200</t>
        </is>
      </c>
      <c r="D15" t="inlineStr">
        <is>
          <t>0</t>
        </is>
      </c>
      <c r="E15" t="inlineStr">
        <is>
          <t>0</t>
        </is>
      </c>
      <c r="F15" t="inlineStr">
        <is>
          <t>1000</t>
        </is>
      </c>
      <c r="G15" t="inlineStr">
        <is>
          <t>1200</t>
        </is>
      </c>
      <c r="H15"/>
      <c r="I15" t="inlineStr">
        <is>
          <t>11175</t>
        </is>
      </c>
      <c r="J15"/>
      <c r="K15"/>
      <c r="L15"/>
      <c r="M15"/>
      <c r="N15"/>
      <c r="O15"/>
      <c r="P15" t="inlineStr">
        <is>
          <t>55</t>
        </is>
      </c>
      <c r="Q15" t="inlineStr">
        <is>
          <t>30</t>
        </is>
      </c>
    </row>
    <row r="16" ht="25.5" customHeight="1">
      <c r="A16" t="inlineStr">
        <is>
          <t>2027/02/01</t>
        </is>
      </c>
      <c r="B16"/>
      <c r="C16" t="inlineStr">
        <is>
          <t>1200</t>
        </is>
      </c>
      <c r="D16" t="inlineStr">
        <is>
          <t>0</t>
        </is>
      </c>
      <c r="E16" t="inlineStr">
        <is>
          <t>0</t>
        </is>
      </c>
      <c r="F16" t="inlineStr">
        <is>
          <t>1000</t>
        </is>
      </c>
      <c r="G16" t="inlineStr">
        <is>
          <t>1200</t>
        </is>
      </c>
      <c r="H16"/>
      <c r="I16" t="inlineStr">
        <is>
          <t>12375</t>
        </is>
      </c>
      <c r="J16"/>
      <c r="K16"/>
      <c r="L16"/>
      <c r="M16"/>
      <c r="N16"/>
      <c r="O16"/>
      <c r="P16" t="inlineStr">
        <is>
          <t>55</t>
        </is>
      </c>
      <c r="Q16" t="inlineStr">
        <is>
          <t>30</t>
        </is>
      </c>
    </row>
    <row r="17" ht="25.5" customHeight="1">
      <c r="A17" t="inlineStr">
        <is>
          <t>2027/03/01</t>
        </is>
      </c>
      <c r="B17"/>
      <c r="C17" t="inlineStr">
        <is>
          <t>1200</t>
        </is>
      </c>
      <c r="D17" t="inlineStr">
        <is>
          <t>0</t>
        </is>
      </c>
      <c r="E17" t="inlineStr">
        <is>
          <t>0</t>
        </is>
      </c>
      <c r="F17" t="inlineStr">
        <is>
          <t>1000</t>
        </is>
      </c>
      <c r="G17" t="inlineStr">
        <is>
          <t>1200</t>
        </is>
      </c>
      <c r="H17"/>
      <c r="I17" t="inlineStr">
        <is>
          <t>13575</t>
        </is>
      </c>
      <c r="J17"/>
      <c r="K17"/>
      <c r="L17"/>
      <c r="M17"/>
      <c r="N17"/>
      <c r="O17"/>
      <c r="P17" t="inlineStr">
        <is>
          <t>55</t>
        </is>
      </c>
      <c r="Q17" t="inlineStr">
        <is>
          <t>30</t>
        </is>
      </c>
    </row>
    <row r="18" ht="25.5" customHeight="1">
      <c r="A18" t="inlineStr">
        <is>
          <t>2027/04/01</t>
        </is>
      </c>
      <c r="B18"/>
      <c r="C18" t="inlineStr">
        <is>
          <t>1200</t>
        </is>
      </c>
      <c r="D18" t="inlineStr">
        <is>
          <t>0</t>
        </is>
      </c>
      <c r="E18" t="inlineStr">
        <is>
          <t>0</t>
        </is>
      </c>
      <c r="F18" t="inlineStr">
        <is>
          <t>1000</t>
        </is>
      </c>
      <c r="G18" t="inlineStr">
        <is>
          <t>1200</t>
        </is>
      </c>
      <c r="H18"/>
      <c r="I18" t="inlineStr">
        <is>
          <t>14775</t>
        </is>
      </c>
      <c r="J18"/>
      <c r="K18"/>
      <c r="L18"/>
      <c r="M18"/>
      <c r="N18"/>
      <c r="O18"/>
      <c r="P18" t="inlineStr">
        <is>
          <t>55</t>
        </is>
      </c>
      <c r="Q18" t="inlineStr">
        <is>
          <t>30</t>
        </is>
      </c>
    </row>
    <row r="19" ht="25.5" customHeight="1">
      <c r="A19" t="inlineStr">
        <is>
          <t>2027/05/01</t>
        </is>
      </c>
      <c r="B19"/>
      <c r="C19" t="inlineStr">
        <is>
          <t>1200</t>
        </is>
      </c>
      <c r="D19" t="inlineStr">
        <is>
          <t>0</t>
        </is>
      </c>
      <c r="E19" t="inlineStr">
        <is>
          <t>0</t>
        </is>
      </c>
      <c r="F19" t="inlineStr">
        <is>
          <t>1000</t>
        </is>
      </c>
      <c r="G19" t="inlineStr">
        <is>
          <t>1200</t>
        </is>
      </c>
      <c r="H19"/>
      <c r="I19" t="inlineStr">
        <is>
          <t>15975</t>
        </is>
      </c>
      <c r="J19"/>
      <c r="K19"/>
      <c r="L19"/>
      <c r="M19"/>
      <c r="N19"/>
      <c r="O19"/>
      <c r="P19" t="inlineStr">
        <is>
          <t>55</t>
        </is>
      </c>
      <c r="Q19" t="inlineStr">
        <is>
          <t>30</t>
        </is>
      </c>
    </row>
    <row r="20" ht="25.5" customHeight="1">
      <c r="A20"/>
      <c r="B20"/>
      <c r="C20"/>
      <c r="D20"/>
      <c r="E20"/>
      <c r="F20"/>
      <c r="G20"/>
      <c r="H20"/>
      <c r="I20"/>
      <c r="J20"/>
      <c r="K20"/>
      <c r="L20"/>
      <c r="M20"/>
      <c r="N20"/>
      <c r="O20"/>
      <c r="P20"/>
      <c r="Q20"/>
    </row>
    <row r="21" ht="25.5" customHeight="1">
      <c r="A21" t="inlineStr">
        <is>
          <t>月份</t>
        </is>
      </c>
      <c r="B21" t="inlineStr">
        <is>
          <t>期初库存</t>
        </is>
      </c>
      <c r="C21" t="inlineStr">
        <is>
          <t>入库数量</t>
        </is>
      </c>
      <c r="D21" t="inlineStr">
        <is>
          <t>待发PO</t>
        </is>
      </c>
      <c r="E21" t="inlineStr">
        <is>
          <t>普通PO</t>
        </is>
      </c>
      <c r="F21" t="inlineStr">
        <is>
          <t>PO计划
月销</t>
        </is>
      </c>
      <c r="G21" t="inlineStr">
        <is>
          <t>PO实际
月销</t>
        </is>
      </c>
      <c r="H21" t="inlineStr">
        <is>
          <t>前台
月销</t>
        </is>
      </c>
      <c r="I21" t="inlineStr">
        <is>
          <t>前台期末库存</t>
        </is>
      </c>
      <c r="J21" t="inlineStr">
        <is>
          <t>入库备注</t>
        </is>
      </c>
      <c r="K21" t="inlineStr">
        <is>
          <t>到货时间</t>
        </is>
      </c>
      <c r="L21" t="inlineStr">
        <is>
          <t>出货时间</t>
        </is>
      </c>
      <c r="M21" t="inlineStr">
        <is>
          <t>下单时间</t>
        </is>
      </c>
      <c r="N21" t="inlineStr">
        <is>
          <t>订单状态</t>
        </is>
      </c>
      <c r="O21" t="inlineStr">
        <is>
          <t>采购单号</t>
        </is>
      </c>
      <c r="P21" t="inlineStr">
        <is>
          <t>物流
交期</t>
        </is>
      </c>
      <c r="Q21" t="inlineStr">
        <is>
          <t>生产
交期</t>
        </is>
      </c>
    </row>
    <row r="22" ht="25.5" customHeight="1">
      <c r="A22" t="inlineStr">
        <is>
          <t>2025/12/01</t>
        </is>
      </c>
      <c r="B22" t="inlineStr">
        <is>
          <t>0</t>
        </is>
      </c>
      <c r="C22" t="inlineStr">
        <is>
          <t>405</t>
        </is>
      </c>
      <c r="D22" t="inlineStr">
        <is>
          <t>0</t>
        </is>
      </c>
      <c r="E22" t="inlineStr">
        <is>
          <t>0</t>
        </is>
      </c>
      <c r="F22" t="inlineStr">
        <is>
          <t>0</t>
        </is>
      </c>
      <c r="G22" t="inlineStr">
        <is>
          <t>45</t>
        </is>
      </c>
      <c r="H22" t="inlineStr">
        <is>
          <t>0</t>
        </is>
      </c>
      <c r="I22" t="inlineStr">
        <is>
          <t>45</t>
        </is>
      </c>
      <c r="J22" t="inlineStr">
        <is>
          <t>已入库</t>
        </is>
      </c>
      <c r="K22" t="inlineStr">
        <is>
          <t>2025/12/15</t>
        </is>
      </c>
      <c r="L22"/>
      <c r="M22"/>
      <c r="N22"/>
      <c r="O22"/>
      <c r="P22" t="inlineStr">
        <is>
          <t>55</t>
        </is>
      </c>
      <c r="Q22" t="inlineStr">
        <is>
          <t>30</t>
        </is>
      </c>
    </row>
    <row r="23" ht="25.5" customHeight="1">
      <c r="A23" t="inlineStr">
        <is>
          <t>2026/01/01</t>
        </is>
      </c>
      <c r="B23"/>
      <c r="C23" t="inlineStr">
        <is>
          <t>0</t>
        </is>
      </c>
      <c r="D23" t="inlineStr">
        <is>
          <t>0</t>
        </is>
      </c>
      <c r="E23" t="inlineStr">
        <is>
          <t>0</t>
        </is>
      </c>
      <c r="F23" t="inlineStr">
        <is>
          <t>90</t>
        </is>
      </c>
      <c r="G23" t="inlineStr">
        <is>
          <t>27</t>
        </is>
      </c>
      <c r="H23" t="inlineStr">
        <is>
          <t>11</t>
        </is>
      </c>
      <c r="I23" t="inlineStr">
        <is>
          <t>61</t>
        </is>
      </c>
      <c r="J23"/>
      <c r="K23"/>
      <c r="L23"/>
      <c r="M23"/>
      <c r="N23"/>
      <c r="O23"/>
      <c r="P23" t="inlineStr">
        <is>
          <t>55</t>
        </is>
      </c>
      <c r="Q23" t="inlineStr">
        <is>
          <t>30</t>
        </is>
      </c>
    </row>
    <row r="24" ht="25.5" customHeight="1">
      <c r="A24" t="inlineStr">
        <is>
          <t>2026/02/01</t>
        </is>
      </c>
      <c r="B24"/>
      <c r="C24" t="inlineStr">
        <is>
          <t>0</t>
        </is>
      </c>
      <c r="D24" t="inlineStr">
        <is>
          <t>0</t>
        </is>
      </c>
      <c r="E24" t="inlineStr">
        <is>
          <t>0</t>
        </is>
      </c>
      <c r="F24" t="inlineStr">
        <is>
          <t>150</t>
        </is>
      </c>
      <c r="G24" t="inlineStr">
        <is>
          <t>9</t>
        </is>
      </c>
      <c r="H24" t="inlineStr">
        <is>
          <t>33</t>
        </is>
      </c>
      <c r="I24" t="inlineStr">
        <is>
          <t>37</t>
        </is>
      </c>
      <c r="J24"/>
      <c r="K24"/>
      <c r="L24"/>
      <c r="M24"/>
      <c r="N24"/>
      <c r="O24"/>
      <c r="P24" t="inlineStr">
        <is>
          <t>55</t>
        </is>
      </c>
      <c r="Q24" t="inlineStr">
        <is>
          <t>30</t>
        </is>
      </c>
    </row>
    <row r="25" ht="25.5" customHeight="1">
      <c r="A25" t="inlineStr">
        <is>
          <t>2026/03/01</t>
        </is>
      </c>
      <c r="B25"/>
      <c r="C25" t="inlineStr">
        <is>
          <t>630</t>
        </is>
      </c>
      <c r="D25" t="inlineStr">
        <is>
          <t>0</t>
        </is>
      </c>
      <c r="E25" t="inlineStr">
        <is>
          <t>0</t>
        </is>
      </c>
      <c r="F25" t="inlineStr">
        <is>
          <t>180</t>
        </is>
      </c>
      <c r="G25" t="inlineStr">
        <is>
          <t>180</t>
        </is>
      </c>
      <c r="H25"/>
      <c r="I25" t="inlineStr">
        <is>
          <t>217</t>
        </is>
      </c>
      <c r="J25" t="inlineStr">
        <is>
          <t>在途</t>
        </is>
      </c>
      <c r="K25" t="inlineStr">
        <is>
          <t>2026/03/15</t>
        </is>
      </c>
      <c r="L25"/>
      <c r="M25"/>
      <c r="N25"/>
      <c r="O25"/>
      <c r="P25" t="inlineStr">
        <is>
          <t>55</t>
        </is>
      </c>
      <c r="Q25" t="inlineStr">
        <is>
          <t>30</t>
        </is>
      </c>
    </row>
    <row r="26" ht="25.5" customHeight="1">
      <c r="A26" t="inlineStr">
        <is>
          <t>2026/04/01</t>
        </is>
      </c>
      <c r="B26"/>
      <c r="C26" t="inlineStr">
        <is>
          <t>0</t>
        </is>
      </c>
      <c r="D26" t="inlineStr">
        <is>
          <t>0</t>
        </is>
      </c>
      <c r="E26" t="inlineStr">
        <is>
          <t>0</t>
        </is>
      </c>
      <c r="F26" t="inlineStr">
        <is>
          <t>210</t>
        </is>
      </c>
      <c r="G26" t="inlineStr">
        <is>
          <t>210</t>
        </is>
      </c>
      <c r="H26"/>
      <c r="I26" t="inlineStr">
        <is>
          <t>427</t>
        </is>
      </c>
      <c r="J26"/>
      <c r="K26"/>
      <c r="L26"/>
      <c r="M26"/>
      <c r="N26"/>
      <c r="O26"/>
      <c r="P26" t="inlineStr">
        <is>
          <t>55</t>
        </is>
      </c>
      <c r="Q26" t="inlineStr">
        <is>
          <t>30</t>
        </is>
      </c>
    </row>
    <row r="27" ht="25.5" customHeight="1">
      <c r="A27" t="inlineStr">
        <is>
          <t>2026/05/01</t>
        </is>
      </c>
      <c r="B27"/>
      <c r="C27" t="inlineStr">
        <is>
          <t>495</t>
        </is>
      </c>
      <c r="D27" t="inlineStr">
        <is>
          <t>0</t>
        </is>
      </c>
      <c r="E27" t="inlineStr">
        <is>
          <t>0</t>
        </is>
      </c>
      <c r="F27" t="inlineStr">
        <is>
          <t>240</t>
        </is>
      </c>
      <c r="G27" t="inlineStr">
        <is>
          <t>240</t>
        </is>
      </c>
      <c r="H27"/>
      <c r="I27" t="inlineStr">
        <is>
          <t>667</t>
        </is>
      </c>
      <c r="J27"/>
      <c r="K27" t="inlineStr">
        <is>
          <t>2026/05/01</t>
        </is>
      </c>
      <c r="L27"/>
      <c r="M27"/>
      <c r="N27"/>
      <c r="O27"/>
      <c r="P27" t="inlineStr">
        <is>
          <t>55</t>
        </is>
      </c>
      <c r="Q27" t="inlineStr">
        <is>
          <t>30</t>
        </is>
      </c>
    </row>
    <row r="28" ht="25.5" customHeight="1">
      <c r="A28" t="inlineStr">
        <is>
          <t>2026/06/01</t>
        </is>
      </c>
      <c r="B28"/>
      <c r="C28" t="inlineStr">
        <is>
          <t>0</t>
        </is>
      </c>
      <c r="D28" t="inlineStr">
        <is>
          <t>0</t>
        </is>
      </c>
      <c r="E28" t="inlineStr">
        <is>
          <t>0</t>
        </is>
      </c>
      <c r="F28" t="inlineStr">
        <is>
          <t>240</t>
        </is>
      </c>
      <c r="G28" t="inlineStr">
        <is>
          <t>240</t>
        </is>
      </c>
      <c r="H28"/>
      <c r="I28" t="inlineStr">
        <is>
          <t>907</t>
        </is>
      </c>
      <c r="J28"/>
      <c r="K28"/>
      <c r="L28"/>
      <c r="M28"/>
      <c r="N28"/>
      <c r="O28"/>
      <c r="P28" t="inlineStr">
        <is>
          <t>55</t>
        </is>
      </c>
      <c r="Q28" t="inlineStr">
        <is>
          <t>30</t>
        </is>
      </c>
    </row>
    <row r="29" ht="25.5" customHeight="1">
      <c r="A29" t="inlineStr">
        <is>
          <t>2026/07/01</t>
        </is>
      </c>
      <c r="B29"/>
      <c r="C29" t="inlineStr">
        <is>
          <t>0</t>
        </is>
      </c>
      <c r="D29" t="inlineStr">
        <is>
          <t>0</t>
        </is>
      </c>
      <c r="E29" t="inlineStr">
        <is>
          <t>0</t>
        </is>
      </c>
      <c r="F29" t="inlineStr">
        <is>
          <t>270</t>
        </is>
      </c>
      <c r="G29" t="inlineStr">
        <is>
          <t>270</t>
        </is>
      </c>
      <c r="H29"/>
      <c r="I29" t="inlineStr">
        <is>
          <t>1177</t>
        </is>
      </c>
      <c r="J29"/>
      <c r="K29"/>
      <c r="L29"/>
      <c r="M29"/>
      <c r="N29"/>
      <c r="O29"/>
      <c r="P29" t="inlineStr">
        <is>
          <t>55</t>
        </is>
      </c>
      <c r="Q29" t="inlineStr">
        <is>
          <t>30</t>
        </is>
      </c>
    </row>
    <row r="30" ht="25.5" customHeight="1">
      <c r="A30" t="inlineStr">
        <is>
          <t>2026/08/01</t>
        </is>
      </c>
      <c r="B30"/>
      <c r="C30" t="inlineStr">
        <is>
          <t>0</t>
        </is>
      </c>
      <c r="D30" t="inlineStr">
        <is>
          <t>0</t>
        </is>
      </c>
      <c r="E30" t="inlineStr">
        <is>
          <t>0</t>
        </is>
      </c>
      <c r="F30" t="inlineStr">
        <is>
          <t>270</t>
        </is>
      </c>
      <c r="G30" t="inlineStr">
        <is>
          <t>270</t>
        </is>
      </c>
      <c r="H30"/>
      <c r="I30" t="inlineStr">
        <is>
          <t>1447</t>
        </is>
      </c>
      <c r="J30"/>
      <c r="K30"/>
      <c r="L30"/>
      <c r="M30"/>
      <c r="N30"/>
      <c r="O30"/>
      <c r="P30" t="inlineStr">
        <is>
          <t>55</t>
        </is>
      </c>
      <c r="Q30" t="inlineStr">
        <is>
          <t>30</t>
        </is>
      </c>
    </row>
    <row r="31" ht="25.5" customHeight="1">
      <c r="A31" t="inlineStr">
        <is>
          <t>2026/09/01</t>
        </is>
      </c>
      <c r="B31"/>
      <c r="C31" t="inlineStr">
        <is>
          <t>0</t>
        </is>
      </c>
      <c r="D31" t="inlineStr">
        <is>
          <t>0</t>
        </is>
      </c>
      <c r="E31" t="inlineStr">
        <is>
          <t>0</t>
        </is>
      </c>
      <c r="F31" t="inlineStr">
        <is>
          <t>300</t>
        </is>
      </c>
      <c r="G31" t="inlineStr">
        <is>
          <t>300</t>
        </is>
      </c>
      <c r="H31"/>
      <c r="I31" t="inlineStr">
        <is>
          <t>1747</t>
        </is>
      </c>
      <c r="J31"/>
      <c r="K31"/>
      <c r="L31"/>
      <c r="M31"/>
      <c r="N31"/>
      <c r="O31"/>
      <c r="P31" t="inlineStr">
        <is>
          <t>55</t>
        </is>
      </c>
      <c r="Q31" t="inlineStr">
        <is>
          <t>30</t>
        </is>
      </c>
    </row>
    <row r="32" ht="25.5" customHeight="1">
      <c r="A32" t="inlineStr">
        <is>
          <t>2026/10/01</t>
        </is>
      </c>
      <c r="B32"/>
      <c r="C32" t="inlineStr">
        <is>
          <t>0</t>
        </is>
      </c>
      <c r="D32" t="inlineStr">
        <is>
          <t>0</t>
        </is>
      </c>
      <c r="E32" t="inlineStr">
        <is>
          <t>0</t>
        </is>
      </c>
      <c r="F32" t="inlineStr">
        <is>
          <t>300</t>
        </is>
      </c>
      <c r="G32" t="inlineStr">
        <is>
          <t>300</t>
        </is>
      </c>
      <c r="H32"/>
      <c r="I32" t="inlineStr">
        <is>
          <t>2047</t>
        </is>
      </c>
      <c r="J32"/>
      <c r="K32"/>
      <c r="L32"/>
      <c r="M32"/>
      <c r="N32"/>
      <c r="O32"/>
      <c r="P32" t="inlineStr">
        <is>
          <t>55</t>
        </is>
      </c>
      <c r="Q32" t="inlineStr">
        <is>
          <t>30</t>
        </is>
      </c>
    </row>
    <row r="33" ht="25.5" customHeight="1">
      <c r="A33" t="inlineStr">
        <is>
          <t>2026/11/01</t>
        </is>
      </c>
      <c r="B33"/>
      <c r="C33" t="inlineStr">
        <is>
          <t>0</t>
        </is>
      </c>
      <c r="D33" t="inlineStr">
        <is>
          <t>0</t>
        </is>
      </c>
      <c r="E33" t="inlineStr">
        <is>
          <t>0</t>
        </is>
      </c>
      <c r="F33" t="inlineStr">
        <is>
          <t>300</t>
        </is>
      </c>
      <c r="G33" t="inlineStr">
        <is>
          <t>300</t>
        </is>
      </c>
      <c r="H33"/>
      <c r="I33" t="inlineStr">
        <is>
          <t>2347</t>
        </is>
      </c>
      <c r="J33"/>
      <c r="K33"/>
      <c r="L33"/>
      <c r="M33"/>
      <c r="N33"/>
      <c r="O33"/>
      <c r="P33" t="inlineStr">
        <is>
          <t>55</t>
        </is>
      </c>
      <c r="Q33" t="inlineStr">
        <is>
          <t>30</t>
        </is>
      </c>
    </row>
    <row r="34" ht="25.5" customHeight="1">
      <c r="A34" t="inlineStr">
        <is>
          <t>2026/12/01</t>
        </is>
      </c>
      <c r="B34"/>
      <c r="C34" t="inlineStr">
        <is>
          <t>0</t>
        </is>
      </c>
      <c r="D34" t="inlineStr">
        <is>
          <t>0</t>
        </is>
      </c>
      <c r="E34" t="inlineStr">
        <is>
          <t>0</t>
        </is>
      </c>
      <c r="F34" t="inlineStr">
        <is>
          <t>300</t>
        </is>
      </c>
      <c r="G34" t="inlineStr">
        <is>
          <t>300</t>
        </is>
      </c>
      <c r="H34"/>
      <c r="I34" t="inlineStr">
        <is>
          <t>2647</t>
        </is>
      </c>
      <c r="J34"/>
      <c r="K34"/>
      <c r="L34"/>
      <c r="M34"/>
      <c r="N34"/>
      <c r="O34"/>
      <c r="P34" t="inlineStr">
        <is>
          <t>55</t>
        </is>
      </c>
      <c r="Q34" t="inlineStr">
        <is>
          <t>30</t>
        </is>
      </c>
    </row>
    <row r="35" ht="25.5" customHeight="1">
      <c r="A35" t="inlineStr">
        <is>
          <t>2027/01/01</t>
        </is>
      </c>
      <c r="B35"/>
      <c r="C35" t="inlineStr">
        <is>
          <t>0</t>
        </is>
      </c>
      <c r="D35" t="inlineStr">
        <is>
          <t>0</t>
        </is>
      </c>
      <c r="E35" t="inlineStr">
        <is>
          <t>0</t>
        </is>
      </c>
      <c r="F35" t="inlineStr">
        <is>
          <t>300</t>
        </is>
      </c>
      <c r="G35" t="inlineStr">
        <is>
          <t>300</t>
        </is>
      </c>
      <c r="H35"/>
      <c r="I35" t="inlineStr">
        <is>
          <t>2947</t>
        </is>
      </c>
      <c r="J35"/>
      <c r="K35"/>
      <c r="L35"/>
      <c r="M35"/>
      <c r="N35"/>
      <c r="O35"/>
      <c r="P35" t="inlineStr">
        <is>
          <t>55</t>
        </is>
      </c>
      <c r="Q35" t="inlineStr">
        <is>
          <t>30</t>
        </is>
      </c>
    </row>
    <row r="36" ht="25.5" customHeight="1">
      <c r="A36" t="inlineStr">
        <is>
          <t>2027/02/01</t>
        </is>
      </c>
      <c r="B36"/>
      <c r="C36" t="inlineStr">
        <is>
          <t>0</t>
        </is>
      </c>
      <c r="D36" t="inlineStr">
        <is>
          <t>0</t>
        </is>
      </c>
      <c r="E36" t="inlineStr">
        <is>
          <t>0</t>
        </is>
      </c>
      <c r="F36" t="inlineStr">
        <is>
          <t>300</t>
        </is>
      </c>
      <c r="G36" t="inlineStr">
        <is>
          <t>300</t>
        </is>
      </c>
      <c r="H36"/>
      <c r="I36" t="inlineStr">
        <is>
          <t>3247</t>
        </is>
      </c>
      <c r="J36"/>
      <c r="K36"/>
      <c r="L36"/>
      <c r="M36"/>
      <c r="N36"/>
      <c r="O36"/>
      <c r="P36" t="inlineStr">
        <is>
          <t>55</t>
        </is>
      </c>
      <c r="Q36" t="inlineStr">
        <is>
          <t>30</t>
        </is>
      </c>
    </row>
    <row r="37" ht="25.5" customHeight="1">
      <c r="A37" t="inlineStr">
        <is>
          <t>2027/03/01</t>
        </is>
      </c>
      <c r="B37"/>
      <c r="C37" t="inlineStr">
        <is>
          <t>0</t>
        </is>
      </c>
      <c r="D37" t="inlineStr">
        <is>
          <t>0</t>
        </is>
      </c>
      <c r="E37" t="inlineStr">
        <is>
          <t>0</t>
        </is>
      </c>
      <c r="F37" t="inlineStr">
        <is>
          <t>300</t>
        </is>
      </c>
      <c r="G37" t="inlineStr">
        <is>
          <t>300</t>
        </is>
      </c>
      <c r="H37"/>
      <c r="I37" t="inlineStr">
        <is>
          <t>3547</t>
        </is>
      </c>
      <c r="J37"/>
      <c r="K37"/>
      <c r="L37"/>
      <c r="M37"/>
      <c r="N37"/>
      <c r="O37"/>
      <c r="P37" t="inlineStr">
        <is>
          <t>55</t>
        </is>
      </c>
      <c r="Q37" t="inlineStr">
        <is>
          <t>30</t>
        </is>
      </c>
    </row>
    <row r="38" ht="25.5" customHeight="1">
      <c r="A38" t="inlineStr">
        <is>
          <t>2027/04/01</t>
        </is>
      </c>
      <c r="B38"/>
      <c r="C38" t="inlineStr">
        <is>
          <t>0</t>
        </is>
      </c>
      <c r="D38" t="inlineStr">
        <is>
          <t>0</t>
        </is>
      </c>
      <c r="E38" t="inlineStr">
        <is>
          <t>0</t>
        </is>
      </c>
      <c r="F38" t="inlineStr">
        <is>
          <t>300</t>
        </is>
      </c>
      <c r="G38" t="inlineStr">
        <is>
          <t>300</t>
        </is>
      </c>
      <c r="H38"/>
      <c r="I38" t="inlineStr">
        <is>
          <t>3847</t>
        </is>
      </c>
      <c r="J38"/>
      <c r="K38"/>
      <c r="L38"/>
      <c r="M38"/>
      <c r="N38"/>
      <c r="O38"/>
      <c r="P38" t="inlineStr">
        <is>
          <t>55</t>
        </is>
      </c>
      <c r="Q38" t="inlineStr">
        <is>
          <t>30</t>
        </is>
      </c>
    </row>
    <row r="39" ht="25.5" customHeight="1">
      <c r="A39" t="inlineStr">
        <is>
          <t>2027/05/01</t>
        </is>
      </c>
      <c r="B39"/>
      <c r="C39" t="inlineStr">
        <is>
          <t>0</t>
        </is>
      </c>
      <c r="D39" t="inlineStr">
        <is>
          <t>0</t>
        </is>
      </c>
      <c r="E39" t="inlineStr">
        <is>
          <t>0</t>
        </is>
      </c>
      <c r="F39" t="inlineStr">
        <is>
          <t>300</t>
        </is>
      </c>
      <c r="G39" t="inlineStr">
        <is>
          <t>300</t>
        </is>
      </c>
      <c r="H39"/>
      <c r="I39" t="inlineStr">
        <is>
          <t>4147</t>
        </is>
      </c>
      <c r="J39"/>
      <c r="K39"/>
      <c r="L39"/>
      <c r="M39"/>
      <c r="N39"/>
      <c r="O39"/>
      <c r="P39" t="inlineStr">
        <is>
          <t>55</t>
        </is>
      </c>
      <c r="Q39" t="inlineStr">
        <is>
          <t>30</t>
        </is>
      </c>
    </row>
    <row r="40" ht="25.5" customHeight="1">
      <c r="A40"/>
      <c r="B40"/>
      <c r="C40"/>
      <c r="D40"/>
      <c r="E40"/>
      <c r="F40"/>
      <c r="G40"/>
      <c r="H40"/>
      <c r="I40"/>
      <c r="J40"/>
      <c r="K40"/>
      <c r="L40"/>
      <c r="M40"/>
      <c r="N40"/>
      <c r="O40"/>
      <c r="P40"/>
      <c r="Q40"/>
    </row>
    <row r="41" ht="25.5" customHeight="1">
      <c r="A41"/>
      <c r="B41"/>
      <c r="C41"/>
      <c r="D41"/>
      <c r="E41"/>
      <c r="F41"/>
      <c r="G41"/>
      <c r="H41"/>
      <c r="I41"/>
      <c r="J41"/>
      <c r="K41"/>
      <c r="L41"/>
      <c r="M41"/>
      <c r="N41"/>
      <c r="O41"/>
      <c r="P41"/>
      <c r="Q41"/>
    </row>
  </sheetData>
  <dataValidations count="1">
    <dataValidation allowBlank="false" sqref="J2:J40" type="list">
      <formula1>"已入库,在途,已下单,入库备注"</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月份</t>
        </is>
      </c>
      <c r="B1" s="1" t="inlineStr">
        <is>
          <t>期初库存</t>
        </is>
      </c>
      <c r="C1" s="1" t="inlineStr">
        <is>
          <t>入库数量</t>
        </is>
      </c>
      <c r="D1" s="1" t="inlineStr">
        <is>
          <t>待发PO</t>
        </is>
      </c>
      <c r="E1" s="1" t="inlineStr">
        <is>
          <t>普通PO</t>
        </is>
      </c>
      <c r="F1" s="1" t="inlineStr">
        <is>
          <t>PO计划
月销</t>
        </is>
      </c>
      <c r="G1" s="1" t="inlineStr">
        <is>
          <t>PO实际
月销</t>
        </is>
      </c>
      <c r="H1" s="1" t="inlineStr">
        <is>
          <t>前台
月销</t>
        </is>
      </c>
      <c r="I1" s="1" t="inlineStr">
        <is>
          <t>前台期末库存</t>
        </is>
      </c>
      <c r="J1" s="1" t="inlineStr">
        <is>
          <t>入库备注</t>
        </is>
      </c>
      <c r="K1" s="1" t="inlineStr">
        <is>
          <t>到货时间</t>
        </is>
      </c>
      <c r="L1" s="1" t="inlineStr">
        <is>
          <t>出货时间</t>
        </is>
      </c>
      <c r="M1" s="1" t="inlineStr">
        <is>
          <t>下单时间</t>
        </is>
      </c>
      <c r="N1" s="1" t="inlineStr">
        <is>
          <t>订单状态</t>
        </is>
      </c>
      <c r="O1" s="1" t="inlineStr">
        <is>
          <t>采购单号</t>
        </is>
      </c>
      <c r="P1" s="1" t="inlineStr">
        <is>
          <t>物流
交期</t>
        </is>
      </c>
      <c r="Q1" s="1" t="inlineStr">
        <is>
          <t>生产
交期</t>
        </is>
      </c>
      <c r="R1" s="1" t="inlineStr">
        <is>
          <t>列18</t>
        </is>
      </c>
    </row>
    <row r="2" ht="25.5" customHeight="1">
      <c r="A2" t="inlineStr">
        <is>
          <t>2026/02/01</t>
        </is>
      </c>
      <c r="B2" t="inlineStr">
        <is>
          <t>0</t>
        </is>
      </c>
      <c r="C2" t="inlineStr">
        <is>
          <t>1760</t>
        </is>
      </c>
      <c r="D2" t="inlineStr">
        <is>
          <t>0</t>
        </is>
      </c>
      <c r="E2" t="inlineStr">
        <is>
          <t>300</t>
        </is>
      </c>
      <c r="F2" t="inlineStr">
        <is>
          <t>300</t>
        </is>
      </c>
      <c r="G2" t="inlineStr">
        <is>
          <t>300</t>
        </is>
      </c>
      <c r="H2"/>
      <c r="I2" t="inlineStr">
        <is>
          <t>300</t>
        </is>
      </c>
      <c r="J2"/>
      <c r="K2" t="inlineStr">
        <is>
          <t>2026/02/01</t>
        </is>
      </c>
      <c r="L2"/>
      <c r="M2"/>
      <c r="N2"/>
      <c r="O2"/>
      <c r="P2" t="inlineStr">
        <is>
          <t>30</t>
        </is>
      </c>
      <c r="Q2" t="inlineStr">
        <is>
          <t>30</t>
        </is>
      </c>
      <c r="R2"/>
    </row>
    <row r="3" ht="25.5" customHeight="1">
      <c r="A3" t="inlineStr">
        <is>
          <t>2026/03/01</t>
        </is>
      </c>
      <c r="B3"/>
      <c r="C3" t="inlineStr">
        <is>
          <t>0</t>
        </is>
      </c>
      <c r="D3" t="inlineStr">
        <is>
          <t>0</t>
        </is>
      </c>
      <c r="E3"/>
      <c r="F3" t="inlineStr">
        <is>
          <t>400</t>
        </is>
      </c>
      <c r="G3" t="inlineStr">
        <is>
          <t>400</t>
        </is>
      </c>
      <c r="H3"/>
      <c r="I3" t="inlineStr">
        <is>
          <t>700</t>
        </is>
      </c>
      <c r="J3"/>
      <c r="K3"/>
      <c r="L3"/>
      <c r="M3"/>
      <c r="N3"/>
      <c r="O3"/>
      <c r="P3" t="inlineStr">
        <is>
          <t>30</t>
        </is>
      </c>
      <c r="Q3" t="inlineStr">
        <is>
          <t>30</t>
        </is>
      </c>
      <c r="R3"/>
    </row>
    <row r="4" ht="25.5" customHeight="1">
      <c r="A4" t="inlineStr">
        <is>
          <t>2026/04/01</t>
        </is>
      </c>
      <c r="B4"/>
      <c r="C4" t="inlineStr">
        <is>
          <t>0</t>
        </is>
      </c>
      <c r="D4" t="inlineStr">
        <is>
          <t>0</t>
        </is>
      </c>
      <c r="E4"/>
      <c r="F4" t="inlineStr">
        <is>
          <t>500</t>
        </is>
      </c>
      <c r="G4" t="inlineStr">
        <is>
          <t>500</t>
        </is>
      </c>
      <c r="H4"/>
      <c r="I4" t="inlineStr">
        <is>
          <t>1200</t>
        </is>
      </c>
      <c r="J4"/>
      <c r="K4"/>
      <c r="L4"/>
      <c r="M4"/>
      <c r="N4"/>
      <c r="O4"/>
      <c r="P4" t="inlineStr">
        <is>
          <t>30</t>
        </is>
      </c>
      <c r="Q4" t="inlineStr">
        <is>
          <t>30</t>
        </is>
      </c>
      <c r="R4"/>
    </row>
    <row r="5" ht="25.5" customHeight="1">
      <c r="A5" t="inlineStr">
        <is>
          <t>2026/05/01</t>
        </is>
      </c>
      <c r="B5"/>
      <c r="C5" t="inlineStr">
        <is>
          <t>1600</t>
        </is>
      </c>
      <c r="D5" t="inlineStr">
        <is>
          <t>0</t>
        </is>
      </c>
      <c r="E5"/>
      <c r="F5" t="inlineStr">
        <is>
          <t>600</t>
        </is>
      </c>
      <c r="G5" t="inlineStr">
        <is>
          <t>600</t>
        </is>
      </c>
      <c r="H5"/>
      <c r="I5" t="inlineStr">
        <is>
          <t>1800</t>
        </is>
      </c>
      <c r="J5"/>
      <c r="K5" t="inlineStr">
        <is>
          <t>2026/05/01</t>
        </is>
      </c>
      <c r="L5"/>
      <c r="M5"/>
      <c r="N5"/>
      <c r="O5"/>
      <c r="P5" t="inlineStr">
        <is>
          <t>30</t>
        </is>
      </c>
      <c r="Q5" t="inlineStr">
        <is>
          <t>30</t>
        </is>
      </c>
      <c r="R5"/>
    </row>
    <row r="6" ht="25.5" customHeight="1">
      <c r="A6" t="inlineStr">
        <is>
          <t>2026/06/01</t>
        </is>
      </c>
      <c r="B6"/>
      <c r="C6" t="inlineStr">
        <is>
          <t>0</t>
        </is>
      </c>
      <c r="D6" t="inlineStr">
        <is>
          <t>0</t>
        </is>
      </c>
      <c r="E6"/>
      <c r="F6" t="inlineStr">
        <is>
          <t>700</t>
        </is>
      </c>
      <c r="G6" t="inlineStr">
        <is>
          <t>700</t>
        </is>
      </c>
      <c r="H6"/>
      <c r="I6" t="inlineStr">
        <is>
          <t>2500</t>
        </is>
      </c>
      <c r="J6"/>
      <c r="K6"/>
      <c r="L6"/>
      <c r="M6"/>
      <c r="N6"/>
      <c r="O6"/>
      <c r="P6" t="inlineStr">
        <is>
          <t>30</t>
        </is>
      </c>
      <c r="Q6" t="inlineStr">
        <is>
          <t>30</t>
        </is>
      </c>
      <c r="R6">
        <v>2346</v>
      </c>
    </row>
    <row r="7" ht="25.5" customHeight="1">
      <c r="A7" t="inlineStr">
        <is>
          <t>2026/07/01</t>
        </is>
      </c>
      <c r="B7"/>
      <c r="C7" t="inlineStr">
        <is>
          <t>1600</t>
        </is>
      </c>
      <c r="D7" t="inlineStr">
        <is>
          <t>0</t>
        </is>
      </c>
      <c r="E7" t="inlineStr">
        <is>
          <t>900</t>
        </is>
      </c>
      <c r="F7" t="inlineStr">
        <is>
          <t>800</t>
        </is>
      </c>
      <c r="G7" t="inlineStr">
        <is>
          <t>800</t>
        </is>
      </c>
      <c r="H7"/>
      <c r="I7" t="inlineStr">
        <is>
          <t>3300</t>
        </is>
      </c>
      <c r="J7"/>
      <c r="K7"/>
      <c r="L7"/>
      <c r="M7"/>
      <c r="N7"/>
      <c r="O7"/>
      <c r="P7" t="inlineStr">
        <is>
          <t>30</t>
        </is>
      </c>
      <c r="Q7" t="inlineStr">
        <is>
          <t>30</t>
        </is>
      </c>
      <c r="R7"/>
    </row>
    <row r="8" ht="25.5" customHeight="1">
      <c r="A8" t="inlineStr">
        <is>
          <t>2026/08/01</t>
        </is>
      </c>
      <c r="B8"/>
      <c r="C8" t="inlineStr">
        <is>
          <t>0</t>
        </is>
      </c>
      <c r="D8" t="inlineStr">
        <is>
          <t>0</t>
        </is>
      </c>
      <c r="E8"/>
      <c r="F8" t="inlineStr">
        <is>
          <t>900</t>
        </is>
      </c>
      <c r="G8" t="inlineStr">
        <is>
          <t>900</t>
        </is>
      </c>
      <c r="H8"/>
      <c r="I8" t="inlineStr">
        <is>
          <t>4200</t>
        </is>
      </c>
      <c r="J8"/>
      <c r="K8"/>
      <c r="L8"/>
      <c r="M8"/>
      <c r="N8"/>
      <c r="O8"/>
      <c r="P8" t="inlineStr">
        <is>
          <t>30</t>
        </is>
      </c>
      <c r="Q8" t="inlineStr">
        <is>
          <t>30</t>
        </is>
      </c>
      <c r="R8"/>
    </row>
    <row r="9" ht="25.5" customHeight="1">
      <c r="A9" t="inlineStr">
        <is>
          <t>2026/09/01</t>
        </is>
      </c>
      <c r="B9"/>
      <c r="C9" t="inlineStr">
        <is>
          <t>1600</t>
        </is>
      </c>
      <c r="D9" t="inlineStr">
        <is>
          <t>0</t>
        </is>
      </c>
      <c r="E9"/>
      <c r="F9" t="inlineStr">
        <is>
          <t>1000</t>
        </is>
      </c>
      <c r="G9" t="inlineStr">
        <is>
          <t>1000</t>
        </is>
      </c>
      <c r="H9"/>
      <c r="I9" t="inlineStr">
        <is>
          <t>5200</t>
        </is>
      </c>
      <c r="J9"/>
      <c r="K9"/>
      <c r="L9"/>
      <c r="M9"/>
      <c r="N9"/>
      <c r="O9"/>
      <c r="P9" t="inlineStr">
        <is>
          <t>30</t>
        </is>
      </c>
      <c r="Q9" t="inlineStr">
        <is>
          <t>30</t>
        </is>
      </c>
      <c r="R9"/>
    </row>
    <row r="10" ht="25.5" customHeight="1">
      <c r="A10" t="inlineStr">
        <is>
          <t>2026/10/01</t>
        </is>
      </c>
      <c r="B10"/>
      <c r="C10" t="inlineStr">
        <is>
          <t>0</t>
        </is>
      </c>
      <c r="D10" t="inlineStr">
        <is>
          <t>0</t>
        </is>
      </c>
      <c r="E10"/>
      <c r="F10" t="inlineStr">
        <is>
          <t>1000</t>
        </is>
      </c>
      <c r="G10" t="inlineStr">
        <is>
          <t>1000</t>
        </is>
      </c>
      <c r="H10"/>
      <c r="I10" t="inlineStr">
        <is>
          <t>6200</t>
        </is>
      </c>
      <c r="J10"/>
      <c r="K10"/>
      <c r="L10"/>
      <c r="M10"/>
      <c r="N10"/>
      <c r="O10"/>
      <c r="P10" t="inlineStr">
        <is>
          <t>30</t>
        </is>
      </c>
      <c r="Q10" t="inlineStr">
        <is>
          <t>30</t>
        </is>
      </c>
      <c r="R10"/>
    </row>
    <row r="11" ht="25.5" customHeight="1">
      <c r="A11" t="inlineStr">
        <is>
          <t>2026/11/01</t>
        </is>
      </c>
      <c r="B11"/>
      <c r="C11" t="inlineStr">
        <is>
          <t>1600</t>
        </is>
      </c>
      <c r="D11" t="inlineStr">
        <is>
          <t>0</t>
        </is>
      </c>
      <c r="E11"/>
      <c r="F11" t="inlineStr">
        <is>
          <t>1000</t>
        </is>
      </c>
      <c r="G11" t="inlineStr">
        <is>
          <t>1000</t>
        </is>
      </c>
      <c r="H11"/>
      <c r="I11" t="inlineStr">
        <is>
          <t>7200</t>
        </is>
      </c>
      <c r="J11"/>
      <c r="K11"/>
      <c r="L11"/>
      <c r="M11"/>
      <c r="N11"/>
      <c r="O11"/>
      <c r="P11" t="inlineStr">
        <is>
          <t>30</t>
        </is>
      </c>
      <c r="Q11" t="inlineStr">
        <is>
          <t>30</t>
        </is>
      </c>
      <c r="R11"/>
    </row>
    <row r="12" ht="25.5" customHeight="1">
      <c r="A12" t="inlineStr">
        <is>
          <t>2026/12/01</t>
        </is>
      </c>
      <c r="B12"/>
      <c r="C12" t="inlineStr">
        <is>
          <t>1000</t>
        </is>
      </c>
      <c r="D12" t="inlineStr">
        <is>
          <t>0</t>
        </is>
      </c>
      <c r="E12"/>
      <c r="F12" t="inlineStr">
        <is>
          <t>1000</t>
        </is>
      </c>
      <c r="G12" t="inlineStr">
        <is>
          <t>1000</t>
        </is>
      </c>
      <c r="H12"/>
      <c r="I12" t="inlineStr">
        <is>
          <t>8200</t>
        </is>
      </c>
      <c r="J12"/>
      <c r="K12"/>
      <c r="L12"/>
      <c r="M12"/>
      <c r="N12"/>
      <c r="O12"/>
      <c r="P12" t="inlineStr">
        <is>
          <t>30</t>
        </is>
      </c>
      <c r="Q12" t="inlineStr">
        <is>
          <t>30</t>
        </is>
      </c>
      <c r="R12"/>
    </row>
    <row r="13" ht="25.5" customHeight="1">
      <c r="A13" t="inlineStr">
        <is>
          <t>2027/01/01</t>
        </is>
      </c>
      <c r="B13"/>
      <c r="C13" t="inlineStr">
        <is>
          <t>1200</t>
        </is>
      </c>
      <c r="D13" t="inlineStr">
        <is>
          <t>0</t>
        </is>
      </c>
      <c r="E13"/>
      <c r="F13" t="inlineStr">
        <is>
          <t>1000</t>
        </is>
      </c>
      <c r="G13" t="inlineStr">
        <is>
          <t>1000</t>
        </is>
      </c>
      <c r="H13"/>
      <c r="I13" t="inlineStr">
        <is>
          <t>9200</t>
        </is>
      </c>
      <c r="J13"/>
      <c r="K13"/>
      <c r="L13"/>
      <c r="M13"/>
      <c r="N13"/>
      <c r="O13"/>
      <c r="P13" t="inlineStr">
        <is>
          <t>30</t>
        </is>
      </c>
      <c r="Q13" t="inlineStr">
        <is>
          <t>30</t>
        </is>
      </c>
      <c r="R13"/>
    </row>
    <row r="14" ht="25.5" customHeight="1">
      <c r="A14" t="inlineStr">
        <is>
          <t>2027/02/01</t>
        </is>
      </c>
      <c r="B14"/>
      <c r="C14" t="inlineStr">
        <is>
          <t>1000</t>
        </is>
      </c>
      <c r="D14" t="inlineStr">
        <is>
          <t>0</t>
        </is>
      </c>
      <c r="E14"/>
      <c r="F14" t="inlineStr">
        <is>
          <t>1000</t>
        </is>
      </c>
      <c r="G14" t="inlineStr">
        <is>
          <t>1000</t>
        </is>
      </c>
      <c r="H14"/>
      <c r="I14" t="inlineStr">
        <is>
          <t>10200</t>
        </is>
      </c>
      <c r="J14"/>
      <c r="K14"/>
      <c r="L14"/>
      <c r="M14"/>
      <c r="N14"/>
      <c r="O14"/>
      <c r="P14" t="inlineStr">
        <is>
          <t>30</t>
        </is>
      </c>
      <c r="Q14" t="inlineStr">
        <is>
          <t>30</t>
        </is>
      </c>
      <c r="R14"/>
    </row>
    <row r="15" ht="25.5" customHeight="1">
      <c r="A15" t="inlineStr">
        <is>
          <t>2027/03/01</t>
        </is>
      </c>
      <c r="B15"/>
      <c r="C15" t="inlineStr">
        <is>
          <t>1000</t>
        </is>
      </c>
      <c r="D15" t="inlineStr">
        <is>
          <t>0</t>
        </is>
      </c>
      <c r="E15"/>
      <c r="F15" t="inlineStr">
        <is>
          <t>1000</t>
        </is>
      </c>
      <c r="G15" t="inlineStr">
        <is>
          <t>1000</t>
        </is>
      </c>
      <c r="H15"/>
      <c r="I15" t="inlineStr">
        <is>
          <t>11200</t>
        </is>
      </c>
      <c r="J15"/>
      <c r="K15"/>
      <c r="L15"/>
      <c r="M15"/>
      <c r="N15"/>
      <c r="O15"/>
      <c r="P15" t="inlineStr">
        <is>
          <t>30</t>
        </is>
      </c>
      <c r="Q15" t="inlineStr">
        <is>
          <t>30</t>
        </is>
      </c>
      <c r="R15"/>
    </row>
    <row r="16" ht="25.5" customHeight="1">
      <c r="A16" t="inlineStr">
        <is>
          <t>2027/04/01</t>
        </is>
      </c>
      <c r="B16"/>
      <c r="C16" t="inlineStr">
        <is>
          <t>0</t>
        </is>
      </c>
      <c r="D16" t="inlineStr">
        <is>
          <t>0</t>
        </is>
      </c>
      <c r="E16"/>
      <c r="F16" t="inlineStr">
        <is>
          <t>1000</t>
        </is>
      </c>
      <c r="G16" t="inlineStr">
        <is>
          <t>1000</t>
        </is>
      </c>
      <c r="H16"/>
      <c r="I16" t="inlineStr">
        <is>
          <t>12200</t>
        </is>
      </c>
      <c r="J16"/>
      <c r="K16"/>
      <c r="L16"/>
      <c r="M16"/>
      <c r="N16"/>
      <c r="O16"/>
      <c r="P16" t="inlineStr">
        <is>
          <t>30</t>
        </is>
      </c>
      <c r="Q16" t="inlineStr">
        <is>
          <t>30</t>
        </is>
      </c>
      <c r="R16"/>
    </row>
    <row r="17" ht="25.5" customHeight="1">
      <c r="A17" t="inlineStr">
        <is>
          <t>2027/05/01</t>
        </is>
      </c>
      <c r="B17"/>
      <c r="C17" t="inlineStr">
        <is>
          <t>1000</t>
        </is>
      </c>
      <c r="D17" t="inlineStr">
        <is>
          <t>0</t>
        </is>
      </c>
      <c r="E17"/>
      <c r="F17" t="inlineStr">
        <is>
          <t>1000</t>
        </is>
      </c>
      <c r="G17" t="inlineStr">
        <is>
          <t>1000</t>
        </is>
      </c>
      <c r="H17"/>
      <c r="I17" t="inlineStr">
        <is>
          <t>13200</t>
        </is>
      </c>
      <c r="J17"/>
      <c r="K17"/>
      <c r="L17"/>
      <c r="M17"/>
      <c r="N17"/>
      <c r="O17"/>
      <c r="P17" t="inlineStr">
        <is>
          <t>30</t>
        </is>
      </c>
      <c r="Q17" t="inlineStr">
        <is>
          <t>30</t>
        </is>
      </c>
      <c r="R17"/>
    </row>
    <row r="18" ht="25.5" customHeight="1">
      <c r="A18" t="inlineStr">
        <is>
          <t>2027/06/01</t>
        </is>
      </c>
      <c r="B18"/>
      <c r="C18" t="inlineStr">
        <is>
          <t>1000</t>
        </is>
      </c>
      <c r="D18" t="inlineStr">
        <is>
          <t>0</t>
        </is>
      </c>
      <c r="E18"/>
      <c r="F18" t="inlineStr">
        <is>
          <t>1000</t>
        </is>
      </c>
      <c r="G18" t="inlineStr">
        <is>
          <t>1000</t>
        </is>
      </c>
      <c r="H18"/>
      <c r="I18" t="inlineStr">
        <is>
          <t>14200</t>
        </is>
      </c>
      <c r="J18"/>
      <c r="K18"/>
      <c r="L18"/>
      <c r="M18"/>
      <c r="N18"/>
      <c r="O18"/>
      <c r="P18" t="inlineStr">
        <is>
          <t>30</t>
        </is>
      </c>
      <c r="Q18" t="inlineStr">
        <is>
          <t>30</t>
        </is>
      </c>
      <c r="R18"/>
    </row>
    <row r="19" ht="25.5" customHeight="1">
      <c r="A19" t="inlineStr">
        <is>
          <t>2027/07/01</t>
        </is>
      </c>
      <c r="B19"/>
      <c r="C19"/>
      <c r="D19" t="inlineStr">
        <is>
          <t>0</t>
        </is>
      </c>
      <c r="E19"/>
      <c r="F19" t="inlineStr">
        <is>
          <t>1000</t>
        </is>
      </c>
      <c r="G19" t="inlineStr">
        <is>
          <t>1000</t>
        </is>
      </c>
      <c r="H19"/>
      <c r="I19" t="inlineStr">
        <is>
          <t>15200</t>
        </is>
      </c>
      <c r="J19"/>
      <c r="K19"/>
      <c r="L19"/>
      <c r="M19"/>
      <c r="N19"/>
      <c r="O19"/>
      <c r="P19" t="inlineStr">
        <is>
          <t>30</t>
        </is>
      </c>
      <c r="Q19" t="inlineStr">
        <is>
          <t>30</t>
        </is>
      </c>
      <c r="R19"/>
    </row>
    <row r="20" ht="25.5" customHeight="1">
      <c r="A20"/>
      <c r="B20"/>
      <c r="C20"/>
      <c r="D20"/>
      <c r="E20"/>
      <c r="F20"/>
      <c r="G20"/>
      <c r="H20"/>
      <c r="I20"/>
      <c r="J20"/>
      <c r="K20"/>
      <c r="L20"/>
      <c r="M20"/>
      <c r="N20"/>
      <c r="O20"/>
      <c r="P20"/>
      <c r="Q20"/>
      <c r="R20"/>
    </row>
    <row r="21" ht="25.5" customHeight="1">
      <c r="A21" t="inlineStr">
        <is>
          <t>月份</t>
        </is>
      </c>
      <c r="B21" t="inlineStr">
        <is>
          <t>期初库存</t>
        </is>
      </c>
      <c r="C21" t="inlineStr">
        <is>
          <t>入库数量</t>
        </is>
      </c>
      <c r="D21" t="inlineStr">
        <is>
          <t>待发PO</t>
        </is>
      </c>
      <c r="E21" t="inlineStr">
        <is>
          <t>普通PO</t>
        </is>
      </c>
      <c r="F21" t="inlineStr">
        <is>
          <t>PO计划
月销</t>
        </is>
      </c>
      <c r="G21" t="inlineStr">
        <is>
          <t>PO实际
月销</t>
        </is>
      </c>
      <c r="H21" t="inlineStr">
        <is>
          <t>前台
月销</t>
        </is>
      </c>
      <c r="I21" t="inlineStr">
        <is>
          <t>前台期末库存</t>
        </is>
      </c>
      <c r="J21" t="inlineStr">
        <is>
          <t>入库备注</t>
        </is>
      </c>
      <c r="K21" t="inlineStr">
        <is>
          <t>到货时间</t>
        </is>
      </c>
      <c r="L21" t="inlineStr">
        <is>
          <t>出货时间</t>
        </is>
      </c>
      <c r="M21" t="inlineStr">
        <is>
          <t>下单时间</t>
        </is>
      </c>
      <c r="N21" t="inlineStr">
        <is>
          <t>订单状态</t>
        </is>
      </c>
      <c r="O21" t="inlineStr">
        <is>
          <t>采购单号</t>
        </is>
      </c>
      <c r="P21" t="inlineStr">
        <is>
          <t>物流
交期</t>
        </is>
      </c>
      <c r="Q21" t="inlineStr">
        <is>
          <t>生产
交期</t>
        </is>
      </c>
      <c r="R21"/>
    </row>
    <row r="22" ht="25.5" customHeight="1">
      <c r="A22" t="inlineStr">
        <is>
          <t>2026/02/01</t>
        </is>
      </c>
      <c r="B22" t="inlineStr">
        <is>
          <t>0</t>
        </is>
      </c>
      <c r="C22" t="inlineStr">
        <is>
          <t>480</t>
        </is>
      </c>
      <c r="D22" t="inlineStr">
        <is>
          <t>0</t>
        </is>
      </c>
      <c r="E22" t="inlineStr">
        <is>
          <t>60</t>
        </is>
      </c>
      <c r="F22" t="inlineStr">
        <is>
          <t>60</t>
        </is>
      </c>
      <c r="G22" t="inlineStr">
        <is>
          <t>60</t>
        </is>
      </c>
      <c r="H22"/>
      <c r="I22" t="inlineStr">
        <is>
          <t>60</t>
        </is>
      </c>
      <c r="J22"/>
      <c r="K22" t="inlineStr">
        <is>
          <t>2026/02/01</t>
        </is>
      </c>
      <c r="L22"/>
      <c r="M22"/>
      <c r="N22"/>
      <c r="O22"/>
      <c r="P22" t="inlineStr">
        <is>
          <t>30</t>
        </is>
      </c>
      <c r="Q22" t="inlineStr">
        <is>
          <t>30</t>
        </is>
      </c>
      <c r="R22"/>
    </row>
    <row r="23" ht="25.5" customHeight="1">
      <c r="A23" t="inlineStr">
        <is>
          <t>2026/03/01</t>
        </is>
      </c>
      <c r="B23"/>
      <c r="C23" t="inlineStr">
        <is>
          <t>0</t>
        </is>
      </c>
      <c r="D23" t="inlineStr">
        <is>
          <t>0</t>
        </is>
      </c>
      <c r="E23"/>
      <c r="F23" t="inlineStr">
        <is>
          <t>90</t>
        </is>
      </c>
      <c r="G23" t="inlineStr">
        <is>
          <t>90</t>
        </is>
      </c>
      <c r="H23"/>
      <c r="I23" t="inlineStr">
        <is>
          <t>150</t>
        </is>
      </c>
      <c r="J23"/>
      <c r="K23"/>
      <c r="L23"/>
      <c r="M23"/>
      <c r="N23"/>
      <c r="O23"/>
      <c r="P23" t="inlineStr">
        <is>
          <t>30</t>
        </is>
      </c>
      <c r="Q23" t="inlineStr">
        <is>
          <t>30</t>
        </is>
      </c>
      <c r="R23"/>
    </row>
    <row r="24" ht="25.5" customHeight="1">
      <c r="A24" t="inlineStr">
        <is>
          <t>2026/04/01</t>
        </is>
      </c>
      <c r="B24"/>
      <c r="C24" t="inlineStr">
        <is>
          <t>0</t>
        </is>
      </c>
      <c r="D24" t="inlineStr">
        <is>
          <t>0</t>
        </is>
      </c>
      <c r="E24"/>
      <c r="F24" t="inlineStr">
        <is>
          <t>150</t>
        </is>
      </c>
      <c r="G24" t="inlineStr">
        <is>
          <t>150</t>
        </is>
      </c>
      <c r="H24"/>
      <c r="I24" t="inlineStr">
        <is>
          <t>300</t>
        </is>
      </c>
      <c r="J24"/>
      <c r="K24"/>
      <c r="L24"/>
      <c r="M24"/>
      <c r="N24"/>
      <c r="O24"/>
      <c r="P24" t="inlineStr">
        <is>
          <t>30</t>
        </is>
      </c>
      <c r="Q24" t="inlineStr">
        <is>
          <t>30</t>
        </is>
      </c>
      <c r="R24"/>
    </row>
    <row r="25" ht="25.5" customHeight="1">
      <c r="A25" t="inlineStr">
        <is>
          <t>2026/05/01</t>
        </is>
      </c>
      <c r="B25"/>
      <c r="C25" t="inlineStr">
        <is>
          <t>480</t>
        </is>
      </c>
      <c r="D25" t="inlineStr">
        <is>
          <t>0</t>
        </is>
      </c>
      <c r="E25"/>
      <c r="F25" t="inlineStr">
        <is>
          <t>180</t>
        </is>
      </c>
      <c r="G25" t="inlineStr">
        <is>
          <t>180</t>
        </is>
      </c>
      <c r="H25"/>
      <c r="I25" t="inlineStr">
        <is>
          <t>480</t>
        </is>
      </c>
      <c r="J25"/>
      <c r="K25" t="inlineStr">
        <is>
          <t>2026/05/01</t>
        </is>
      </c>
      <c r="L25"/>
      <c r="M25"/>
      <c r="N25"/>
      <c r="O25"/>
      <c r="P25" t="inlineStr">
        <is>
          <t>30</t>
        </is>
      </c>
      <c r="Q25" t="inlineStr">
        <is>
          <t>30</t>
        </is>
      </c>
      <c r="R25"/>
    </row>
    <row r="26" ht="25.5" customHeight="1">
      <c r="A26" t="inlineStr">
        <is>
          <t>2026/06/01</t>
        </is>
      </c>
      <c r="B26"/>
      <c r="C26" t="inlineStr">
        <is>
          <t>0</t>
        </is>
      </c>
      <c r="D26" t="inlineStr">
        <is>
          <t>0</t>
        </is>
      </c>
      <c r="E26"/>
      <c r="F26" t="inlineStr">
        <is>
          <t>210</t>
        </is>
      </c>
      <c r="G26" t="inlineStr">
        <is>
          <t>210</t>
        </is>
      </c>
      <c r="H26"/>
      <c r="I26" t="inlineStr">
        <is>
          <t>690</t>
        </is>
      </c>
      <c r="J26"/>
      <c r="K26"/>
      <c r="L26"/>
      <c r="M26"/>
      <c r="N26"/>
      <c r="O26"/>
      <c r="P26" t="inlineStr">
        <is>
          <t>30</t>
        </is>
      </c>
      <c r="Q26" t="inlineStr">
        <is>
          <t>30</t>
        </is>
      </c>
      <c r="R26"/>
    </row>
    <row r="27" ht="25.5" customHeight="1">
      <c r="A27" t="inlineStr">
        <is>
          <t>2026/07/01</t>
        </is>
      </c>
      <c r="B27"/>
      <c r="C27" t="inlineStr">
        <is>
          <t>0</t>
        </is>
      </c>
      <c r="D27" t="inlineStr">
        <is>
          <t>0</t>
        </is>
      </c>
      <c r="E27"/>
      <c r="F27" t="inlineStr">
        <is>
          <t>240</t>
        </is>
      </c>
      <c r="G27" t="inlineStr">
        <is>
          <t>240</t>
        </is>
      </c>
      <c r="H27"/>
      <c r="I27"/>
      <c r="J27"/>
      <c r="K27"/>
      <c r="L27"/>
      <c r="M27"/>
      <c r="N27"/>
      <c r="O27"/>
      <c r="P27" t="inlineStr">
        <is>
          <t>30</t>
        </is>
      </c>
      <c r="Q27" t="inlineStr">
        <is>
          <t>30</t>
        </is>
      </c>
      <c r="R27"/>
    </row>
    <row r="28" ht="25.5" customHeight="1">
      <c r="A28" t="inlineStr">
        <is>
          <t>2026/08/01</t>
        </is>
      </c>
      <c r="B28"/>
      <c r="C28" t="inlineStr">
        <is>
          <t>480</t>
        </is>
      </c>
      <c r="D28" t="inlineStr">
        <is>
          <t>0</t>
        </is>
      </c>
      <c r="E28"/>
      <c r="F28" t="inlineStr">
        <is>
          <t>240</t>
        </is>
      </c>
      <c r="G28" t="inlineStr">
        <is>
          <t>240</t>
        </is>
      </c>
      <c r="H28"/>
      <c r="I28"/>
      <c r="J28"/>
      <c r="K28"/>
      <c r="L28"/>
      <c r="M28"/>
      <c r="N28"/>
      <c r="O28"/>
      <c r="P28" t="inlineStr">
        <is>
          <t>30</t>
        </is>
      </c>
      <c r="Q28" t="inlineStr">
        <is>
          <t>30</t>
        </is>
      </c>
      <c r="R28"/>
    </row>
    <row r="29" ht="25.5" customHeight="1">
      <c r="A29" t="inlineStr">
        <is>
          <t>2026/09/01</t>
        </is>
      </c>
      <c r="B29"/>
      <c r="C29"/>
      <c r="D29" t="inlineStr">
        <is>
          <t>0</t>
        </is>
      </c>
      <c r="E29"/>
      <c r="F29" t="inlineStr">
        <is>
          <t>270</t>
        </is>
      </c>
      <c r="G29" t="inlineStr">
        <is>
          <t>270</t>
        </is>
      </c>
      <c r="H29"/>
      <c r="I29"/>
      <c r="J29"/>
      <c r="K29"/>
      <c r="L29"/>
      <c r="M29"/>
      <c r="N29"/>
      <c r="O29"/>
      <c r="P29" t="inlineStr">
        <is>
          <t>30</t>
        </is>
      </c>
      <c r="Q29" t="inlineStr">
        <is>
          <t>30</t>
        </is>
      </c>
      <c r="R29"/>
    </row>
    <row r="30" ht="25.5" customHeight="1">
      <c r="A30" t="inlineStr">
        <is>
          <t>2026/10/01</t>
        </is>
      </c>
      <c r="B30"/>
      <c r="C30"/>
      <c r="D30" t="inlineStr">
        <is>
          <t>0</t>
        </is>
      </c>
      <c r="E30"/>
      <c r="F30" t="inlineStr">
        <is>
          <t>270</t>
        </is>
      </c>
      <c r="G30" t="inlineStr">
        <is>
          <t>270</t>
        </is>
      </c>
      <c r="H30"/>
      <c r="I30"/>
      <c r="J30"/>
      <c r="K30"/>
      <c r="L30"/>
      <c r="M30"/>
      <c r="N30"/>
      <c r="O30"/>
      <c r="P30" t="inlineStr">
        <is>
          <t>30</t>
        </is>
      </c>
      <c r="Q30" t="inlineStr">
        <is>
          <t>30</t>
        </is>
      </c>
      <c r="R30"/>
    </row>
    <row r="31" ht="25.5" customHeight="1">
      <c r="A31" t="inlineStr">
        <is>
          <t>2026/11/01</t>
        </is>
      </c>
      <c r="B31"/>
      <c r="C31"/>
      <c r="D31" t="inlineStr">
        <is>
          <t>0</t>
        </is>
      </c>
      <c r="E31"/>
      <c r="F31" t="inlineStr">
        <is>
          <t>300</t>
        </is>
      </c>
      <c r="G31" t="inlineStr">
        <is>
          <t>300</t>
        </is>
      </c>
      <c r="H31"/>
      <c r="I31"/>
      <c r="J31"/>
      <c r="K31"/>
      <c r="L31"/>
      <c r="M31"/>
      <c r="N31"/>
      <c r="O31"/>
      <c r="P31" t="inlineStr">
        <is>
          <t>30</t>
        </is>
      </c>
      <c r="Q31" t="inlineStr">
        <is>
          <t>30</t>
        </is>
      </c>
      <c r="R31"/>
    </row>
    <row r="32" ht="25.5" customHeight="1">
      <c r="A32" t="inlineStr">
        <is>
          <t>2026/12/01</t>
        </is>
      </c>
      <c r="B32"/>
      <c r="C32"/>
      <c r="D32" t="inlineStr">
        <is>
          <t>0</t>
        </is>
      </c>
      <c r="E32"/>
      <c r="F32" t="inlineStr">
        <is>
          <t>300</t>
        </is>
      </c>
      <c r="G32" t="inlineStr">
        <is>
          <t>300</t>
        </is>
      </c>
      <c r="H32"/>
      <c r="I32"/>
      <c r="J32"/>
      <c r="K32"/>
      <c r="L32"/>
      <c r="M32"/>
      <c r="N32"/>
      <c r="O32"/>
      <c r="P32" t="inlineStr">
        <is>
          <t>30</t>
        </is>
      </c>
      <c r="Q32" t="inlineStr">
        <is>
          <t>30</t>
        </is>
      </c>
      <c r="R32"/>
    </row>
    <row r="33" ht="25.5" customHeight="1">
      <c r="A33" t="inlineStr">
        <is>
          <t>2027/01/01</t>
        </is>
      </c>
      <c r="B33"/>
      <c r="C33"/>
      <c r="D33" t="inlineStr">
        <is>
          <t>0</t>
        </is>
      </c>
      <c r="E33"/>
      <c r="F33" t="inlineStr">
        <is>
          <t>300</t>
        </is>
      </c>
      <c r="G33" t="inlineStr">
        <is>
          <t>300</t>
        </is>
      </c>
      <c r="H33"/>
      <c r="I33"/>
      <c r="J33"/>
      <c r="K33"/>
      <c r="L33"/>
      <c r="M33"/>
      <c r="N33"/>
      <c r="O33"/>
      <c r="P33" t="inlineStr">
        <is>
          <t>30</t>
        </is>
      </c>
      <c r="Q33" t="inlineStr">
        <is>
          <t>30</t>
        </is>
      </c>
      <c r="R33"/>
    </row>
    <row r="34" ht="25.5" customHeight="1">
      <c r="A34" t="inlineStr">
        <is>
          <t>2027/02/01</t>
        </is>
      </c>
      <c r="B34"/>
      <c r="C34"/>
      <c r="D34" t="inlineStr">
        <is>
          <t>0</t>
        </is>
      </c>
      <c r="E34"/>
      <c r="F34" t="inlineStr">
        <is>
          <t>300</t>
        </is>
      </c>
      <c r="G34" t="inlineStr">
        <is>
          <t>300</t>
        </is>
      </c>
      <c r="H34"/>
      <c r="I34"/>
      <c r="J34"/>
      <c r="K34"/>
      <c r="L34"/>
      <c r="M34"/>
      <c r="N34"/>
      <c r="O34"/>
      <c r="P34" t="inlineStr">
        <is>
          <t>30</t>
        </is>
      </c>
      <c r="Q34" t="inlineStr">
        <is>
          <t>30</t>
        </is>
      </c>
      <c r="R34"/>
    </row>
    <row r="35" ht="25.5" customHeight="1">
      <c r="A35" t="inlineStr">
        <is>
          <t>2027/03/01</t>
        </is>
      </c>
      <c r="B35"/>
      <c r="C35"/>
      <c r="D35" t="inlineStr">
        <is>
          <t>0</t>
        </is>
      </c>
      <c r="E35"/>
      <c r="F35" t="inlineStr">
        <is>
          <t>300</t>
        </is>
      </c>
      <c r="G35" t="inlineStr">
        <is>
          <t>300</t>
        </is>
      </c>
      <c r="H35"/>
      <c r="I35"/>
      <c r="J35"/>
      <c r="K35"/>
      <c r="L35"/>
      <c r="M35"/>
      <c r="N35"/>
      <c r="O35"/>
      <c r="P35" t="inlineStr">
        <is>
          <t>30</t>
        </is>
      </c>
      <c r="Q35" t="inlineStr">
        <is>
          <t>30</t>
        </is>
      </c>
      <c r="R35"/>
    </row>
    <row r="36" ht="25.5" customHeight="1">
      <c r="A36" t="inlineStr">
        <is>
          <t>2027/04/01</t>
        </is>
      </c>
      <c r="B36"/>
      <c r="C36"/>
      <c r="D36" t="inlineStr">
        <is>
          <t>0</t>
        </is>
      </c>
      <c r="E36"/>
      <c r="F36" t="inlineStr">
        <is>
          <t>300</t>
        </is>
      </c>
      <c r="G36" t="inlineStr">
        <is>
          <t>300</t>
        </is>
      </c>
      <c r="H36"/>
      <c r="I36"/>
      <c r="J36"/>
      <c r="K36"/>
      <c r="L36"/>
      <c r="M36"/>
      <c r="N36"/>
      <c r="O36"/>
      <c r="P36" t="inlineStr">
        <is>
          <t>30</t>
        </is>
      </c>
      <c r="Q36" t="inlineStr">
        <is>
          <t>30</t>
        </is>
      </c>
      <c r="R36"/>
    </row>
    <row r="37" ht="25.5" customHeight="1">
      <c r="A37" t="inlineStr">
        <is>
          <t>2027/05/01</t>
        </is>
      </c>
      <c r="B37"/>
      <c r="C37"/>
      <c r="D37" t="inlineStr">
        <is>
          <t>0</t>
        </is>
      </c>
      <c r="E37"/>
      <c r="F37" t="inlineStr">
        <is>
          <t>300</t>
        </is>
      </c>
      <c r="G37" t="inlineStr">
        <is>
          <t>300</t>
        </is>
      </c>
      <c r="H37"/>
      <c r="I37"/>
      <c r="J37"/>
      <c r="K37"/>
      <c r="L37"/>
      <c r="M37"/>
      <c r="N37"/>
      <c r="O37"/>
      <c r="P37" t="inlineStr">
        <is>
          <t>30</t>
        </is>
      </c>
      <c r="Q37" t="inlineStr">
        <is>
          <t>30</t>
        </is>
      </c>
      <c r="R37"/>
    </row>
    <row r="38" ht="25.5" customHeight="1">
      <c r="A38" t="inlineStr">
        <is>
          <t>2027/06/01</t>
        </is>
      </c>
      <c r="B38"/>
      <c r="C38"/>
      <c r="D38" t="inlineStr">
        <is>
          <t>0</t>
        </is>
      </c>
      <c r="E38"/>
      <c r="F38" t="inlineStr">
        <is>
          <t>300</t>
        </is>
      </c>
      <c r="G38" t="inlineStr">
        <is>
          <t>300</t>
        </is>
      </c>
      <c r="H38"/>
      <c r="I38"/>
      <c r="J38"/>
      <c r="K38"/>
      <c r="L38"/>
      <c r="M38"/>
      <c r="N38"/>
      <c r="O38"/>
      <c r="P38" t="inlineStr">
        <is>
          <t>30</t>
        </is>
      </c>
      <c r="Q38" t="inlineStr">
        <is>
          <t>30</t>
        </is>
      </c>
      <c r="R38"/>
    </row>
    <row r="39" ht="25.5" customHeight="1">
      <c r="A39" t="inlineStr">
        <is>
          <t>2027/07/01</t>
        </is>
      </c>
      <c r="B39"/>
      <c r="C39"/>
      <c r="D39" t="inlineStr">
        <is>
          <t>0</t>
        </is>
      </c>
      <c r="E39"/>
      <c r="F39" t="inlineStr">
        <is>
          <t>300</t>
        </is>
      </c>
      <c r="G39" t="inlineStr">
        <is>
          <t>300</t>
        </is>
      </c>
      <c r="H39"/>
      <c r="I39"/>
      <c r="J39"/>
      <c r="K39"/>
      <c r="L39"/>
      <c r="M39"/>
      <c r="N39"/>
      <c r="O39"/>
      <c r="P39" t="inlineStr">
        <is>
          <t>30</t>
        </is>
      </c>
      <c r="Q39" t="inlineStr">
        <is>
          <t>30</t>
        </is>
      </c>
      <c r="R39"/>
    </row>
    <row r="40" ht="25.5" customHeight="1">
      <c r="A40"/>
      <c r="B40"/>
      <c r="C40"/>
      <c r="D40"/>
      <c r="E40"/>
      <c r="F40"/>
      <c r="G40"/>
      <c r="H40"/>
      <c r="I40"/>
      <c r="J40"/>
      <c r="K40"/>
      <c r="L40"/>
      <c r="M40"/>
      <c r="N40"/>
      <c r="O40"/>
      <c r="P40"/>
      <c r="Q40"/>
      <c r="R40"/>
    </row>
    <row r="41" ht="25.5" customHeight="1">
      <c r="A41"/>
      <c r="B41"/>
      <c r="C41"/>
      <c r="D41"/>
      <c r="E41"/>
      <c r="F41"/>
      <c r="G41"/>
      <c r="H41"/>
      <c r="I41"/>
      <c r="J41"/>
      <c r="K41"/>
      <c r="L41"/>
      <c r="M41"/>
      <c r="N41"/>
      <c r="O41"/>
      <c r="P41"/>
      <c r="Q41"/>
      <c r="R41"/>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视频链接</t>
        </is>
      </c>
    </row>
    <row r="2" ht="25.5" customHeight="1">
      <c r="A2" s="3" t="str">
        <f>=HYPERLINK("https://www.tiktok.com/@/video/7507733538158972191?shop_region=US", "https://www.tiktok.com/@/video/7507733538158972191?shop_region=US")</f>
        <v>https://www.tiktok.com/@/video/7507733538158972191?shop_region=US</v>
      </c>
    </row>
    <row r="3" ht="25.5" customHeight="1">
      <c r="A3" s="3" t="str">
        <f>=HYPERLINK("https://www.tiktok.com/@/video/7505007970158185771?shop_region=US", "https://www.tiktok.com/@/video/7505007970158185771?shop_region=US")</f>
        <v>https://www.tiktok.com/@/video/7505007970158185771?shop_region=US</v>
      </c>
    </row>
    <row r="4" ht="25.5" customHeight="1">
      <c r="A4" s="3" t="str">
        <f>=HYPERLINK("https://www.tiktok.com/@/video/7510315444860063022?shop_region=US", "https://www.tiktok.com/@/video/7510315444860063022?shop_region=US")</f>
        <v>https://www.tiktok.com/@/video/7510315444860063022?shop_region=US</v>
      </c>
    </row>
    <row r="5" ht="25.5" customHeight="1">
      <c r="A5" s="3"/>
    </row>
    <row r="6" ht="25.5" customHeight="1">
      <c r="A6" s="3"/>
    </row>
    <row r="7" ht="25.5" customHeight="1">
      <c r="A7" s="3" t="str">
        <f>=HYPERLINK("https://www.tiktok.com/@/video/7509468659413372206?shop_region=US", "https://www.tiktok.com/@/video/7509468659413372206?shop_region=US")</f>
        <v>https://www.tiktok.com/@/video/7509468659413372206?shop_region=US</v>
      </c>
    </row>
    <row r="8" ht="25.5" customHeight="1">
      <c r="A8" s="3" t="str">
        <f>=HYPERLINK("https://www.tiktok.com/@/video/7507463120143600939?shop_region=US", "https://www.tiktok.com/@/video/7507463120143600939?shop_region=US")</f>
        <v>https://www.tiktok.com/@/video/7507463120143600939?shop_region=US</v>
      </c>
    </row>
    <row r="9" ht="25.5" customHeight="1">
      <c r="A9" s="3" t="str">
        <f>=HYPERLINK("https://www.tiktok.com/@/video/7509602854680710443?shop_region=US", "https://www.tiktok.com/@/video/7509602854680710443?shop_region=US")</f>
        <v>https://www.tiktok.com/@/video/7509602854680710443?shop_region=US</v>
      </c>
    </row>
    <row r="10" ht="25.5" customHeight="1">
      <c r="A10" s="3"/>
    </row>
    <row r="11" ht="25.5" customHeight="1">
      <c r="A11" s="3"/>
    </row>
    <row r="12" ht="25.5" customHeight="1">
      <c r="A12" s="3"/>
    </row>
    <row r="13" ht="25.5" customHeight="1">
      <c r="A13" s="3"/>
    </row>
    <row r="14" ht="25.5" customHeight="1">
      <c r="A14" s="3" t="str">
        <f>=HYPERLINK("https://www.tiktok.com/@/video/7512260049553607966?shop_region=US", "https://www.tiktok.com/@/video/7512260049553607966?shop_region=US")</f>
        <v>https://www.tiktok.com/@/video/7512260049553607966?shop_region=US</v>
      </c>
    </row>
    <row r="15" ht="25.5" customHeight="1">
      <c r="A15" s="3" t="str">
        <f>=HYPERLINK("https://www.tiktok.com/@/video/7510281518846135582?shop_region=US", "https://www.tiktok.com/@/video/7510281518846135582?shop_region=US")</f>
        <v>https://www.tiktok.com/@/video/7510281518846135582?shop_region=US</v>
      </c>
    </row>
    <row r="16" ht="25.5" customHeight="1">
      <c r="A16" s="3" t="str">
        <f>=HYPERLINK("https://www.tiktok.com/@/video/7512121539337194782?shop_region=US", "https://www.tiktok.com/@/video/7512121539337194782?shop_region=US")</f>
        <v>https://www.tiktok.com/@/video/7512121539337194782?shop_region=US</v>
      </c>
    </row>
    <row r="17" ht="25.5" customHeight="1">
      <c r="A17" s="3"/>
    </row>
    <row r="18" ht="25.5" customHeight="1">
      <c r="A18" s="3"/>
    </row>
    <row r="19" ht="25.5" customHeight="1">
      <c r="A19" s="3"/>
    </row>
    <row r="20" ht="25.5" customHeight="1">
      <c r="A20" s="3"/>
    </row>
    <row r="21" ht="25.5" customHeight="1">
      <c r="A21" s="3" t="str">
        <f>=HYPERLINK("https://www.tiktok.com/@/video/7512217482250177838?shop_region=US", "https://www.tiktok.com/@/video/7512217482250177838?shop_region=US")</f>
        <v>https://www.tiktok.com/@/video/7512217482250177838?shop_region=US</v>
      </c>
    </row>
    <row r="22" ht="25.5" customHeight="1">
      <c r="A22" s="3" t="str">
        <f>=HYPERLINK("https://www.tiktok.com/@/video/7510822530660289823?shop_region=US", "https://www.tiktok.com/@/video/7510822530660289823?shop_region=US")</f>
        <v>https://www.tiktok.com/@/video/7510822530660289823?shop_region=US</v>
      </c>
    </row>
    <row r="23" ht="25.5" customHeight="1">
      <c r="A23" s="3"/>
    </row>
    <row r="24" ht="25.5" customHeight="1">
      <c r="A24" s="3"/>
    </row>
    <row r="25" ht="25.5" customHeight="1">
      <c r="A25" s="3" t="str">
        <f>=HYPERLINK("https://www.tiktok.com/@/video/7513258934547860779?shop_region=US", "https://www.tiktok.com/@/video/7513258934547860779?shop_region=US")</f>
        <v>https://www.tiktok.com/@/video/7513258934547860779?shop_region=US</v>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DE</t>
        </is>
      </c>
      <c r="B1" s="1" t="inlineStr">
        <is>
          <t>0.1695</t>
        </is>
      </c>
      <c r="C1" s="1" t="inlineStr">
        <is>
          <t>列3</t>
        </is>
      </c>
      <c r="D1" s="1" t="inlineStr">
        <is>
          <t>0.19</t>
        </is>
      </c>
      <c r="E1" s="1" t="inlineStr">
        <is>
          <t>列5</t>
        </is>
      </c>
      <c r="F1" s="1" t="inlineStr">
        <is>
          <t>0.3</t>
        </is>
      </c>
    </row>
    <row r="2" ht="25.5" customHeight="1">
      <c r="A2" t="inlineStr">
        <is>
          <t>FR</t>
        </is>
      </c>
      <c r="B2" t="inlineStr">
        <is>
          <t>0.198</t>
        </is>
      </c>
      <c r="C2"/>
      <c r="D2" t="inlineStr">
        <is>
          <t>0.2</t>
        </is>
      </c>
      <c r="E2"/>
      <c r="F2" t="inlineStr">
        <is>
          <t>0.1</t>
        </is>
      </c>
    </row>
    <row r="3" ht="25.5" customHeight="1">
      <c r="A3" t="inlineStr">
        <is>
          <t>IT</t>
        </is>
      </c>
      <c r="B3" t="inlineStr">
        <is>
          <t>0.1846</t>
        </is>
      </c>
      <c r="C3"/>
      <c r="D3" t="inlineStr">
        <is>
          <t>0.22</t>
        </is>
      </c>
      <c r="E3"/>
      <c r="F3" t="inlineStr">
        <is>
          <t>0.3</t>
        </is>
      </c>
    </row>
    <row r="4" ht="25.5" customHeight="1">
      <c r="A4" t="inlineStr">
        <is>
          <t>ES</t>
        </is>
      </c>
      <c r="B4" t="inlineStr">
        <is>
          <t>0.1646</t>
        </is>
      </c>
      <c r="C4"/>
      <c r="D4" t="inlineStr">
        <is>
          <t>0.21</t>
        </is>
      </c>
      <c r="E4"/>
      <c r="F4" t="inlineStr">
        <is>
          <t>0.3</t>
        </is>
      </c>
    </row>
    <row r="5" ht="25.5" customHeight="1">
      <c r="A5" t="inlineStr">
        <is>
          <t>UK</t>
        </is>
      </c>
      <c r="B5" t="inlineStr">
        <is>
          <t>0.158</t>
        </is>
      </c>
      <c r="C5"/>
      <c r="D5" t="inlineStr">
        <is>
          <t>0.2</t>
        </is>
      </c>
      <c r="E5"/>
      <c r="F5"/>
    </row>
    <row r="6" ht="25.5" customHeight="1">
      <c r="A6" t="inlineStr">
        <is>
          <t>BE</t>
        </is>
      </c>
      <c r="B6" t="inlineStr">
        <is>
          <t>0.158</t>
        </is>
      </c>
      <c r="C6"/>
      <c r="D6"/>
      <c r="E6"/>
      <c r="F6"/>
    </row>
    <row r="7" ht="25.5" customHeight="1">
      <c r="A7" t="inlineStr">
        <is>
          <t>SE</t>
        </is>
      </c>
      <c r="B7" t="inlineStr">
        <is>
          <t>0.223</t>
        </is>
      </c>
      <c r="C7"/>
      <c r="D7"/>
      <c r="E7"/>
      <c r="F7"/>
    </row>
    <row r="8" ht="25.5" customHeight="1">
      <c r="A8" t="inlineStr">
        <is>
          <t>NL</t>
        </is>
      </c>
      <c r="B8" t="inlineStr">
        <is>
          <t>0.158</t>
        </is>
      </c>
      <c r="C8"/>
      <c r="D8"/>
      <c r="E8"/>
      <c r="F8"/>
    </row>
    <row r="9" ht="25.5" customHeight="1">
      <c r="A9" t="inlineStr">
        <is>
          <t>2025年10月1日生效（减2.5%）</t>
        </is>
      </c>
      <c r="B9"/>
      <c r="C9"/>
      <c r="D9"/>
      <c r="E9"/>
      <c r="F9"/>
    </row>
    <row r="10" ht="25.5" customHeight="1">
      <c r="A10"/>
      <c r="B10" t="inlineStr">
        <is>
          <t>佣金</t>
        </is>
      </c>
      <c r="C10"/>
      <c r="D10" t="inlineStr">
        <is>
          <t>VAT</t>
        </is>
      </c>
      <c r="E10"/>
      <c r="F10" t="inlineStr">
        <is>
          <t>占比</t>
        </is>
      </c>
    </row>
    <row r="11" ht="25.5" customHeight="1">
      <c r="A11"/>
      <c r="B11"/>
      <c r="C11"/>
      <c r="D11"/>
      <c r="E11"/>
      <c r="F11"/>
    </row>
    <row r="12" ht="25.5" customHeight="1">
      <c r="A12" t="inlineStr">
        <is>
          <t>DE</t>
        </is>
      </c>
      <c r="B12" t="inlineStr">
        <is>
          <t>0.188</t>
        </is>
      </c>
      <c r="C12"/>
      <c r="D12" t="inlineStr">
        <is>
          <t>0.19</t>
        </is>
      </c>
      <c r="E12"/>
      <c r="F12" t="inlineStr">
        <is>
          <t>0.3</t>
        </is>
      </c>
    </row>
    <row r="13" ht="25.5" customHeight="1">
      <c r="A13" t="inlineStr">
        <is>
          <t>FR</t>
        </is>
      </c>
      <c r="B13" t="inlineStr">
        <is>
          <t>0.188</t>
        </is>
      </c>
      <c r="C13"/>
      <c r="D13" t="inlineStr">
        <is>
          <t>0.2</t>
        </is>
      </c>
      <c r="E13"/>
      <c r="F13" t="inlineStr">
        <is>
          <t>0.1</t>
        </is>
      </c>
    </row>
    <row r="14" ht="25.5" customHeight="1">
      <c r="A14" t="inlineStr">
        <is>
          <t>IT</t>
        </is>
      </c>
      <c r="B14" t="inlineStr">
        <is>
          <t>0.188</t>
        </is>
      </c>
      <c r="C14"/>
      <c r="D14" t="inlineStr">
        <is>
          <t>0.22</t>
        </is>
      </c>
      <c r="E14"/>
      <c r="F14" t="inlineStr">
        <is>
          <t>0.3</t>
        </is>
      </c>
    </row>
    <row r="15" ht="25.5" customHeight="1">
      <c r="A15" t="inlineStr">
        <is>
          <t>ES</t>
        </is>
      </c>
      <c r="B15" t="inlineStr">
        <is>
          <t>0.188</t>
        </is>
      </c>
      <c r="C15"/>
      <c r="D15" t="inlineStr">
        <is>
          <t>0.21</t>
        </is>
      </c>
      <c r="E15"/>
      <c r="F15" t="inlineStr">
        <is>
          <t>0.3</t>
        </is>
      </c>
    </row>
    <row r="16" ht="25.5" customHeight="1">
      <c r="A16" t="inlineStr">
        <is>
          <t>UK</t>
        </is>
      </c>
      <c r="B16" t="inlineStr">
        <is>
          <t>0.178</t>
        </is>
      </c>
      <c r="C16"/>
      <c r="D16" t="inlineStr">
        <is>
          <t>0.2</t>
        </is>
      </c>
      <c r="E16"/>
      <c r="F16"/>
    </row>
    <row r="17" ht="25.5" customHeight="1">
      <c r="A17" t="inlineStr">
        <is>
          <t>BE</t>
        </is>
      </c>
      <c r="B17" t="inlineStr">
        <is>
          <t>0.188</t>
        </is>
      </c>
      <c r="C17"/>
      <c r="D17"/>
      <c r="E17"/>
      <c r="F17"/>
    </row>
    <row r="18" ht="25.5" customHeight="1">
      <c r="A18" t="inlineStr">
        <is>
          <t>SE</t>
        </is>
      </c>
      <c r="B18" t="inlineStr">
        <is>
          <t>0.188</t>
        </is>
      </c>
      <c r="C18"/>
      <c r="D18"/>
      <c r="E18"/>
      <c r="F18"/>
    </row>
    <row r="19" ht="25.5" customHeight="1">
      <c r="A19" t="inlineStr">
        <is>
          <t>NL</t>
        </is>
      </c>
      <c r="B19" t="inlineStr">
        <is>
          <t>0.188</t>
        </is>
      </c>
      <c r="C19"/>
      <c r="D19"/>
      <c r="E19"/>
      <c r="F19"/>
    </row>
    <row r="20" ht="25.5" customHeight="1">
      <c r="A20" t="inlineStr">
        <is>
          <t>2026年1月1日生效</t>
        </is>
      </c>
      <c r="B20"/>
      <c r="C20"/>
      <c r="D20"/>
      <c r="E20"/>
      <c r="F20"/>
    </row>
    <row r="21" ht="25.5" customHeight="1">
      <c r="A21"/>
      <c r="B21" t="inlineStr">
        <is>
          <t>佣金</t>
        </is>
      </c>
      <c r="C21"/>
      <c r="D21" t="inlineStr">
        <is>
          <t>VAT</t>
        </is>
      </c>
      <c r="E21"/>
      <c r="F21" t="inlineStr">
        <is>
          <t>占比</t>
        </is>
      </c>
    </row>
    <row r="22" ht="25.5" customHeight="1">
      <c r="A22"/>
      <c r="B22"/>
      <c r="C22"/>
      <c r="D22"/>
      <c r="E22"/>
      <c r="F22"/>
    </row>
    <row r="23" ht="25.5" customHeight="1">
      <c r="A23"/>
      <c r="B23"/>
      <c r="C23"/>
      <c r="D23"/>
      <c r="E23"/>
      <c r="F23"/>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s>
  <sheetData>
    <row r="1" ht="13" customHeight="1">
      <c r="A1" s="1" t="inlineStr">
        <is>
          <t>站点</t>
        </is>
      </c>
      <c r="B1" s="1" t="inlineStr">
        <is>
          <t>SKU</t>
        </is>
      </c>
      <c r="C1" s="1" t="inlineStr">
        <is>
          <t>ASIN</t>
        </is>
      </c>
      <c r="D1" s="1" t="inlineStr">
        <is>
          <t>产品名称</t>
        </is>
      </c>
      <c r="E1" s="1" t="inlineStr">
        <is>
          <t>Brand</t>
        </is>
      </c>
      <c r="F1" s="1" t="inlineStr">
        <is>
          <t>原PO售价
外币</t>
        </is>
      </c>
      <c r="G1" s="1" t="inlineStr">
        <is>
          <t>原建议售价(含税)
亚马逊售价-外币</t>
        </is>
      </c>
      <c r="H1" s="1" t="inlineStr">
        <is>
          <t>后台PO价</t>
        </is>
      </c>
      <c r="I1" s="1" t="inlineStr">
        <is>
          <t>对比
PO价</t>
        </is>
      </c>
      <c r="J1" s="1" t="inlineStr">
        <is>
          <t>PO售价
外币</t>
        </is>
      </c>
      <c r="K1" s="1" t="inlineStr">
        <is>
          <t>建议售价(含税)
亚马逊售价-外币</t>
        </is>
      </c>
      <c r="L1" s="1" t="inlineStr">
        <is>
          <t>毛利
外币</t>
        </is>
      </c>
      <c r="M1" s="1" t="inlineStr">
        <is>
          <t>毛利率</t>
        </is>
      </c>
      <c r="N1" s="1" t="inlineStr">
        <is>
          <t>建议售价
不含税外币</t>
        </is>
      </c>
      <c r="O1" s="1" t="inlineStr">
        <is>
          <t>Profit Margin (%)</t>
        </is>
      </c>
      <c r="P1" s="1" t="inlineStr">
        <is>
          <t>亚马逊毛利
外币</t>
        </is>
      </c>
      <c r="Q1" s="1" t="inlineStr">
        <is>
          <t>成本</t>
        </is>
      </c>
      <c r="R1" s="1" t="inlineStr">
        <is>
          <t>尾程
外币</t>
        </is>
      </c>
      <c r="S1" s="1" t="inlineStr">
        <is>
          <t>装箱数</t>
        </is>
      </c>
      <c r="T1" s="1" t="inlineStr">
        <is>
          <t>汇率</t>
        </is>
      </c>
      <c r="U1" s="1" t="inlineStr">
        <is>
          <t>广告占比</t>
        </is>
      </c>
      <c r="V1" s="1" t="inlineStr">
        <is>
          <t>促销占比</t>
        </is>
      </c>
      <c r="W1" s="1" t="inlineStr">
        <is>
          <t>其他占比</t>
        </is>
      </c>
      <c r="X1" s="1" t="inlineStr">
        <is>
          <t>成本占比</t>
        </is>
      </c>
      <c r="Y1" s="1" t="inlineStr">
        <is>
          <t>尾程占比</t>
        </is>
      </c>
      <c r="Z1" s="1" t="inlineStr">
        <is>
          <t>佣金占比</t>
        </is>
      </c>
      <c r="AA1" s="1" t="inlineStr">
        <is>
          <t>广告
外币</t>
        </is>
      </c>
      <c r="AB1" s="1" t="inlineStr">
        <is>
          <t>促销
外币</t>
        </is>
      </c>
      <c r="AC1" s="1" t="inlineStr">
        <is>
          <t>其它
外币</t>
        </is>
      </c>
      <c r="AD1" s="1" t="inlineStr">
        <is>
          <t>佣金
外币</t>
        </is>
      </c>
      <c r="AE1" s="1" t="inlineStr">
        <is>
          <t>采购成本
 ¥含税</t>
        </is>
      </c>
      <c r="AF1" s="1" t="inlineStr">
        <is>
          <t>采购成本
 ¥不含税</t>
        </is>
      </c>
      <c r="AG1" s="1" t="inlineStr">
        <is>
          <t>头程 
×1.5</t>
        </is>
      </c>
      <c r="AH1" s="1" t="inlineStr">
        <is>
          <t>采购占比</t>
        </is>
      </c>
      <c r="AI1" s="1" t="inlineStr">
        <is>
          <t>头程占比</t>
        </is>
      </c>
      <c r="AJ1" s="1" t="inlineStr">
        <is>
          <t>头程 
RMB</t>
        </is>
      </c>
      <c r="AK1" s="1" t="inlineStr">
        <is>
          <t>23年
3月</t>
        </is>
      </c>
      <c r="AL1" s="1" t="inlineStr">
        <is>
          <t>4月（1）</t>
        </is>
      </c>
      <c r="AM1" s="1" t="inlineStr">
        <is>
          <t>5月</t>
        </is>
      </c>
      <c r="AN1" s="1" t="inlineStr">
        <is>
          <t>6月</t>
        </is>
      </c>
      <c r="AO1" s="1" t="inlineStr">
        <is>
          <t>7月（2）</t>
        </is>
      </c>
      <c r="AP1" s="1" t="inlineStr">
        <is>
          <t>8月（2）</t>
        </is>
      </c>
      <c r="AQ1" s="1" t="inlineStr">
        <is>
          <t>9月（1）</t>
        </is>
      </c>
      <c r="AR1" s="1" t="inlineStr">
        <is>
          <t>10月（2）</t>
        </is>
      </c>
      <c r="AS1" s="1" t="inlineStr">
        <is>
          <t>11月（2）</t>
        </is>
      </c>
      <c r="AT1" s="1" t="inlineStr">
        <is>
          <t>12月（2）</t>
        </is>
      </c>
      <c r="AU1" s="1" t="inlineStr">
        <is>
          <t>24年
1月</t>
        </is>
      </c>
      <c r="AV1" s="1" t="inlineStr">
        <is>
          <t>2月（1）</t>
        </is>
      </c>
      <c r="AW1" s="1" t="inlineStr">
        <is>
          <t>3月</t>
        </is>
      </c>
      <c r="AX1" s="1" t="inlineStr">
        <is>
          <t>4月</t>
        </is>
      </c>
      <c r="AY1" s="1" t="inlineStr">
        <is>
          <t>5月（2）</t>
        </is>
      </c>
      <c r="AZ1" s="1" t="inlineStr">
        <is>
          <t>6月（2）</t>
        </is>
      </c>
      <c r="BA1" s="1" t="inlineStr">
        <is>
          <t>7月（1）</t>
        </is>
      </c>
      <c r="BB1" s="1" t="inlineStr">
        <is>
          <t>8月（1）</t>
        </is>
      </c>
      <c r="BC1" s="1" t="inlineStr">
        <is>
          <t>9月</t>
        </is>
      </c>
      <c r="BD1" s="1" t="inlineStr">
        <is>
          <t>10月（1）</t>
        </is>
      </c>
      <c r="BE1" s="1" t="inlineStr">
        <is>
          <t>11月（1）</t>
        </is>
      </c>
      <c r="BF1" s="1" t="inlineStr">
        <is>
          <t>12月（1）</t>
        </is>
      </c>
      <c r="BG1" s="1" t="inlineStr">
        <is>
          <t>25年
1月</t>
        </is>
      </c>
      <c r="BH1" s="1" t="inlineStr">
        <is>
          <t>2月</t>
        </is>
      </c>
      <c r="BI1" s="1" t="inlineStr">
        <is>
          <t>3月（1）</t>
        </is>
      </c>
      <c r="BJ1" s="1" t="inlineStr">
        <is>
          <t>4月（2）</t>
        </is>
      </c>
      <c r="BK1" s="1" t="inlineStr">
        <is>
          <t>5月（1）</t>
        </is>
      </c>
      <c r="BL1" s="1" t="inlineStr">
        <is>
          <t>6月（1）</t>
        </is>
      </c>
      <c r="BM1" s="1" t="inlineStr">
        <is>
          <t>7月</t>
        </is>
      </c>
      <c r="BN1" s="1" t="inlineStr">
        <is>
          <t>8月</t>
        </is>
      </c>
      <c r="BO1" s="1" t="inlineStr">
        <is>
          <t>9月（2）</t>
        </is>
      </c>
      <c r="BP1" s="1" t="inlineStr">
        <is>
          <t>10月</t>
        </is>
      </c>
      <c r="BQ1" s="1" t="inlineStr">
        <is>
          <t>11月</t>
        </is>
      </c>
      <c r="BR1" s="1" t="inlineStr">
        <is>
          <t>12月</t>
        </is>
      </c>
      <c r="BS1" s="1" t="inlineStr">
        <is>
          <t>PO价
监控</t>
        </is>
      </c>
      <c r="BT1" s="1" t="inlineStr">
        <is>
          <t>运营</t>
        </is>
      </c>
    </row>
    <row r="2" ht="25.5" customHeight="1">
      <c r="A2" t="inlineStr">
        <is>
          <t>UK</t>
        </is>
      </c>
      <c r="B2"/>
      <c r="C2"/>
      <c r="D2"/>
      <c r="E2"/>
      <c r="F2">
        <v>17.29</v>
      </c>
      <c r="G2">
        <v>24.92</v>
      </c>
      <c r="H2"/>
      <c r="I2"/>
      <c r="J2">
        <v>17.3</v>
      </c>
      <c r="K2">
        <v>24.99</v>
      </c>
      <c r="L2"/>
      <c r="M2"/>
      <c r="N2"/>
      <c r="O2"/>
      <c r="P2"/>
      <c r="Q2"/>
      <c r="R2"/>
      <c r="S2">
        <v>16</v>
      </c>
      <c r="T2">
        <v>8.5</v>
      </c>
      <c r="U2">
        <v>0.05</v>
      </c>
      <c r="V2">
        <v>0.1</v>
      </c>
      <c r="W2">
        <v>0.01</v>
      </c>
      <c r="X2"/>
      <c r="Y2"/>
      <c r="Z2">
        <v>0.158</v>
      </c>
      <c r="AA2"/>
      <c r="AB2"/>
      <c r="AC2"/>
      <c r="AD2"/>
      <c r="AE2"/>
      <c r="AF2"/>
      <c r="AG2">
        <v>9.27</v>
      </c>
      <c r="AH2"/>
      <c r="AI2"/>
      <c r="AJ2">
        <v>9.27</v>
      </c>
      <c r="AK2"/>
      <c r="AL2"/>
      <c r="AM2"/>
      <c r="AN2"/>
      <c r="AO2"/>
      <c r="AP2"/>
      <c r="AQ2"/>
      <c r="AR2"/>
      <c r="AS2"/>
      <c r="AT2"/>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t="inlineStr">
        <is>
          <t>☆</t>
        </is>
      </c>
      <c r="BS2"/>
      <c r="BT2" t="inlineStr">
        <is>
          <t>#VALUE!</t>
        </is>
      </c>
    </row>
    <row r="3" ht="25.5" customHeight="1">
      <c r="A3" t="inlineStr">
        <is>
          <t>DE</t>
        </is>
      </c>
      <c r="B3"/>
      <c r="C3"/>
      <c r="D3"/>
      <c r="E3"/>
      <c r="F3">
        <v>20.33</v>
      </c>
      <c r="G3">
        <v>29.99</v>
      </c>
      <c r="H3"/>
      <c r="I3"/>
      <c r="J3">
        <v>20.33</v>
      </c>
      <c r="K3">
        <v>29.99</v>
      </c>
      <c r="L3"/>
      <c r="M3"/>
      <c r="N3"/>
      <c r="O3"/>
      <c r="P3"/>
      <c r="Q3"/>
      <c r="R3"/>
      <c r="S3">
        <v>16</v>
      </c>
      <c r="T3">
        <v>7.4</v>
      </c>
      <c r="U3">
        <v>0.05</v>
      </c>
      <c r="V3">
        <v>0.1</v>
      </c>
      <c r="W3">
        <v>0.01</v>
      </c>
      <c r="X3"/>
      <c r="Y3"/>
      <c r="Z3">
        <v>0.1695</v>
      </c>
      <c r="AA3"/>
      <c r="AB3"/>
      <c r="AC3"/>
      <c r="AD3"/>
      <c r="AE3">
        <v>61</v>
      </c>
      <c r="AF3"/>
      <c r="AG3">
        <v>8.8</v>
      </c>
      <c r="AH3"/>
      <c r="AI3"/>
      <c r="AJ3">
        <v>8.8</v>
      </c>
      <c r="AK3"/>
      <c r="AL3"/>
      <c r="AM3"/>
      <c r="AN3"/>
      <c r="AO3"/>
      <c r="AP3"/>
      <c r="AQ3"/>
      <c r="AR3"/>
      <c r="AS3"/>
      <c r="AT3"/>
      <c r="AU3" t="inlineStr">
        <is>
          <t>☆</t>
        </is>
      </c>
      <c r="AV3" t="inlineStr">
        <is>
          <t>☆</t>
        </is>
      </c>
      <c r="AW3" t="inlineStr">
        <is>
          <t>☆</t>
        </is>
      </c>
      <c r="AX3" t="inlineStr">
        <is>
          <t>☆</t>
        </is>
      </c>
      <c r="AY3" t="inlineStr">
        <is>
          <t>☆</t>
        </is>
      </c>
      <c r="AZ3" t="inlineStr">
        <is>
          <t>☆</t>
        </is>
      </c>
      <c r="BA3" t="inlineStr">
        <is>
          <t>☆</t>
        </is>
      </c>
      <c r="BB3" t="inlineStr">
        <is>
          <t>☆</t>
        </is>
      </c>
      <c r="BC3" t="inlineStr">
        <is>
          <t>☆</t>
        </is>
      </c>
      <c r="BD3" t="inlineStr">
        <is>
          <t>☆</t>
        </is>
      </c>
      <c r="BE3" t="inlineStr">
        <is>
          <t>☆</t>
        </is>
      </c>
      <c r="BF3" t="inlineStr">
        <is>
          <t>☆</t>
        </is>
      </c>
      <c r="BG3" t="inlineStr">
        <is>
          <t>☆</t>
        </is>
      </c>
      <c r="BH3" t="inlineStr">
        <is>
          <t>☆</t>
        </is>
      </c>
      <c r="BI3" t="inlineStr">
        <is>
          <t>☆</t>
        </is>
      </c>
      <c r="BJ3" t="inlineStr">
        <is>
          <t>☆</t>
        </is>
      </c>
      <c r="BK3" t="inlineStr">
        <is>
          <t>☆</t>
        </is>
      </c>
      <c r="BL3" t="inlineStr">
        <is>
          <t>☆</t>
        </is>
      </c>
      <c r="BM3" t="inlineStr">
        <is>
          <t>☆</t>
        </is>
      </c>
      <c r="BN3" t="inlineStr">
        <is>
          <t>☆</t>
        </is>
      </c>
      <c r="BO3" t="inlineStr">
        <is>
          <t>☆</t>
        </is>
      </c>
      <c r="BP3" t="inlineStr">
        <is>
          <t>☆</t>
        </is>
      </c>
      <c r="BQ3" t="inlineStr">
        <is>
          <t>☆</t>
        </is>
      </c>
      <c r="BR3" t="inlineStr">
        <is>
          <t>☆</t>
        </is>
      </c>
      <c r="BS3"/>
      <c r="BT3" t="inlineStr">
        <is>
          <t>#VALUE!</t>
        </is>
      </c>
    </row>
    <row r="4" ht="25.5" customHeight="1">
      <c r="A4" t="inlineStr">
        <is>
          <t>FR</t>
        </is>
      </c>
      <c r="B4"/>
      <c r="C4"/>
      <c r="D4"/>
      <c r="E4"/>
      <c r="F4">
        <v>20.65</v>
      </c>
      <c r="G4">
        <v>29.99</v>
      </c>
      <c r="H4"/>
      <c r="I4"/>
      <c r="J4">
        <v>20.65</v>
      </c>
      <c r="K4">
        <v>29.99</v>
      </c>
      <c r="L4"/>
      <c r="M4"/>
      <c r="N4"/>
      <c r="O4"/>
      <c r="P4"/>
      <c r="Q4"/>
      <c r="R4"/>
      <c r="S4">
        <v>16</v>
      </c>
      <c r="T4">
        <v>7.4</v>
      </c>
      <c r="U4">
        <v>0.05</v>
      </c>
      <c r="V4">
        <v>0.1</v>
      </c>
      <c r="W4">
        <v>0.01</v>
      </c>
      <c r="X4"/>
      <c r="Y4"/>
      <c r="Z4">
        <v>0.198</v>
      </c>
      <c r="AA4"/>
      <c r="AB4"/>
      <c r="AC4"/>
      <c r="AD4"/>
      <c r="AE4">
        <v>61</v>
      </c>
      <c r="AF4"/>
      <c r="AG4">
        <v>8.8</v>
      </c>
      <c r="AH4"/>
      <c r="AI4"/>
      <c r="AJ4">
        <v>8.8</v>
      </c>
      <c r="AK4"/>
      <c r="AL4"/>
      <c r="AM4"/>
      <c r="AN4"/>
      <c r="AO4"/>
      <c r="AP4"/>
      <c r="AQ4"/>
      <c r="AR4"/>
      <c r="AS4"/>
      <c r="AT4"/>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t>
        </is>
      </c>
      <c r="BJ4" t="inlineStr">
        <is>
          <t>☆</t>
        </is>
      </c>
      <c r="BK4" t="inlineStr">
        <is>
          <t>☆</t>
        </is>
      </c>
      <c r="BL4" t="inlineStr">
        <is>
          <t>☆</t>
        </is>
      </c>
      <c r="BM4" t="inlineStr">
        <is>
          <t>☆</t>
        </is>
      </c>
      <c r="BN4" t="inlineStr">
        <is>
          <t>☆</t>
        </is>
      </c>
      <c r="BO4" t="inlineStr">
        <is>
          <t>☆</t>
        </is>
      </c>
      <c r="BP4" t="inlineStr">
        <is>
          <t>☆</t>
        </is>
      </c>
      <c r="BQ4" t="inlineStr">
        <is>
          <t>☆</t>
        </is>
      </c>
      <c r="BR4" t="inlineStr">
        <is>
          <t>☆</t>
        </is>
      </c>
      <c r="BS4"/>
      <c r="BT4" t="inlineStr">
        <is>
          <t>#VALUE!</t>
        </is>
      </c>
    </row>
    <row r="5" ht="25.5" customHeight="1">
      <c r="A5" t="inlineStr">
        <is>
          <t>IT</t>
        </is>
      </c>
      <c r="B5"/>
      <c r="C5"/>
      <c r="D5"/>
      <c r="E5"/>
      <c r="F5">
        <v>20.99</v>
      </c>
      <c r="G5">
        <v>29.99</v>
      </c>
      <c r="H5"/>
      <c r="I5"/>
      <c r="J5">
        <v>20.99</v>
      </c>
      <c r="K5">
        <v>29.99</v>
      </c>
      <c r="L5"/>
      <c r="M5"/>
      <c r="N5"/>
      <c r="O5"/>
      <c r="P5"/>
      <c r="Q5"/>
      <c r="R5"/>
      <c r="S5">
        <v>16</v>
      </c>
      <c r="T5">
        <v>7.4</v>
      </c>
      <c r="U5">
        <v>0.05</v>
      </c>
      <c r="V5">
        <v>0.1</v>
      </c>
      <c r="W5">
        <v>0.01</v>
      </c>
      <c r="X5"/>
      <c r="Y5"/>
      <c r="Z5">
        <v>0.1846</v>
      </c>
      <c r="AA5"/>
      <c r="AB5"/>
      <c r="AC5"/>
      <c r="AD5"/>
      <c r="AE5">
        <v>61</v>
      </c>
      <c r="AF5"/>
      <c r="AG5">
        <v>8.8</v>
      </c>
      <c r="AH5"/>
      <c r="AI5"/>
      <c r="AJ5">
        <v>8.8</v>
      </c>
      <c r="AK5"/>
      <c r="AL5"/>
      <c r="AM5"/>
      <c r="AN5"/>
      <c r="AO5"/>
      <c r="AP5"/>
      <c r="AQ5"/>
      <c r="AR5"/>
      <c r="AS5"/>
      <c r="AT5"/>
      <c r="AU5" t="inlineStr">
        <is>
          <t>☆</t>
        </is>
      </c>
      <c r="AV5" t="inlineStr">
        <is>
          <t>☆</t>
        </is>
      </c>
      <c r="AW5" t="inlineStr">
        <is>
          <t>☆</t>
        </is>
      </c>
      <c r="AX5" t="inlineStr">
        <is>
          <t>☆</t>
        </is>
      </c>
      <c r="AY5" t="inlineStr">
        <is>
          <t>☆</t>
        </is>
      </c>
      <c r="AZ5" t="inlineStr">
        <is>
          <t>☆</t>
        </is>
      </c>
      <c r="BA5" t="inlineStr">
        <is>
          <t>☆</t>
        </is>
      </c>
      <c r="BB5" t="inlineStr">
        <is>
          <t>☆</t>
        </is>
      </c>
      <c r="BC5" t="inlineStr">
        <is>
          <t>☆</t>
        </is>
      </c>
      <c r="BD5" t="inlineStr">
        <is>
          <t>☆</t>
        </is>
      </c>
      <c r="BE5" t="inlineStr">
        <is>
          <t>☆</t>
        </is>
      </c>
      <c r="BF5" t="inlineStr">
        <is>
          <t>☆</t>
        </is>
      </c>
      <c r="BG5" t="inlineStr">
        <is>
          <t>☆</t>
        </is>
      </c>
      <c r="BH5" t="inlineStr">
        <is>
          <t>☆</t>
        </is>
      </c>
      <c r="BI5" t="inlineStr">
        <is>
          <t>☆</t>
        </is>
      </c>
      <c r="BJ5" t="inlineStr">
        <is>
          <t>☆</t>
        </is>
      </c>
      <c r="BK5" t="inlineStr">
        <is>
          <t>☆</t>
        </is>
      </c>
      <c r="BL5" t="inlineStr">
        <is>
          <t>☆</t>
        </is>
      </c>
      <c r="BM5" t="inlineStr">
        <is>
          <t>☆</t>
        </is>
      </c>
      <c r="BN5" t="inlineStr">
        <is>
          <t>☆</t>
        </is>
      </c>
      <c r="BO5" t="inlineStr">
        <is>
          <t>☆</t>
        </is>
      </c>
      <c r="BP5" t="inlineStr">
        <is>
          <t>☆</t>
        </is>
      </c>
      <c r="BQ5" t="inlineStr">
        <is>
          <t>☆</t>
        </is>
      </c>
      <c r="BR5" t="inlineStr">
        <is>
          <t>☆</t>
        </is>
      </c>
      <c r="BS5"/>
      <c r="BT5" t="inlineStr">
        <is>
          <t>#VALUE!</t>
        </is>
      </c>
    </row>
    <row r="6" ht="25.5" customHeight="1">
      <c r="A6" t="inlineStr">
        <is>
          <t>ES</t>
        </is>
      </c>
      <c r="B6"/>
      <c r="C6"/>
      <c r="D6"/>
      <c r="E6"/>
      <c r="F6">
        <v>20.99</v>
      </c>
      <c r="G6">
        <v>29.99</v>
      </c>
      <c r="H6"/>
      <c r="I6"/>
      <c r="J6">
        <v>20.99</v>
      </c>
      <c r="K6">
        <v>29.99</v>
      </c>
      <c r="L6"/>
      <c r="M6"/>
      <c r="N6"/>
      <c r="O6"/>
      <c r="P6"/>
      <c r="Q6"/>
      <c r="R6"/>
      <c r="S6">
        <v>16</v>
      </c>
      <c r="T6">
        <v>7.4</v>
      </c>
      <c r="U6">
        <v>0.05</v>
      </c>
      <c r="V6">
        <v>0.1</v>
      </c>
      <c r="W6">
        <v>0.01</v>
      </c>
      <c r="X6"/>
      <c r="Y6"/>
      <c r="Z6">
        <v>0.1646</v>
      </c>
      <c r="AA6"/>
      <c r="AB6"/>
      <c r="AC6"/>
      <c r="AD6"/>
      <c r="AE6">
        <v>61</v>
      </c>
      <c r="AF6"/>
      <c r="AG6">
        <v>8.8</v>
      </c>
      <c r="AH6"/>
      <c r="AI6"/>
      <c r="AJ6">
        <v>8.8</v>
      </c>
      <c r="AK6"/>
      <c r="AL6"/>
      <c r="AM6"/>
      <c r="AN6"/>
      <c r="AO6"/>
      <c r="AP6"/>
      <c r="AQ6"/>
      <c r="AR6"/>
      <c r="AS6"/>
      <c r="AT6"/>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t="inlineStr">
        <is>
          <t>☆</t>
        </is>
      </c>
      <c r="BS6"/>
      <c r="BT6" t="inlineStr">
        <is>
          <t>#VALUE!</t>
        </is>
      </c>
    </row>
    <row r="7" ht="25.5" customHeight="1">
      <c r="A7" t="inlineStr">
        <is>
          <t>NL</t>
        </is>
      </c>
      <c r="B7"/>
      <c r="C7"/>
      <c r="D7"/>
      <c r="E7"/>
      <c r="F7">
        <v>48</v>
      </c>
      <c r="G7">
        <v>66.99</v>
      </c>
      <c r="H7"/>
      <c r="I7"/>
      <c r="J7">
        <v>22</v>
      </c>
      <c r="K7">
        <v>35</v>
      </c>
      <c r="L7"/>
      <c r="M7"/>
      <c r="N7"/>
      <c r="O7"/>
      <c r="P7"/>
      <c r="Q7"/>
      <c r="R7"/>
      <c r="S7">
        <v>16</v>
      </c>
      <c r="T7">
        <v>7.4</v>
      </c>
      <c r="U7">
        <v>0.05</v>
      </c>
      <c r="V7">
        <v>0.1</v>
      </c>
      <c r="W7">
        <v>0.01</v>
      </c>
      <c r="X7"/>
      <c r="Y7"/>
      <c r="Z7">
        <v>0.158</v>
      </c>
      <c r="AA7"/>
      <c r="AB7"/>
      <c r="AC7"/>
      <c r="AD7"/>
      <c r="AE7">
        <v>61</v>
      </c>
      <c r="AF7"/>
      <c r="AG7">
        <v>8.8</v>
      </c>
      <c r="AH7"/>
      <c r="AI7"/>
      <c r="AJ7">
        <v>8.8</v>
      </c>
      <c r="AK7"/>
      <c r="AL7"/>
      <c r="AM7"/>
      <c r="AN7"/>
      <c r="AO7"/>
      <c r="AP7"/>
      <c r="AQ7"/>
      <c r="AR7"/>
      <c r="AS7"/>
      <c r="AT7"/>
      <c r="AU7" t="inlineStr">
        <is>
          <t>☆</t>
        </is>
      </c>
      <c r="AV7" t="inlineStr">
        <is>
          <t>☆</t>
        </is>
      </c>
      <c r="AW7" t="inlineStr">
        <is>
          <t>☆</t>
        </is>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t>
        </is>
      </c>
      <c r="BJ7" t="inlineStr">
        <is>
          <t>☆</t>
        </is>
      </c>
      <c r="BK7" t="inlineStr">
        <is>
          <t>☆</t>
        </is>
      </c>
      <c r="BL7" t="inlineStr">
        <is>
          <t>☆</t>
        </is>
      </c>
      <c r="BM7" t="inlineStr">
        <is>
          <t>☆</t>
        </is>
      </c>
      <c r="BN7" t="inlineStr">
        <is>
          <t>☆</t>
        </is>
      </c>
      <c r="BO7" t="inlineStr">
        <is>
          <t>☆</t>
        </is>
      </c>
      <c r="BP7" t="inlineStr">
        <is>
          <t>☆</t>
        </is>
      </c>
      <c r="BQ7" t="inlineStr">
        <is>
          <t>☆</t>
        </is>
      </c>
      <c r="BR7" t="inlineStr">
        <is>
          <t>☆</t>
        </is>
      </c>
      <c r="BS7"/>
      <c r="BT7" t="inlineStr">
        <is>
          <t>#VALUE!</t>
        </is>
      </c>
    </row>
    <row r="8" ht="25.5" customHeight="1">
      <c r="A8" t="inlineStr">
        <is>
          <t>PL</t>
        </is>
      </c>
      <c r="B8"/>
      <c r="C8"/>
      <c r="D8"/>
      <c r="E8"/>
      <c r="F8">
        <v>209.99</v>
      </c>
      <c r="G8">
        <v>329</v>
      </c>
      <c r="H8"/>
      <c r="I8"/>
      <c r="J8">
        <v>99</v>
      </c>
      <c r="K8">
        <v>168</v>
      </c>
      <c r="L8"/>
      <c r="M8"/>
      <c r="N8"/>
      <c r="O8"/>
      <c r="P8"/>
      <c r="Q8"/>
      <c r="R8"/>
      <c r="S8">
        <v>16</v>
      </c>
      <c r="T8">
        <v>1.6</v>
      </c>
      <c r="U8">
        <v>0.05</v>
      </c>
      <c r="V8">
        <v>0.1</v>
      </c>
      <c r="W8">
        <v>0.01</v>
      </c>
      <c r="X8"/>
      <c r="Y8"/>
      <c r="Z8">
        <v>0.158</v>
      </c>
      <c r="AA8"/>
      <c r="AB8"/>
      <c r="AC8"/>
      <c r="AD8"/>
      <c r="AE8">
        <v>61</v>
      </c>
      <c r="AF8"/>
      <c r="AG8">
        <v>8.8</v>
      </c>
      <c r="AH8"/>
      <c r="AI8"/>
      <c r="AJ8">
        <v>8.8</v>
      </c>
      <c r="AK8"/>
      <c r="AL8"/>
      <c r="AM8"/>
      <c r="AN8"/>
      <c r="AO8"/>
      <c r="AP8"/>
      <c r="AQ8"/>
      <c r="AR8"/>
      <c r="AS8"/>
      <c r="AT8"/>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t="inlineStr">
        <is>
          <t>☆</t>
        </is>
      </c>
      <c r="BS8"/>
      <c r="BT8" t="inlineStr">
        <is>
          <t>#VALUE!</t>
        </is>
      </c>
    </row>
    <row r="9" ht="25.5" customHeight="1">
      <c r="A9" t="inlineStr">
        <is>
          <t>SE</t>
        </is>
      </c>
      <c r="B9"/>
      <c r="C9"/>
      <c r="D9"/>
      <c r="E9"/>
      <c r="F9">
        <v>474.5115</v>
      </c>
      <c r="G9">
        <v>720.76</v>
      </c>
      <c r="H9"/>
      <c r="I9"/>
      <c r="J9">
        <v>270</v>
      </c>
      <c r="K9">
        <v>538</v>
      </c>
      <c r="L9"/>
      <c r="M9"/>
      <c r="N9"/>
      <c r="O9"/>
      <c r="P9"/>
      <c r="Q9"/>
      <c r="R9"/>
      <c r="S9">
        <v>16</v>
      </c>
      <c r="T9">
        <v>0.6</v>
      </c>
      <c r="U9">
        <v>0.05</v>
      </c>
      <c r="V9">
        <v>0.1</v>
      </c>
      <c r="W9">
        <v>0.01</v>
      </c>
      <c r="X9"/>
      <c r="Y9"/>
      <c r="Z9">
        <v>0.223</v>
      </c>
      <c r="AA9"/>
      <c r="AB9"/>
      <c r="AC9"/>
      <c r="AD9"/>
      <c r="AE9">
        <v>61</v>
      </c>
      <c r="AF9"/>
      <c r="AG9">
        <v>8.8</v>
      </c>
      <c r="AH9"/>
      <c r="AI9"/>
      <c r="AJ9">
        <v>8.8</v>
      </c>
      <c r="AK9"/>
      <c r="AL9"/>
      <c r="AM9"/>
      <c r="AN9"/>
      <c r="AO9"/>
      <c r="AP9"/>
      <c r="AQ9"/>
      <c r="AR9"/>
      <c r="AS9"/>
      <c r="AT9"/>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c r="BT9" t="inlineStr">
        <is>
          <t>#VALUE!</t>
        </is>
      </c>
    </row>
    <row r="10" ht="25.5" customHeight="1">
      <c r="A10" t="inlineStr">
        <is>
          <t>BE</t>
        </is>
      </c>
      <c r="B10"/>
      <c r="C10"/>
      <c r="D10"/>
      <c r="E10"/>
      <c r="F10"/>
      <c r="G10">
        <v>32.989</v>
      </c>
      <c r="H10"/>
      <c r="I10"/>
      <c r="J10">
        <v>23.09</v>
      </c>
      <c r="K10">
        <v>32.989</v>
      </c>
      <c r="L10"/>
      <c r="M10"/>
      <c r="N10"/>
      <c r="O10"/>
      <c r="P10"/>
      <c r="Q10"/>
      <c r="R10"/>
      <c r="S10">
        <v>16</v>
      </c>
      <c r="T10">
        <v>7.4</v>
      </c>
      <c r="U10">
        <v>0.06</v>
      </c>
      <c r="V10">
        <v>0.1</v>
      </c>
      <c r="W10">
        <v>0.01</v>
      </c>
      <c r="X10"/>
      <c r="Y10"/>
      <c r="Z10">
        <v>0.158</v>
      </c>
      <c r="AA10"/>
      <c r="AB10"/>
      <c r="AC10"/>
      <c r="AD10"/>
      <c r="AE10">
        <v>61</v>
      </c>
      <c r="AF10"/>
      <c r="AG10">
        <v>8.8</v>
      </c>
      <c r="AH10"/>
      <c r="AI10"/>
      <c r="AJ10">
        <v>8.8</v>
      </c>
      <c r="AK10"/>
      <c r="AL10"/>
      <c r="AM10"/>
      <c r="AN10"/>
      <c r="AO10"/>
      <c r="AP10"/>
      <c r="AQ10"/>
      <c r="AR10"/>
      <c r="AS10"/>
      <c r="AT10"/>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c r="BT10" t="inlineStr">
        <is>
          <t>#VALUE!</t>
        </is>
      </c>
    </row>
    <row r="11" ht="25.5" customHeight="1">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s>
  <sheetData>
    <row r="1" ht="13" customHeight="1">
      <c r="A1" s="1" t="inlineStr">
        <is>
          <t>站点</t>
        </is>
      </c>
      <c r="B1" s="1" t="inlineStr">
        <is>
          <t>SKU</t>
        </is>
      </c>
      <c r="C1" s="1" t="inlineStr">
        <is>
          <t>ASIN</t>
        </is>
      </c>
      <c r="D1" s="1" t="inlineStr">
        <is>
          <t>产品名称</t>
        </is>
      </c>
      <c r="E1" s="1" t="inlineStr">
        <is>
          <t>Brand</t>
        </is>
      </c>
      <c r="F1" s="1" t="inlineStr">
        <is>
          <t>原PO售价
外币</t>
        </is>
      </c>
      <c r="G1" s="1" t="inlineStr">
        <is>
          <t>原建议售价(含税)
亚马逊售价-外币</t>
        </is>
      </c>
      <c r="H1" s="1" t="inlineStr">
        <is>
          <t>后台PO价</t>
        </is>
      </c>
      <c r="I1" s="1" t="inlineStr">
        <is>
          <t>对比
PO价</t>
        </is>
      </c>
      <c r="J1" s="1" t="inlineStr">
        <is>
          <t>PO售价
外币</t>
        </is>
      </c>
      <c r="K1" s="1" t="inlineStr">
        <is>
          <t>建议售价(含税)
亚马逊售价-外币</t>
        </is>
      </c>
      <c r="L1" s="1" t="inlineStr">
        <is>
          <t>毛利
外币</t>
        </is>
      </c>
      <c r="M1" s="1" t="inlineStr">
        <is>
          <t>毛利率</t>
        </is>
      </c>
      <c r="N1" s="1" t="inlineStr">
        <is>
          <t>建议售价
不含税外币</t>
        </is>
      </c>
      <c r="O1" s="1" t="inlineStr">
        <is>
          <t>Profit Margin (%)</t>
        </is>
      </c>
      <c r="P1" s="1" t="inlineStr">
        <is>
          <t>亚马逊毛利
外币</t>
        </is>
      </c>
      <c r="Q1" s="1" t="inlineStr">
        <is>
          <t>成本</t>
        </is>
      </c>
      <c r="R1" s="1" t="inlineStr">
        <is>
          <t>尾程
外币</t>
        </is>
      </c>
      <c r="S1" s="1" t="inlineStr">
        <is>
          <t>装箱数</t>
        </is>
      </c>
      <c r="T1" s="1" t="inlineStr">
        <is>
          <t>汇率</t>
        </is>
      </c>
      <c r="U1" s="1" t="inlineStr">
        <is>
          <t>广告占比</t>
        </is>
      </c>
      <c r="V1" s="1" t="inlineStr">
        <is>
          <t>促销占比</t>
        </is>
      </c>
      <c r="W1" s="1" t="inlineStr">
        <is>
          <t>其他占比</t>
        </is>
      </c>
      <c r="X1" s="1" t="inlineStr">
        <is>
          <t>成本占比</t>
        </is>
      </c>
      <c r="Y1" s="1" t="inlineStr">
        <is>
          <t>尾程占比</t>
        </is>
      </c>
      <c r="Z1" s="1" t="inlineStr">
        <is>
          <t>佣金占比</t>
        </is>
      </c>
      <c r="AA1" s="1" t="inlineStr">
        <is>
          <t>广告
外币</t>
        </is>
      </c>
      <c r="AB1" s="1" t="inlineStr">
        <is>
          <t>促销
外币</t>
        </is>
      </c>
      <c r="AC1" s="1" t="inlineStr">
        <is>
          <t>其它
外币</t>
        </is>
      </c>
      <c r="AD1" s="1" t="inlineStr">
        <is>
          <t>佣金
外币</t>
        </is>
      </c>
      <c r="AE1" s="1" t="inlineStr">
        <is>
          <t>采购成本
 ¥含税</t>
        </is>
      </c>
      <c r="AF1" s="1" t="inlineStr">
        <is>
          <t>采购成本
 ¥不含税</t>
        </is>
      </c>
      <c r="AG1" s="1" t="inlineStr">
        <is>
          <t>头程 
×1.5</t>
        </is>
      </c>
      <c r="AH1" s="1" t="inlineStr">
        <is>
          <t>采购占比</t>
        </is>
      </c>
      <c r="AI1" s="1" t="inlineStr">
        <is>
          <t>头程占比</t>
        </is>
      </c>
      <c r="AJ1" s="1" t="inlineStr">
        <is>
          <t>头程 
RMB</t>
        </is>
      </c>
      <c r="AK1" s="1" t="inlineStr">
        <is>
          <t>23年
3月</t>
        </is>
      </c>
      <c r="AL1" s="1" t="inlineStr">
        <is>
          <t>4月</t>
        </is>
      </c>
      <c r="AM1" s="1" t="inlineStr">
        <is>
          <t>5月</t>
        </is>
      </c>
      <c r="AN1" s="1" t="inlineStr">
        <is>
          <t>6月</t>
        </is>
      </c>
      <c r="AO1" s="1" t="inlineStr">
        <is>
          <t>7月（2）</t>
        </is>
      </c>
      <c r="AP1" s="1" t="inlineStr">
        <is>
          <t>8月（2）</t>
        </is>
      </c>
      <c r="AQ1" s="1" t="inlineStr">
        <is>
          <t>9月（1）</t>
        </is>
      </c>
      <c r="AR1" s="1" t="inlineStr">
        <is>
          <t>10月（2）</t>
        </is>
      </c>
      <c r="AS1" s="1" t="inlineStr">
        <is>
          <t>11月（1）</t>
        </is>
      </c>
      <c r="AT1" s="1" t="inlineStr">
        <is>
          <t>12月（1）</t>
        </is>
      </c>
      <c r="AU1" s="1" t="inlineStr">
        <is>
          <t>24年
1月</t>
        </is>
      </c>
      <c r="AV1" s="1" t="inlineStr">
        <is>
          <t>2月</t>
        </is>
      </c>
      <c r="AW1" s="1" t="inlineStr">
        <is>
          <t>3月</t>
        </is>
      </c>
      <c r="AX1" s="1" t="inlineStr">
        <is>
          <t>4月（1）</t>
        </is>
      </c>
      <c r="AY1" s="1" t="inlineStr">
        <is>
          <t>5月（1）</t>
        </is>
      </c>
      <c r="AZ1" s="1" t="inlineStr">
        <is>
          <t>6月（1）</t>
        </is>
      </c>
      <c r="BA1" s="1" t="inlineStr">
        <is>
          <t>7月</t>
        </is>
      </c>
      <c r="BB1" s="1" t="inlineStr">
        <is>
          <t>8月</t>
        </is>
      </c>
      <c r="BC1" s="1" t="inlineStr">
        <is>
          <t>9月（2）</t>
        </is>
      </c>
      <c r="BD1" s="1" t="inlineStr">
        <is>
          <t>10月</t>
        </is>
      </c>
      <c r="BE1" s="1" t="inlineStr">
        <is>
          <t>11月（2）</t>
        </is>
      </c>
      <c r="BF1" s="1" t="inlineStr">
        <is>
          <t>12月（2）</t>
        </is>
      </c>
      <c r="BG1" s="1" t="inlineStr">
        <is>
          <t>25年
1月</t>
        </is>
      </c>
      <c r="BH1" s="1" t="inlineStr">
        <is>
          <t>2月（1）</t>
        </is>
      </c>
      <c r="BI1" s="1" t="inlineStr">
        <is>
          <t>3月（1）</t>
        </is>
      </c>
      <c r="BJ1" s="1" t="inlineStr">
        <is>
          <t>4月（2）</t>
        </is>
      </c>
      <c r="BK1" s="1" t="inlineStr">
        <is>
          <t>5月（2）</t>
        </is>
      </c>
      <c r="BL1" s="1" t="inlineStr">
        <is>
          <t>6月（2）</t>
        </is>
      </c>
      <c r="BM1" s="1" t="inlineStr">
        <is>
          <t>7月（1）</t>
        </is>
      </c>
      <c r="BN1" s="1" t="inlineStr">
        <is>
          <t>8月（1）</t>
        </is>
      </c>
      <c r="BO1" s="1" t="inlineStr">
        <is>
          <t>9月</t>
        </is>
      </c>
      <c r="BP1" s="1" t="inlineStr">
        <is>
          <t>10月（1）</t>
        </is>
      </c>
      <c r="BQ1" s="1" t="inlineStr">
        <is>
          <t>11月</t>
        </is>
      </c>
      <c r="BR1" s="1" t="inlineStr">
        <is>
          <t>12月</t>
        </is>
      </c>
      <c r="BS1" s="1" t="inlineStr">
        <is>
          <t>PO价
监控</t>
        </is>
      </c>
      <c r="BT1" s="1" t="inlineStr">
        <is>
          <t>运营</t>
        </is>
      </c>
    </row>
    <row r="2" ht="25.5" customHeight="1">
      <c r="A2" t="inlineStr">
        <is>
          <t>UK</t>
        </is>
      </c>
      <c r="B2" t="inlineStr">
        <is>
          <t>R0001UK</t>
        </is>
      </c>
      <c r="C2"/>
      <c r="D2"/>
      <c r="E2"/>
      <c r="F2">
        <v>17.29</v>
      </c>
      <c r="G2">
        <v>24.92</v>
      </c>
      <c r="H2"/>
      <c r="I2"/>
      <c r="J2">
        <v>17.3</v>
      </c>
      <c r="K2">
        <v>24.99</v>
      </c>
      <c r="L2"/>
      <c r="M2"/>
      <c r="N2"/>
      <c r="O2"/>
      <c r="P2"/>
      <c r="Q2"/>
      <c r="R2"/>
      <c r="S2">
        <v>16</v>
      </c>
      <c r="T2">
        <v>8.5</v>
      </c>
      <c r="U2">
        <v>0.05</v>
      </c>
      <c r="V2">
        <v>0.1</v>
      </c>
      <c r="W2">
        <v>0.01</v>
      </c>
      <c r="X2"/>
      <c r="Y2"/>
      <c r="Z2">
        <v>0.158</v>
      </c>
      <c r="AA2"/>
      <c r="AB2"/>
      <c r="AC2"/>
      <c r="AD2"/>
      <c r="AE2"/>
      <c r="AF2"/>
      <c r="AG2">
        <v>9.27</v>
      </c>
      <c r="AH2"/>
      <c r="AI2"/>
      <c r="AJ2">
        <v>9.27</v>
      </c>
      <c r="AK2"/>
      <c r="AL2"/>
      <c r="AM2"/>
      <c r="AN2"/>
      <c r="AO2"/>
      <c r="AP2"/>
      <c r="AQ2"/>
      <c r="AR2"/>
      <c r="AS2"/>
      <c r="AT2"/>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t="inlineStr">
        <is>
          <t>☆</t>
        </is>
      </c>
      <c r="BS2"/>
      <c r="BT2" t="inlineStr">
        <is>
          <t>#VALUE!</t>
        </is>
      </c>
    </row>
    <row r="3" ht="25.5" customHeight="1">
      <c r="A3" t="inlineStr">
        <is>
          <t>DE</t>
        </is>
      </c>
      <c r="B3" t="inlineStr">
        <is>
          <t>R0001EU</t>
        </is>
      </c>
      <c r="C3"/>
      <c r="D3"/>
      <c r="E3"/>
      <c r="F3">
        <v>20.33</v>
      </c>
      <c r="G3">
        <v>29.99</v>
      </c>
      <c r="H3"/>
      <c r="I3"/>
      <c r="J3">
        <v>20.33</v>
      </c>
      <c r="K3">
        <v>29.99</v>
      </c>
      <c r="L3"/>
      <c r="M3"/>
      <c r="N3"/>
      <c r="O3"/>
      <c r="P3"/>
      <c r="Q3"/>
      <c r="R3"/>
      <c r="S3">
        <v>16</v>
      </c>
      <c r="T3">
        <v>7.4</v>
      </c>
      <c r="U3">
        <v>0.05</v>
      </c>
      <c r="V3">
        <v>0.1</v>
      </c>
      <c r="W3">
        <v>0.01</v>
      </c>
      <c r="X3"/>
      <c r="Y3"/>
      <c r="Z3">
        <v>0.1695</v>
      </c>
      <c r="AA3"/>
      <c r="AB3"/>
      <c r="AC3"/>
      <c r="AD3"/>
      <c r="AE3">
        <v>61</v>
      </c>
      <c r="AF3"/>
      <c r="AG3">
        <v>8.8</v>
      </c>
      <c r="AH3"/>
      <c r="AI3"/>
      <c r="AJ3">
        <v>8.8</v>
      </c>
      <c r="AK3"/>
      <c r="AL3"/>
      <c r="AM3"/>
      <c r="AN3"/>
      <c r="AO3"/>
      <c r="AP3"/>
      <c r="AQ3"/>
      <c r="AR3"/>
      <c r="AS3"/>
      <c r="AT3"/>
      <c r="AU3" t="inlineStr">
        <is>
          <t>☆</t>
        </is>
      </c>
      <c r="AV3" t="inlineStr">
        <is>
          <t>☆</t>
        </is>
      </c>
      <c r="AW3" t="inlineStr">
        <is>
          <t>☆</t>
        </is>
      </c>
      <c r="AX3" t="inlineStr">
        <is>
          <t>☆</t>
        </is>
      </c>
      <c r="AY3" t="inlineStr">
        <is>
          <t>☆</t>
        </is>
      </c>
      <c r="AZ3" t="inlineStr">
        <is>
          <t>☆</t>
        </is>
      </c>
      <c r="BA3" t="inlineStr">
        <is>
          <t>☆</t>
        </is>
      </c>
      <c r="BB3" t="inlineStr">
        <is>
          <t>☆</t>
        </is>
      </c>
      <c r="BC3" t="inlineStr">
        <is>
          <t>☆</t>
        </is>
      </c>
      <c r="BD3" t="inlineStr">
        <is>
          <t>☆</t>
        </is>
      </c>
      <c r="BE3" t="inlineStr">
        <is>
          <t>☆</t>
        </is>
      </c>
      <c r="BF3" t="inlineStr">
        <is>
          <t>☆</t>
        </is>
      </c>
      <c r="BG3" t="inlineStr">
        <is>
          <t>☆</t>
        </is>
      </c>
      <c r="BH3" t="inlineStr">
        <is>
          <t>☆</t>
        </is>
      </c>
      <c r="BI3" t="inlineStr">
        <is>
          <t>☆</t>
        </is>
      </c>
      <c r="BJ3" t="inlineStr">
        <is>
          <t>☆</t>
        </is>
      </c>
      <c r="BK3" t="inlineStr">
        <is>
          <t>☆</t>
        </is>
      </c>
      <c r="BL3" t="inlineStr">
        <is>
          <t>☆</t>
        </is>
      </c>
      <c r="BM3" t="inlineStr">
        <is>
          <t>☆</t>
        </is>
      </c>
      <c r="BN3" t="inlineStr">
        <is>
          <t>☆</t>
        </is>
      </c>
      <c r="BO3" t="inlineStr">
        <is>
          <t>☆</t>
        </is>
      </c>
      <c r="BP3" t="inlineStr">
        <is>
          <t>☆</t>
        </is>
      </c>
      <c r="BQ3" t="inlineStr">
        <is>
          <t>☆</t>
        </is>
      </c>
      <c r="BR3" t="inlineStr">
        <is>
          <t>☆</t>
        </is>
      </c>
      <c r="BS3"/>
      <c r="BT3" t="inlineStr">
        <is>
          <t>#VALUE!</t>
        </is>
      </c>
    </row>
    <row r="4" ht="25.5" customHeight="1">
      <c r="A4" t="inlineStr">
        <is>
          <t>FR</t>
        </is>
      </c>
      <c r="B4" t="inlineStr">
        <is>
          <t>R0001EU</t>
        </is>
      </c>
      <c r="C4"/>
      <c r="D4"/>
      <c r="E4"/>
      <c r="F4">
        <v>20.65</v>
      </c>
      <c r="G4">
        <v>29.99</v>
      </c>
      <c r="H4"/>
      <c r="I4"/>
      <c r="J4">
        <v>20.65</v>
      </c>
      <c r="K4">
        <v>29.99</v>
      </c>
      <c r="L4"/>
      <c r="M4"/>
      <c r="N4"/>
      <c r="O4"/>
      <c r="P4"/>
      <c r="Q4"/>
      <c r="R4"/>
      <c r="S4">
        <v>16</v>
      </c>
      <c r="T4">
        <v>7.4</v>
      </c>
      <c r="U4">
        <v>0.05</v>
      </c>
      <c r="V4">
        <v>0.1</v>
      </c>
      <c r="W4">
        <v>0.01</v>
      </c>
      <c r="X4"/>
      <c r="Y4"/>
      <c r="Z4">
        <v>0.198</v>
      </c>
      <c r="AA4"/>
      <c r="AB4"/>
      <c r="AC4"/>
      <c r="AD4"/>
      <c r="AE4">
        <v>61</v>
      </c>
      <c r="AF4"/>
      <c r="AG4">
        <v>8.8</v>
      </c>
      <c r="AH4"/>
      <c r="AI4"/>
      <c r="AJ4">
        <v>8.8</v>
      </c>
      <c r="AK4"/>
      <c r="AL4"/>
      <c r="AM4"/>
      <c r="AN4"/>
      <c r="AO4"/>
      <c r="AP4"/>
      <c r="AQ4"/>
      <c r="AR4"/>
      <c r="AS4"/>
      <c r="AT4"/>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t>
        </is>
      </c>
      <c r="BJ4" t="inlineStr">
        <is>
          <t>☆</t>
        </is>
      </c>
      <c r="BK4" t="inlineStr">
        <is>
          <t>☆</t>
        </is>
      </c>
      <c r="BL4" t="inlineStr">
        <is>
          <t>☆</t>
        </is>
      </c>
      <c r="BM4" t="inlineStr">
        <is>
          <t>☆</t>
        </is>
      </c>
      <c r="BN4" t="inlineStr">
        <is>
          <t>☆</t>
        </is>
      </c>
      <c r="BO4" t="inlineStr">
        <is>
          <t>☆</t>
        </is>
      </c>
      <c r="BP4" t="inlineStr">
        <is>
          <t>☆</t>
        </is>
      </c>
      <c r="BQ4" t="inlineStr">
        <is>
          <t>☆</t>
        </is>
      </c>
      <c r="BR4" t="inlineStr">
        <is>
          <t>☆</t>
        </is>
      </c>
      <c r="BS4"/>
      <c r="BT4" t="inlineStr">
        <is>
          <t>#VALUE!</t>
        </is>
      </c>
    </row>
    <row r="5" ht="25.5" customHeight="1">
      <c r="A5" t="inlineStr">
        <is>
          <t>IT</t>
        </is>
      </c>
      <c r="B5" t="inlineStr">
        <is>
          <t>R0001EU</t>
        </is>
      </c>
      <c r="C5"/>
      <c r="D5"/>
      <c r="E5"/>
      <c r="F5">
        <v>20.99</v>
      </c>
      <c r="G5">
        <v>29.99</v>
      </c>
      <c r="H5"/>
      <c r="I5"/>
      <c r="J5">
        <v>20.99</v>
      </c>
      <c r="K5">
        <v>29.99</v>
      </c>
      <c r="L5"/>
      <c r="M5"/>
      <c r="N5"/>
      <c r="O5"/>
      <c r="P5"/>
      <c r="Q5"/>
      <c r="R5"/>
      <c r="S5">
        <v>16</v>
      </c>
      <c r="T5">
        <v>7.4</v>
      </c>
      <c r="U5">
        <v>0.05</v>
      </c>
      <c r="V5">
        <v>0.1</v>
      </c>
      <c r="W5">
        <v>0.01</v>
      </c>
      <c r="X5"/>
      <c r="Y5"/>
      <c r="Z5">
        <v>0.1846</v>
      </c>
      <c r="AA5"/>
      <c r="AB5"/>
      <c r="AC5"/>
      <c r="AD5"/>
      <c r="AE5">
        <v>61</v>
      </c>
      <c r="AF5"/>
      <c r="AG5">
        <v>8.8</v>
      </c>
      <c r="AH5"/>
      <c r="AI5"/>
      <c r="AJ5">
        <v>8.8</v>
      </c>
      <c r="AK5"/>
      <c r="AL5"/>
      <c r="AM5"/>
      <c r="AN5"/>
      <c r="AO5"/>
      <c r="AP5"/>
      <c r="AQ5"/>
      <c r="AR5"/>
      <c r="AS5"/>
      <c r="AT5"/>
      <c r="AU5" t="inlineStr">
        <is>
          <t>☆</t>
        </is>
      </c>
      <c r="AV5" t="inlineStr">
        <is>
          <t>☆</t>
        </is>
      </c>
      <c r="AW5" t="inlineStr">
        <is>
          <t>☆</t>
        </is>
      </c>
      <c r="AX5" t="inlineStr">
        <is>
          <t>☆</t>
        </is>
      </c>
      <c r="AY5" t="inlineStr">
        <is>
          <t>☆</t>
        </is>
      </c>
      <c r="AZ5" t="inlineStr">
        <is>
          <t>☆</t>
        </is>
      </c>
      <c r="BA5" t="inlineStr">
        <is>
          <t>☆</t>
        </is>
      </c>
      <c r="BB5" t="inlineStr">
        <is>
          <t>☆</t>
        </is>
      </c>
      <c r="BC5" t="inlineStr">
        <is>
          <t>☆</t>
        </is>
      </c>
      <c r="BD5" t="inlineStr">
        <is>
          <t>☆</t>
        </is>
      </c>
      <c r="BE5" t="inlineStr">
        <is>
          <t>☆</t>
        </is>
      </c>
      <c r="BF5" t="inlineStr">
        <is>
          <t>☆</t>
        </is>
      </c>
      <c r="BG5" t="inlineStr">
        <is>
          <t>☆</t>
        </is>
      </c>
      <c r="BH5" t="inlineStr">
        <is>
          <t>☆</t>
        </is>
      </c>
      <c r="BI5" t="inlineStr">
        <is>
          <t>☆</t>
        </is>
      </c>
      <c r="BJ5" t="inlineStr">
        <is>
          <t>☆</t>
        </is>
      </c>
      <c r="BK5" t="inlineStr">
        <is>
          <t>☆</t>
        </is>
      </c>
      <c r="BL5" t="inlineStr">
        <is>
          <t>☆</t>
        </is>
      </c>
      <c r="BM5" t="inlineStr">
        <is>
          <t>☆</t>
        </is>
      </c>
      <c r="BN5" t="inlineStr">
        <is>
          <t>☆</t>
        </is>
      </c>
      <c r="BO5" t="inlineStr">
        <is>
          <t>☆</t>
        </is>
      </c>
      <c r="BP5" t="inlineStr">
        <is>
          <t>☆</t>
        </is>
      </c>
      <c r="BQ5" t="inlineStr">
        <is>
          <t>☆</t>
        </is>
      </c>
      <c r="BR5" t="inlineStr">
        <is>
          <t>☆</t>
        </is>
      </c>
      <c r="BS5"/>
      <c r="BT5" t="inlineStr">
        <is>
          <t>#VALUE!</t>
        </is>
      </c>
    </row>
    <row r="6" ht="25.5" customHeight="1">
      <c r="A6" t="inlineStr">
        <is>
          <t>ES</t>
        </is>
      </c>
      <c r="B6" t="inlineStr">
        <is>
          <t>R0001EU</t>
        </is>
      </c>
      <c r="C6"/>
      <c r="D6"/>
      <c r="E6"/>
      <c r="F6">
        <v>20.99</v>
      </c>
      <c r="G6">
        <v>29.99</v>
      </c>
      <c r="H6"/>
      <c r="I6"/>
      <c r="J6">
        <v>20.99</v>
      </c>
      <c r="K6">
        <v>29.99</v>
      </c>
      <c r="L6"/>
      <c r="M6"/>
      <c r="N6"/>
      <c r="O6"/>
      <c r="P6"/>
      <c r="Q6"/>
      <c r="R6"/>
      <c r="S6">
        <v>16</v>
      </c>
      <c r="T6">
        <v>7.4</v>
      </c>
      <c r="U6">
        <v>0.05</v>
      </c>
      <c r="V6">
        <v>0.1</v>
      </c>
      <c r="W6">
        <v>0.01</v>
      </c>
      <c r="X6"/>
      <c r="Y6"/>
      <c r="Z6">
        <v>0.1646</v>
      </c>
      <c r="AA6"/>
      <c r="AB6"/>
      <c r="AC6"/>
      <c r="AD6"/>
      <c r="AE6">
        <v>61</v>
      </c>
      <c r="AF6"/>
      <c r="AG6">
        <v>8.8</v>
      </c>
      <c r="AH6"/>
      <c r="AI6"/>
      <c r="AJ6">
        <v>8.8</v>
      </c>
      <c r="AK6"/>
      <c r="AL6"/>
      <c r="AM6"/>
      <c r="AN6"/>
      <c r="AO6"/>
      <c r="AP6"/>
      <c r="AQ6"/>
      <c r="AR6"/>
      <c r="AS6"/>
      <c r="AT6"/>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t="inlineStr">
        <is>
          <t>☆</t>
        </is>
      </c>
      <c r="BS6"/>
      <c r="BT6" t="inlineStr">
        <is>
          <t>#VALUE!</t>
        </is>
      </c>
    </row>
    <row r="7" ht="25.5" customHeight="1">
      <c r="A7" t="inlineStr">
        <is>
          <t>NL</t>
        </is>
      </c>
      <c r="B7" t="inlineStr">
        <is>
          <t>R0001EU</t>
        </is>
      </c>
      <c r="C7"/>
      <c r="D7"/>
      <c r="E7"/>
      <c r="F7">
        <v>48</v>
      </c>
      <c r="G7">
        <v>66.99</v>
      </c>
      <c r="H7"/>
      <c r="I7"/>
      <c r="J7">
        <v>22</v>
      </c>
      <c r="K7">
        <v>35</v>
      </c>
      <c r="L7"/>
      <c r="M7"/>
      <c r="N7"/>
      <c r="O7"/>
      <c r="P7"/>
      <c r="Q7"/>
      <c r="R7"/>
      <c r="S7">
        <v>16</v>
      </c>
      <c r="T7">
        <v>7.4</v>
      </c>
      <c r="U7">
        <v>0.05</v>
      </c>
      <c r="V7">
        <v>0.1</v>
      </c>
      <c r="W7">
        <v>0.01</v>
      </c>
      <c r="X7"/>
      <c r="Y7"/>
      <c r="Z7">
        <v>0.158</v>
      </c>
      <c r="AA7"/>
      <c r="AB7"/>
      <c r="AC7"/>
      <c r="AD7"/>
      <c r="AE7">
        <v>61</v>
      </c>
      <c r="AF7"/>
      <c r="AG7">
        <v>8.8</v>
      </c>
      <c r="AH7"/>
      <c r="AI7"/>
      <c r="AJ7">
        <v>8.8</v>
      </c>
      <c r="AK7"/>
      <c r="AL7"/>
      <c r="AM7"/>
      <c r="AN7"/>
      <c r="AO7"/>
      <c r="AP7"/>
      <c r="AQ7"/>
      <c r="AR7"/>
      <c r="AS7"/>
      <c r="AT7"/>
      <c r="AU7" t="inlineStr">
        <is>
          <t>☆</t>
        </is>
      </c>
      <c r="AV7" t="inlineStr">
        <is>
          <t>☆</t>
        </is>
      </c>
      <c r="AW7" t="inlineStr">
        <is>
          <t>☆</t>
        </is>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t>
        </is>
      </c>
      <c r="BJ7" t="inlineStr">
        <is>
          <t>☆</t>
        </is>
      </c>
      <c r="BK7" t="inlineStr">
        <is>
          <t>☆</t>
        </is>
      </c>
      <c r="BL7" t="inlineStr">
        <is>
          <t>☆</t>
        </is>
      </c>
      <c r="BM7" t="inlineStr">
        <is>
          <t>☆</t>
        </is>
      </c>
      <c r="BN7" t="inlineStr">
        <is>
          <t>☆</t>
        </is>
      </c>
      <c r="BO7" t="inlineStr">
        <is>
          <t>☆</t>
        </is>
      </c>
      <c r="BP7" t="inlineStr">
        <is>
          <t>☆</t>
        </is>
      </c>
      <c r="BQ7" t="inlineStr">
        <is>
          <t>☆</t>
        </is>
      </c>
      <c r="BR7" t="inlineStr">
        <is>
          <t>☆</t>
        </is>
      </c>
      <c r="BS7"/>
      <c r="BT7" t="inlineStr">
        <is>
          <t>#VALUE!</t>
        </is>
      </c>
    </row>
    <row r="8" ht="25.5" customHeight="1">
      <c r="A8" t="inlineStr">
        <is>
          <t>PL</t>
        </is>
      </c>
      <c r="B8" t="inlineStr">
        <is>
          <t>R0001EU</t>
        </is>
      </c>
      <c r="C8"/>
      <c r="D8"/>
      <c r="E8"/>
      <c r="F8">
        <v>209.99</v>
      </c>
      <c r="G8">
        <v>329</v>
      </c>
      <c r="H8"/>
      <c r="I8"/>
      <c r="J8">
        <v>99</v>
      </c>
      <c r="K8">
        <v>168</v>
      </c>
      <c r="L8"/>
      <c r="M8"/>
      <c r="N8"/>
      <c r="O8"/>
      <c r="P8"/>
      <c r="Q8"/>
      <c r="R8"/>
      <c r="S8">
        <v>16</v>
      </c>
      <c r="T8">
        <v>1.6</v>
      </c>
      <c r="U8">
        <v>0.05</v>
      </c>
      <c r="V8">
        <v>0.1</v>
      </c>
      <c r="W8">
        <v>0.01</v>
      </c>
      <c r="X8"/>
      <c r="Y8"/>
      <c r="Z8">
        <v>0.158</v>
      </c>
      <c r="AA8"/>
      <c r="AB8"/>
      <c r="AC8"/>
      <c r="AD8"/>
      <c r="AE8">
        <v>61</v>
      </c>
      <c r="AF8"/>
      <c r="AG8">
        <v>8.8</v>
      </c>
      <c r="AH8"/>
      <c r="AI8"/>
      <c r="AJ8">
        <v>8.8</v>
      </c>
      <c r="AK8"/>
      <c r="AL8"/>
      <c r="AM8"/>
      <c r="AN8"/>
      <c r="AO8"/>
      <c r="AP8"/>
      <c r="AQ8"/>
      <c r="AR8"/>
      <c r="AS8"/>
      <c r="AT8"/>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t="inlineStr">
        <is>
          <t>☆</t>
        </is>
      </c>
      <c r="BS8"/>
      <c r="BT8" t="inlineStr">
        <is>
          <t>#VALUE!</t>
        </is>
      </c>
    </row>
    <row r="9" ht="25.5" customHeight="1">
      <c r="A9" t="inlineStr">
        <is>
          <t>SE</t>
        </is>
      </c>
      <c r="B9" t="inlineStr">
        <is>
          <t>R0001EU</t>
        </is>
      </c>
      <c r="C9"/>
      <c r="D9"/>
      <c r="E9"/>
      <c r="F9">
        <v>474.5115</v>
      </c>
      <c r="G9">
        <v>720.76</v>
      </c>
      <c r="H9"/>
      <c r="I9"/>
      <c r="J9">
        <v>270</v>
      </c>
      <c r="K9">
        <v>538</v>
      </c>
      <c r="L9"/>
      <c r="M9"/>
      <c r="N9"/>
      <c r="O9"/>
      <c r="P9"/>
      <c r="Q9"/>
      <c r="R9"/>
      <c r="S9">
        <v>16</v>
      </c>
      <c r="T9">
        <v>0.6</v>
      </c>
      <c r="U9">
        <v>0.05</v>
      </c>
      <c r="V9">
        <v>0.1</v>
      </c>
      <c r="W9">
        <v>0.01</v>
      </c>
      <c r="X9"/>
      <c r="Y9"/>
      <c r="Z9">
        <v>0.223</v>
      </c>
      <c r="AA9"/>
      <c r="AB9"/>
      <c r="AC9"/>
      <c r="AD9"/>
      <c r="AE9">
        <v>61</v>
      </c>
      <c r="AF9"/>
      <c r="AG9">
        <v>8.8</v>
      </c>
      <c r="AH9"/>
      <c r="AI9"/>
      <c r="AJ9">
        <v>8.8</v>
      </c>
      <c r="AK9"/>
      <c r="AL9"/>
      <c r="AM9"/>
      <c r="AN9"/>
      <c r="AO9"/>
      <c r="AP9"/>
      <c r="AQ9"/>
      <c r="AR9"/>
      <c r="AS9"/>
      <c r="AT9"/>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c r="BT9" t="inlineStr">
        <is>
          <t>#VALUE!</t>
        </is>
      </c>
    </row>
    <row r="10" ht="25.5" customHeight="1">
      <c r="A10" t="inlineStr">
        <is>
          <t>BE</t>
        </is>
      </c>
      <c r="B10" t="inlineStr">
        <is>
          <t>R0001EU</t>
        </is>
      </c>
      <c r="C10"/>
      <c r="D10"/>
      <c r="E10"/>
      <c r="F10"/>
      <c r="G10">
        <v>32.989</v>
      </c>
      <c r="H10"/>
      <c r="I10"/>
      <c r="J10">
        <v>23.09</v>
      </c>
      <c r="K10">
        <v>32.989</v>
      </c>
      <c r="L10"/>
      <c r="M10"/>
      <c r="N10"/>
      <c r="O10"/>
      <c r="P10"/>
      <c r="Q10"/>
      <c r="R10"/>
      <c r="S10">
        <v>16</v>
      </c>
      <c r="T10">
        <v>7.4</v>
      </c>
      <c r="U10">
        <v>0.06</v>
      </c>
      <c r="V10">
        <v>0.1</v>
      </c>
      <c r="W10">
        <v>0.01</v>
      </c>
      <c r="X10"/>
      <c r="Y10"/>
      <c r="Z10">
        <v>0.158</v>
      </c>
      <c r="AA10"/>
      <c r="AB10"/>
      <c r="AC10"/>
      <c r="AD10"/>
      <c r="AE10">
        <v>61</v>
      </c>
      <c r="AF10"/>
      <c r="AG10">
        <v>8.8</v>
      </c>
      <c r="AH10"/>
      <c r="AI10"/>
      <c r="AJ10">
        <v>8.8</v>
      </c>
      <c r="AK10"/>
      <c r="AL10"/>
      <c r="AM10"/>
      <c r="AN10"/>
      <c r="AO10"/>
      <c r="AP10"/>
      <c r="AQ10"/>
      <c r="AR10"/>
      <c r="AS10"/>
      <c r="AT10"/>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c r="BT10" t="inlineStr">
        <is>
          <t>#VALUE!</t>
        </is>
      </c>
    </row>
    <row r="11" ht="25.5" customHeight="1">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row>
    <row r="12" ht="25.5" customHeight="1">
      <c r="A12" t="inlineStr">
        <is>
          <t>UK</t>
        </is>
      </c>
      <c r="B12" t="inlineStr">
        <is>
          <t>Z0002UK</t>
        </is>
      </c>
      <c r="C12"/>
      <c r="D12"/>
      <c r="E12"/>
      <c r="F12"/>
      <c r="G12">
        <v>32.989</v>
      </c>
      <c r="H12"/>
      <c r="I12"/>
      <c r="J12">
        <v>23.09</v>
      </c>
      <c r="K12">
        <v>32.989</v>
      </c>
      <c r="L12"/>
      <c r="M12"/>
      <c r="N12"/>
      <c r="O12"/>
      <c r="P12"/>
      <c r="Q12"/>
      <c r="R12"/>
      <c r="S12">
        <v>16</v>
      </c>
      <c r="T12">
        <v>7.4</v>
      </c>
      <c r="U12">
        <v>0.06</v>
      </c>
      <c r="V12">
        <v>0.1</v>
      </c>
      <c r="W12">
        <v>0.01</v>
      </c>
      <c r="X12"/>
      <c r="Y12"/>
      <c r="Z12">
        <v>0.158</v>
      </c>
      <c r="AA12"/>
      <c r="AB12"/>
      <c r="AC12"/>
      <c r="AD12"/>
      <c r="AE12">
        <v>61</v>
      </c>
      <c r="AF12"/>
      <c r="AG12">
        <v>8.8</v>
      </c>
      <c r="AH12"/>
      <c r="AI12"/>
      <c r="AJ12">
        <v>8.8</v>
      </c>
      <c r="AK12"/>
      <c r="AL12"/>
      <c r="AM12"/>
      <c r="AN12"/>
      <c r="AO12"/>
      <c r="AP12"/>
      <c r="AQ12"/>
      <c r="AR12"/>
      <c r="AS12"/>
      <c r="AT12"/>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t="inlineStr">
        <is>
          <t>☆</t>
        </is>
      </c>
      <c r="BS12"/>
      <c r="BT12" t="inlineStr">
        <is>
          <t>#VALUE!</t>
        </is>
      </c>
    </row>
    <row r="13" ht="25.5" customHeight="1">
      <c r="A13" t="inlineStr">
        <is>
          <t>DE</t>
        </is>
      </c>
      <c r="B13" t="inlineStr">
        <is>
          <t>Z0002EU</t>
        </is>
      </c>
      <c r="C13"/>
      <c r="D13"/>
      <c r="E13"/>
      <c r="F13"/>
      <c r="G13">
        <v>32.989</v>
      </c>
      <c r="H13"/>
      <c r="I13"/>
      <c r="J13">
        <v>23.09</v>
      </c>
      <c r="K13">
        <v>32.989</v>
      </c>
      <c r="L13"/>
      <c r="M13"/>
      <c r="N13"/>
      <c r="O13"/>
      <c r="P13"/>
      <c r="Q13"/>
      <c r="R13"/>
      <c r="S13">
        <v>16</v>
      </c>
      <c r="T13">
        <v>7.4</v>
      </c>
      <c r="U13">
        <v>0.06</v>
      </c>
      <c r="V13">
        <v>0.1</v>
      </c>
      <c r="W13">
        <v>0.01</v>
      </c>
      <c r="X13"/>
      <c r="Y13"/>
      <c r="Z13">
        <v>0.158</v>
      </c>
      <c r="AA13"/>
      <c r="AB13"/>
      <c r="AC13"/>
      <c r="AD13"/>
      <c r="AE13">
        <v>61</v>
      </c>
      <c r="AF13"/>
      <c r="AG13">
        <v>8.8</v>
      </c>
      <c r="AH13"/>
      <c r="AI13"/>
      <c r="AJ13">
        <v>8.8</v>
      </c>
      <c r="AK13"/>
      <c r="AL13"/>
      <c r="AM13"/>
      <c r="AN13"/>
      <c r="AO13"/>
      <c r="AP13"/>
      <c r="AQ13"/>
      <c r="AR13"/>
      <c r="AS13"/>
      <c r="AT13"/>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t="inlineStr">
        <is>
          <t>☆</t>
        </is>
      </c>
      <c r="BS13"/>
      <c r="BT13" t="inlineStr">
        <is>
          <t>#VALUE!</t>
        </is>
      </c>
    </row>
    <row r="14" ht="25.5" customHeight="1">
      <c r="A14" t="inlineStr">
        <is>
          <t>FR</t>
        </is>
      </c>
      <c r="B14" t="inlineStr">
        <is>
          <t>Z0002EU</t>
        </is>
      </c>
      <c r="C14"/>
      <c r="D14"/>
      <c r="E14"/>
      <c r="F14"/>
      <c r="G14">
        <v>32.989</v>
      </c>
      <c r="H14"/>
      <c r="I14"/>
      <c r="J14">
        <v>23.09</v>
      </c>
      <c r="K14">
        <v>32.989</v>
      </c>
      <c r="L14"/>
      <c r="M14"/>
      <c r="N14"/>
      <c r="O14"/>
      <c r="P14"/>
      <c r="Q14"/>
      <c r="R14"/>
      <c r="S14">
        <v>16</v>
      </c>
      <c r="T14">
        <v>7.4</v>
      </c>
      <c r="U14">
        <v>0.06</v>
      </c>
      <c r="V14">
        <v>0.1</v>
      </c>
      <c r="W14">
        <v>0.01</v>
      </c>
      <c r="X14"/>
      <c r="Y14"/>
      <c r="Z14">
        <v>0.158</v>
      </c>
      <c r="AA14"/>
      <c r="AB14"/>
      <c r="AC14"/>
      <c r="AD14"/>
      <c r="AE14">
        <v>61</v>
      </c>
      <c r="AF14"/>
      <c r="AG14">
        <v>8.8</v>
      </c>
      <c r="AH14"/>
      <c r="AI14"/>
      <c r="AJ14">
        <v>8.8</v>
      </c>
      <c r="AK14"/>
      <c r="AL14"/>
      <c r="AM14"/>
      <c r="AN14"/>
      <c r="AO14"/>
      <c r="AP14"/>
      <c r="AQ14"/>
      <c r="AR14"/>
      <c r="AS14"/>
      <c r="AT14"/>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t>
        </is>
      </c>
      <c r="BJ14" t="inlineStr">
        <is>
          <t>☆</t>
        </is>
      </c>
      <c r="BK14" t="inlineStr">
        <is>
          <t>☆</t>
        </is>
      </c>
      <c r="BL14" t="inlineStr">
        <is>
          <t>☆</t>
        </is>
      </c>
      <c r="BM14" t="inlineStr">
        <is>
          <t>☆</t>
        </is>
      </c>
      <c r="BN14" t="inlineStr">
        <is>
          <t>☆</t>
        </is>
      </c>
      <c r="BO14" t="inlineStr">
        <is>
          <t>☆</t>
        </is>
      </c>
      <c r="BP14" t="inlineStr">
        <is>
          <t>☆</t>
        </is>
      </c>
      <c r="BQ14" t="inlineStr">
        <is>
          <t>☆</t>
        </is>
      </c>
      <c r="BR14" t="inlineStr">
        <is>
          <t>☆</t>
        </is>
      </c>
      <c r="BS14"/>
      <c r="BT14" t="inlineStr">
        <is>
          <t>#VALUE!</t>
        </is>
      </c>
    </row>
    <row r="15" ht="25.5" customHeight="1">
      <c r="A15" t="inlineStr">
        <is>
          <t>IT</t>
        </is>
      </c>
      <c r="B15" t="inlineStr">
        <is>
          <t>Z0002EU</t>
        </is>
      </c>
      <c r="C15"/>
      <c r="D15"/>
      <c r="E15"/>
      <c r="F15"/>
      <c r="G15">
        <v>32.989</v>
      </c>
      <c r="H15"/>
      <c r="I15"/>
      <c r="J15">
        <v>23.09</v>
      </c>
      <c r="K15">
        <v>32.989</v>
      </c>
      <c r="L15"/>
      <c r="M15"/>
      <c r="N15"/>
      <c r="O15"/>
      <c r="P15"/>
      <c r="Q15"/>
      <c r="R15"/>
      <c r="S15">
        <v>16</v>
      </c>
      <c r="T15">
        <v>7.4</v>
      </c>
      <c r="U15">
        <v>0.06</v>
      </c>
      <c r="V15">
        <v>0.1</v>
      </c>
      <c r="W15">
        <v>0.01</v>
      </c>
      <c r="X15"/>
      <c r="Y15"/>
      <c r="Z15">
        <v>0.158</v>
      </c>
      <c r="AA15"/>
      <c r="AB15"/>
      <c r="AC15"/>
      <c r="AD15"/>
      <c r="AE15">
        <v>61</v>
      </c>
      <c r="AF15"/>
      <c r="AG15">
        <v>8.8</v>
      </c>
      <c r="AH15"/>
      <c r="AI15"/>
      <c r="AJ15">
        <v>8.8</v>
      </c>
      <c r="AK15"/>
      <c r="AL15"/>
      <c r="AM15"/>
      <c r="AN15"/>
      <c r="AO15"/>
      <c r="AP15"/>
      <c r="AQ15"/>
      <c r="AR15"/>
      <c r="AS15"/>
      <c r="AT15"/>
      <c r="AU15" t="inlineStr">
        <is>
          <t>☆</t>
        </is>
      </c>
      <c r="AV15" t="inlineStr">
        <is>
          <t>☆</t>
        </is>
      </c>
      <c r="AW15" t="inlineStr">
        <is>
          <t>☆</t>
        </is>
      </c>
      <c r="AX15" t="inlineStr">
        <is>
          <t>☆</t>
        </is>
      </c>
      <c r="AY15" t="inlineStr">
        <is>
          <t>☆</t>
        </is>
      </c>
      <c r="AZ15" t="inlineStr">
        <is>
          <t>☆</t>
        </is>
      </c>
      <c r="BA15" t="inlineStr">
        <is>
          <t>☆</t>
        </is>
      </c>
      <c r="BB15" t="inlineStr">
        <is>
          <t>☆</t>
        </is>
      </c>
      <c r="BC15" t="inlineStr">
        <is>
          <t>☆</t>
        </is>
      </c>
      <c r="BD15" t="inlineStr">
        <is>
          <t>☆</t>
        </is>
      </c>
      <c r="BE15" t="inlineStr">
        <is>
          <t>☆</t>
        </is>
      </c>
      <c r="BF15" t="inlineStr">
        <is>
          <t>☆</t>
        </is>
      </c>
      <c r="BG15" t="inlineStr">
        <is>
          <t>☆</t>
        </is>
      </c>
      <c r="BH15" t="inlineStr">
        <is>
          <t>☆</t>
        </is>
      </c>
      <c r="BI15" t="inlineStr">
        <is>
          <t>☆</t>
        </is>
      </c>
      <c r="BJ15" t="inlineStr">
        <is>
          <t>☆</t>
        </is>
      </c>
      <c r="BK15" t="inlineStr">
        <is>
          <t>☆</t>
        </is>
      </c>
      <c r="BL15" t="inlineStr">
        <is>
          <t>☆</t>
        </is>
      </c>
      <c r="BM15" t="inlineStr">
        <is>
          <t>☆</t>
        </is>
      </c>
      <c r="BN15" t="inlineStr">
        <is>
          <t>☆</t>
        </is>
      </c>
      <c r="BO15" t="inlineStr">
        <is>
          <t>☆</t>
        </is>
      </c>
      <c r="BP15" t="inlineStr">
        <is>
          <t>☆</t>
        </is>
      </c>
      <c r="BQ15" t="inlineStr">
        <is>
          <t>☆</t>
        </is>
      </c>
      <c r="BR15" t="inlineStr">
        <is>
          <t>☆</t>
        </is>
      </c>
      <c r="BS15"/>
      <c r="BT15" t="inlineStr">
        <is>
          <t>#VALUE!</t>
        </is>
      </c>
    </row>
    <row r="16" ht="25.5" customHeight="1">
      <c r="A16" t="inlineStr">
        <is>
          <t>ES</t>
        </is>
      </c>
      <c r="B16" t="inlineStr">
        <is>
          <t>Z0002EU</t>
        </is>
      </c>
      <c r="C16"/>
      <c r="D16"/>
      <c r="E16"/>
      <c r="F16"/>
      <c r="G16">
        <v>32.989</v>
      </c>
      <c r="H16"/>
      <c r="I16"/>
      <c r="J16">
        <v>23.09</v>
      </c>
      <c r="K16">
        <v>32.989</v>
      </c>
      <c r="L16"/>
      <c r="M16"/>
      <c r="N16"/>
      <c r="O16"/>
      <c r="P16"/>
      <c r="Q16"/>
      <c r="R16"/>
      <c r="S16">
        <v>16</v>
      </c>
      <c r="T16">
        <v>7.4</v>
      </c>
      <c r="U16">
        <v>0.06</v>
      </c>
      <c r="V16">
        <v>0.1</v>
      </c>
      <c r="W16">
        <v>0.01</v>
      </c>
      <c r="X16"/>
      <c r="Y16"/>
      <c r="Z16">
        <v>0.158</v>
      </c>
      <c r="AA16"/>
      <c r="AB16"/>
      <c r="AC16"/>
      <c r="AD16"/>
      <c r="AE16">
        <v>61</v>
      </c>
      <c r="AF16"/>
      <c r="AG16">
        <v>8.8</v>
      </c>
      <c r="AH16"/>
      <c r="AI16"/>
      <c r="AJ16">
        <v>8.8</v>
      </c>
      <c r="AK16"/>
      <c r="AL16"/>
      <c r="AM16"/>
      <c r="AN16"/>
      <c r="AO16"/>
      <c r="AP16"/>
      <c r="AQ16"/>
      <c r="AR16"/>
      <c r="AS16"/>
      <c r="AT16"/>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c r="BT16" t="inlineStr">
        <is>
          <t>#VALUE!</t>
        </is>
      </c>
    </row>
    <row r="17" ht="25.5" customHeight="1">
      <c r="A17" t="inlineStr">
        <is>
          <t>NL</t>
        </is>
      </c>
      <c r="B17" t="inlineStr">
        <is>
          <t>Z0002EU</t>
        </is>
      </c>
      <c r="C17"/>
      <c r="D17"/>
      <c r="E17"/>
      <c r="F17"/>
      <c r="G17">
        <v>32.989</v>
      </c>
      <c r="H17"/>
      <c r="I17"/>
      <c r="J17">
        <v>23.09</v>
      </c>
      <c r="K17">
        <v>32.989</v>
      </c>
      <c r="L17"/>
      <c r="M17"/>
      <c r="N17"/>
      <c r="O17"/>
      <c r="P17"/>
      <c r="Q17"/>
      <c r="R17"/>
      <c r="S17">
        <v>16</v>
      </c>
      <c r="T17">
        <v>7.4</v>
      </c>
      <c r="U17">
        <v>0.06</v>
      </c>
      <c r="V17">
        <v>0.1</v>
      </c>
      <c r="W17">
        <v>0.01</v>
      </c>
      <c r="X17"/>
      <c r="Y17"/>
      <c r="Z17">
        <v>0.158</v>
      </c>
      <c r="AA17"/>
      <c r="AB17"/>
      <c r="AC17"/>
      <c r="AD17"/>
      <c r="AE17">
        <v>61</v>
      </c>
      <c r="AF17"/>
      <c r="AG17">
        <v>8.8</v>
      </c>
      <c r="AH17"/>
      <c r="AI17"/>
      <c r="AJ17">
        <v>8.8</v>
      </c>
      <c r="AK17"/>
      <c r="AL17"/>
      <c r="AM17"/>
      <c r="AN17"/>
      <c r="AO17"/>
      <c r="AP17"/>
      <c r="AQ17"/>
      <c r="AR17"/>
      <c r="AS17"/>
      <c r="AT17"/>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t="inlineStr">
        <is>
          <t>☆</t>
        </is>
      </c>
      <c r="BS17"/>
      <c r="BT17" t="inlineStr">
        <is>
          <t>#VALUE!</t>
        </is>
      </c>
    </row>
    <row r="18" ht="25.5" customHeight="1">
      <c r="A18" t="inlineStr">
        <is>
          <t>PL</t>
        </is>
      </c>
      <c r="B18" t="inlineStr">
        <is>
          <t>Z0002EU</t>
        </is>
      </c>
      <c r="C18"/>
      <c r="D18"/>
      <c r="E18"/>
      <c r="F18"/>
      <c r="G18">
        <v>32.989</v>
      </c>
      <c r="H18"/>
      <c r="I18"/>
      <c r="J18">
        <v>23.09</v>
      </c>
      <c r="K18">
        <v>32.989</v>
      </c>
      <c r="L18"/>
      <c r="M18"/>
      <c r="N18"/>
      <c r="O18"/>
      <c r="P18"/>
      <c r="Q18"/>
      <c r="R18"/>
      <c r="S18">
        <v>16</v>
      </c>
      <c r="T18">
        <v>7.4</v>
      </c>
      <c r="U18">
        <v>0.06</v>
      </c>
      <c r="V18">
        <v>0.1</v>
      </c>
      <c r="W18">
        <v>0.01</v>
      </c>
      <c r="X18"/>
      <c r="Y18"/>
      <c r="Z18">
        <v>0.158</v>
      </c>
      <c r="AA18"/>
      <c r="AB18"/>
      <c r="AC18"/>
      <c r="AD18"/>
      <c r="AE18">
        <v>61</v>
      </c>
      <c r="AF18"/>
      <c r="AG18">
        <v>8.8</v>
      </c>
      <c r="AH18"/>
      <c r="AI18"/>
      <c r="AJ18">
        <v>8.8</v>
      </c>
      <c r="AK18"/>
      <c r="AL18"/>
      <c r="AM18"/>
      <c r="AN18"/>
      <c r="AO18"/>
      <c r="AP18"/>
      <c r="AQ18"/>
      <c r="AR18"/>
      <c r="AS18"/>
      <c r="AT18"/>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t="inlineStr">
        <is>
          <t>☆</t>
        </is>
      </c>
      <c r="BS18"/>
      <c r="BT18" t="inlineStr">
        <is>
          <t>#VALUE!</t>
        </is>
      </c>
    </row>
    <row r="19" ht="25.5" customHeight="1">
      <c r="A19" t="inlineStr">
        <is>
          <t>SE</t>
        </is>
      </c>
      <c r="B19" t="inlineStr">
        <is>
          <t>Z0002EU</t>
        </is>
      </c>
      <c r="C19"/>
      <c r="D19"/>
      <c r="E19"/>
      <c r="F19"/>
      <c r="G19">
        <v>32.989</v>
      </c>
      <c r="H19"/>
      <c r="I19"/>
      <c r="J19">
        <v>23.09</v>
      </c>
      <c r="K19">
        <v>32.989</v>
      </c>
      <c r="L19"/>
      <c r="M19"/>
      <c r="N19"/>
      <c r="O19"/>
      <c r="P19"/>
      <c r="Q19"/>
      <c r="R19"/>
      <c r="S19">
        <v>16</v>
      </c>
      <c r="T19">
        <v>7.4</v>
      </c>
      <c r="U19">
        <v>0.06</v>
      </c>
      <c r="V19">
        <v>0.1</v>
      </c>
      <c r="W19">
        <v>0.01</v>
      </c>
      <c r="X19"/>
      <c r="Y19"/>
      <c r="Z19">
        <v>0.158</v>
      </c>
      <c r="AA19"/>
      <c r="AB19"/>
      <c r="AC19"/>
      <c r="AD19"/>
      <c r="AE19">
        <v>61</v>
      </c>
      <c r="AF19"/>
      <c r="AG19">
        <v>8.8</v>
      </c>
      <c r="AH19"/>
      <c r="AI19"/>
      <c r="AJ19">
        <v>8.8</v>
      </c>
      <c r="AK19"/>
      <c r="AL19"/>
      <c r="AM19"/>
      <c r="AN19"/>
      <c r="AO19"/>
      <c r="AP19"/>
      <c r="AQ19"/>
      <c r="AR19"/>
      <c r="AS19"/>
      <c r="AT19"/>
      <c r="AU19" t="inlineStr">
        <is>
          <t>☆</t>
        </is>
      </c>
      <c r="AV19" t="inlineStr">
        <is>
          <t>☆</t>
        </is>
      </c>
      <c r="AW19" t="inlineStr">
        <is>
          <t>☆</t>
        </is>
      </c>
      <c r="AX19" t="inlineStr">
        <is>
          <t>☆</t>
        </is>
      </c>
      <c r="AY19" t="inlineStr">
        <is>
          <t>☆</t>
        </is>
      </c>
      <c r="AZ19" t="inlineStr">
        <is>
          <t>☆</t>
        </is>
      </c>
      <c r="BA19" t="inlineStr">
        <is>
          <t>☆</t>
        </is>
      </c>
      <c r="BB19" t="inlineStr">
        <is>
          <t>☆</t>
        </is>
      </c>
      <c r="BC19" t="inlineStr">
        <is>
          <t>☆</t>
        </is>
      </c>
      <c r="BD19" t="inlineStr">
        <is>
          <t>☆</t>
        </is>
      </c>
      <c r="BE19" t="inlineStr">
        <is>
          <t>☆</t>
        </is>
      </c>
      <c r="BF19" t="inlineStr">
        <is>
          <t>☆</t>
        </is>
      </c>
      <c r="BG19" t="inlineStr">
        <is>
          <t>☆</t>
        </is>
      </c>
      <c r="BH19" t="inlineStr">
        <is>
          <t>☆</t>
        </is>
      </c>
      <c r="BI19" t="inlineStr">
        <is>
          <t>☆</t>
        </is>
      </c>
      <c r="BJ19" t="inlineStr">
        <is>
          <t>☆</t>
        </is>
      </c>
      <c r="BK19" t="inlineStr">
        <is>
          <t>☆</t>
        </is>
      </c>
      <c r="BL19" t="inlineStr">
        <is>
          <t>☆</t>
        </is>
      </c>
      <c r="BM19" t="inlineStr">
        <is>
          <t>☆</t>
        </is>
      </c>
      <c r="BN19" t="inlineStr">
        <is>
          <t>☆</t>
        </is>
      </c>
      <c r="BO19" t="inlineStr">
        <is>
          <t>☆</t>
        </is>
      </c>
      <c r="BP19" t="inlineStr">
        <is>
          <t>☆</t>
        </is>
      </c>
      <c r="BQ19" t="inlineStr">
        <is>
          <t>☆</t>
        </is>
      </c>
      <c r="BR19" t="inlineStr">
        <is>
          <t>☆</t>
        </is>
      </c>
      <c r="BS19"/>
      <c r="BT19" t="inlineStr">
        <is>
          <t>#VALUE!</t>
        </is>
      </c>
    </row>
    <row r="20" ht="25.5" customHeight="1">
      <c r="A20" t="inlineStr">
        <is>
          <t>BE</t>
        </is>
      </c>
      <c r="B20" t="inlineStr">
        <is>
          <t>Z0002EU</t>
        </is>
      </c>
      <c r="C20"/>
      <c r="D20"/>
      <c r="E20"/>
      <c r="F20"/>
      <c r="G20">
        <v>32.989</v>
      </c>
      <c r="H20"/>
      <c r="I20"/>
      <c r="J20">
        <v>23.09</v>
      </c>
      <c r="K20">
        <v>32.989</v>
      </c>
      <c r="L20"/>
      <c r="M20"/>
      <c r="N20"/>
      <c r="O20"/>
      <c r="P20"/>
      <c r="Q20"/>
      <c r="R20"/>
      <c r="S20">
        <v>16</v>
      </c>
      <c r="T20">
        <v>7.4</v>
      </c>
      <c r="U20">
        <v>0.06</v>
      </c>
      <c r="V20">
        <v>0.1</v>
      </c>
      <c r="W20">
        <v>0.01</v>
      </c>
      <c r="X20"/>
      <c r="Y20"/>
      <c r="Z20">
        <v>0.158</v>
      </c>
      <c r="AA20"/>
      <c r="AB20"/>
      <c r="AC20"/>
      <c r="AD20"/>
      <c r="AE20">
        <v>61</v>
      </c>
      <c r="AF20"/>
      <c r="AG20">
        <v>8.8</v>
      </c>
      <c r="AH20"/>
      <c r="AI20"/>
      <c r="AJ20">
        <v>8.8</v>
      </c>
      <c r="AK20"/>
      <c r="AL20"/>
      <c r="AM20"/>
      <c r="AN20"/>
      <c r="AO20"/>
      <c r="AP20"/>
      <c r="AQ20"/>
      <c r="AR20"/>
      <c r="AS20"/>
      <c r="AT20"/>
      <c r="AU20" t="inlineStr">
        <is>
          <t>☆</t>
        </is>
      </c>
      <c r="AV20" t="inlineStr">
        <is>
          <t>☆</t>
        </is>
      </c>
      <c r="AW20" t="inlineStr">
        <is>
          <t>☆</t>
        </is>
      </c>
      <c r="AX20" t="inlineStr">
        <is>
          <t>☆</t>
        </is>
      </c>
      <c r="AY20" t="inlineStr">
        <is>
          <t>☆</t>
        </is>
      </c>
      <c r="AZ20" t="inlineStr">
        <is>
          <t>☆</t>
        </is>
      </c>
      <c r="BA20" t="inlineStr">
        <is>
          <t>☆</t>
        </is>
      </c>
      <c r="BB20" t="inlineStr">
        <is>
          <t>☆</t>
        </is>
      </c>
      <c r="BC20" t="inlineStr">
        <is>
          <t>☆</t>
        </is>
      </c>
      <c r="BD20" t="inlineStr">
        <is>
          <t>☆</t>
        </is>
      </c>
      <c r="BE20" t="inlineStr">
        <is>
          <t>☆</t>
        </is>
      </c>
      <c r="BF20" t="inlineStr">
        <is>
          <t>☆</t>
        </is>
      </c>
      <c r="BG20" t="inlineStr">
        <is>
          <t>☆</t>
        </is>
      </c>
      <c r="BH20" t="inlineStr">
        <is>
          <t>☆</t>
        </is>
      </c>
      <c r="BI20" t="inlineStr">
        <is>
          <t>☆</t>
        </is>
      </c>
      <c r="BJ20" t="inlineStr">
        <is>
          <t>☆</t>
        </is>
      </c>
      <c r="BK20" t="inlineStr">
        <is>
          <t>☆</t>
        </is>
      </c>
      <c r="BL20" t="inlineStr">
        <is>
          <t>☆</t>
        </is>
      </c>
      <c r="BM20" t="inlineStr">
        <is>
          <t>☆</t>
        </is>
      </c>
      <c r="BN20" t="inlineStr">
        <is>
          <t>☆</t>
        </is>
      </c>
      <c r="BO20" t="inlineStr">
        <is>
          <t>☆</t>
        </is>
      </c>
      <c r="BP20" t="inlineStr">
        <is>
          <t>☆</t>
        </is>
      </c>
      <c r="BQ20" t="inlineStr">
        <is>
          <t>☆</t>
        </is>
      </c>
      <c r="BR20" t="inlineStr">
        <is>
          <t>☆</t>
        </is>
      </c>
      <c r="BS20"/>
      <c r="BT20" t="inlineStr">
        <is>
          <t>#VALUE!</t>
        </is>
      </c>
    </row>
  </sheetData>
  <dataValidations count="2">
    <dataValidation allowBlank="false" sqref="B2:B19" type="list">
      <formula1>"R0001UK,R0001EU,Z0002UK,Z0002EU"</formula1>
    </dataValidation>
    <dataValidation allowBlank="false" sqref="C2:C19" type="list">
      <formula1>"B0F1F535PC,B0F1F7J8V3,B0F1TWR4BJ,B0F1TQRVJK"</formula1>
    </dataValidation>
  </dataValidations>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s>
  <sheetData>
    <row r="1" ht="13" customHeight="1">
      <c r="A1" s="1" t="inlineStr">
        <is>
          <t>渠道</t>
        </is>
      </c>
      <c r="B1" s="1" t="inlineStr">
        <is>
          <t>渠道SKU</t>
        </is>
      </c>
      <c r="C1" s="1" t="inlineStr">
        <is>
          <t>供货价</t>
        </is>
      </c>
      <c r="D1" s="1" t="inlineStr">
        <is>
          <t>出库费</t>
        </is>
      </c>
      <c r="E1" s="1" t="inlineStr">
        <is>
          <t>ASIN</t>
        </is>
      </c>
      <c r="F1" s="1" t="inlineStr">
        <is>
          <t>SKU</t>
        </is>
      </c>
      <c r="G1" s="1" t="inlineStr">
        <is>
          <t>产品名称</t>
        </is>
      </c>
      <c r="H1" s="1" t="inlineStr">
        <is>
          <t>品牌</t>
        </is>
      </c>
      <c r="I1" s="1" t="inlineStr">
        <is>
          <t>供应商代码</t>
        </is>
      </c>
      <c r="J1" s="1" t="inlineStr">
        <is>
          <t>DF cost price</t>
        </is>
      </c>
      <c r="K1" s="1" t="inlineStr">
        <is>
          <t>建议售价
亚马逊售价-外币</t>
        </is>
      </c>
      <c r="L1" s="1" t="inlineStr">
        <is>
          <t>毛利
外币</t>
        </is>
      </c>
      <c r="M1" s="1" t="inlineStr">
        <is>
          <t>毛利率</t>
        </is>
      </c>
      <c r="N1" s="1" t="inlineStr">
        <is>
          <t>Profit Margin (%)</t>
        </is>
      </c>
      <c r="O1" s="1" t="inlineStr">
        <is>
          <t>Net
PPM</t>
        </is>
      </c>
      <c r="P1" s="1" t="inlineStr">
        <is>
          <t>亚马逊毛利
外币</t>
        </is>
      </c>
      <c r="Q1" s="1" t="inlineStr">
        <is>
          <t>成本</t>
        </is>
      </c>
      <c r="R1" s="1" t="inlineStr">
        <is>
          <t>广告占比</t>
        </is>
      </c>
      <c r="S1" s="1" t="inlineStr">
        <is>
          <t>促销占比</t>
        </is>
      </c>
      <c r="T1" s="1" t="inlineStr">
        <is>
          <t>其他占比</t>
        </is>
      </c>
      <c r="U1" s="1" t="inlineStr">
        <is>
          <t>成本占比</t>
        </is>
      </c>
      <c r="V1" s="1" t="inlineStr">
        <is>
          <t>佣金占比</t>
        </is>
      </c>
      <c r="W1" s="1" t="inlineStr">
        <is>
          <t>广告
外币</t>
        </is>
      </c>
      <c r="X1" s="1" t="inlineStr">
        <is>
          <t>促销
外币</t>
        </is>
      </c>
      <c r="Y1" s="1" t="inlineStr">
        <is>
          <t>其它
外币</t>
        </is>
      </c>
      <c r="Z1" s="1" t="inlineStr">
        <is>
          <t>佣金
外币</t>
        </is>
      </c>
      <c r="AA1" s="1" t="inlineStr">
        <is>
          <t>海外仓库存</t>
        </is>
      </c>
      <c r="AB1" s="1" t="inlineStr">
        <is>
          <t>VC前台库存</t>
        </is>
      </c>
    </row>
    <row r="2" ht="25.5" customHeight="1">
      <c r="A2" t="inlineStr">
        <is>
          <t>大健云仓</t>
        </is>
      </c>
      <c r="B2" t="inlineStr">
        <is>
          <t>W2938P336074</t>
        </is>
      </c>
      <c r="C2">
        <v>180</v>
      </c>
      <c r="D2">
        <v>7.94</v>
      </c>
      <c r="E2" t="inlineStr">
        <is>
          <t>暂停</t>
        </is>
      </c>
      <c r="F2" t="inlineStr">
        <is>
          <t>R2938P336074</t>
        </is>
      </c>
      <c r="G2" t="inlineStr">
        <is>
          <t>4头烤炉</t>
        </is>
      </c>
      <c r="H2"/>
      <c r="I2" t="inlineStr">
        <is>
          <t>ZOKK6</t>
        </is>
      </c>
      <c r="J2">
        <v>290</v>
      </c>
      <c r="K2">
        <v>399</v>
      </c>
      <c r="L2">
        <v>-10.34</v>
      </c>
      <c r="M2"/>
      <c r="N2"/>
      <c r="O2"/>
      <c r="P2"/>
      <c r="Q2"/>
      <c r="R2">
        <v>0.1</v>
      </c>
      <c r="S2">
        <v>0.1</v>
      </c>
      <c r="T2">
        <v>0.01</v>
      </c>
      <c r="U2"/>
      <c r="V2">
        <v>0.14</v>
      </c>
      <c r="W2"/>
      <c r="X2"/>
      <c r="Y2"/>
      <c r="Z2"/>
      <c r="AA2"/>
      <c r="AB2"/>
    </row>
    <row r="3" ht="25.5" customHeight="1">
      <c r="A3" t="inlineStr">
        <is>
          <t>大健云仓</t>
        </is>
      </c>
      <c r="B3" t="inlineStr">
        <is>
          <t>W2938P336104</t>
        </is>
      </c>
      <c r="C3">
        <v>100</v>
      </c>
      <c r="D3">
        <v>4.19</v>
      </c>
      <c r="E3" t="inlineStr">
        <is>
          <t>暂停</t>
        </is>
      </c>
      <c r="F3" t="inlineStr">
        <is>
          <t>R2938P336104</t>
        </is>
      </c>
      <c r="G3" t="inlineStr">
        <is>
          <t>3头烤炉</t>
        </is>
      </c>
      <c r="H3"/>
      <c r="I3" t="inlineStr">
        <is>
          <t>ZOKK6</t>
        </is>
      </c>
      <c r="J3">
        <v>170</v>
      </c>
      <c r="K3">
        <v>239</v>
      </c>
      <c r="L3">
        <v>-0.59</v>
      </c>
      <c r="M3"/>
      <c r="N3"/>
      <c r="O3"/>
      <c r="P3"/>
      <c r="Q3"/>
      <c r="R3">
        <v>0.1</v>
      </c>
      <c r="S3">
        <v>0.1</v>
      </c>
      <c r="T3">
        <v>0.01</v>
      </c>
      <c r="U3"/>
      <c r="V3">
        <v>0.14</v>
      </c>
      <c r="W3"/>
      <c r="X3"/>
      <c r="Y3"/>
      <c r="Z3"/>
      <c r="AA3"/>
      <c r="AB3"/>
    </row>
    <row r="4" ht="25.5" customHeight="1">
      <c r="A4" t="inlineStr">
        <is>
          <t>大健云仓</t>
        </is>
      </c>
      <c r="B4" t="inlineStr">
        <is>
          <t>W2938P332357</t>
        </is>
      </c>
      <c r="C4">
        <v>251.12</v>
      </c>
      <c r="D4">
        <v>7.57</v>
      </c>
      <c r="E4" t="inlineStr">
        <is>
          <t>暂停</t>
        </is>
      </c>
      <c r="F4" t="inlineStr">
        <is>
          <t>R2938P332357</t>
        </is>
      </c>
      <c r="G4" t="inlineStr">
        <is>
          <t>6头烤炉+1侧炉</t>
        </is>
      </c>
      <c r="H4"/>
      <c r="I4" t="inlineStr">
        <is>
          <t>ZOKK6</t>
        </is>
      </c>
      <c r="J4">
        <v>420</v>
      </c>
      <c r="K4">
        <v>579.99</v>
      </c>
      <c r="L4">
        <v>-1.689</v>
      </c>
      <c r="M4"/>
      <c r="N4"/>
      <c r="O4"/>
      <c r="P4"/>
      <c r="Q4"/>
      <c r="R4">
        <v>0.1</v>
      </c>
      <c r="S4">
        <v>0.1</v>
      </c>
      <c r="T4">
        <v>0.01</v>
      </c>
      <c r="U4"/>
      <c r="V4">
        <v>0.14</v>
      </c>
      <c r="W4"/>
      <c r="X4"/>
      <c r="Y4"/>
      <c r="Z4"/>
      <c r="AA4"/>
      <c r="AB4"/>
    </row>
    <row r="5" ht="25.5" customHeight="1">
      <c r="A5" t="inlineStr">
        <is>
          <t>大健云仓</t>
        </is>
      </c>
      <c r="B5"/>
      <c r="C5">
        <v>153.04</v>
      </c>
      <c r="D5">
        <v>5.69</v>
      </c>
      <c r="E5"/>
      <c r="F5"/>
      <c r="G5"/>
      <c r="H5"/>
      <c r="I5" t="inlineStr">
        <is>
          <t>ZOKK6</t>
        </is>
      </c>
      <c r="J5">
        <v>245</v>
      </c>
      <c r="K5">
        <v>339</v>
      </c>
      <c r="L5">
        <v>-8.88</v>
      </c>
      <c r="M5"/>
      <c r="N5"/>
      <c r="O5"/>
      <c r="P5"/>
      <c r="Q5"/>
      <c r="R5">
        <v>0.1</v>
      </c>
      <c r="S5">
        <v>0.1</v>
      </c>
      <c r="T5">
        <v>0.01</v>
      </c>
      <c r="U5"/>
      <c r="V5">
        <v>0.14</v>
      </c>
      <c r="W5"/>
      <c r="X5"/>
      <c r="Y5"/>
      <c r="Z5"/>
      <c r="AA5"/>
      <c r="AB5"/>
    </row>
    <row r="6" ht="25.5" customHeight="1">
      <c r="A6" t="inlineStr">
        <is>
          <t>大健云仓</t>
        </is>
      </c>
      <c r="B6" t="inlineStr">
        <is>
          <t>W2717P187987</t>
        </is>
      </c>
      <c r="C6">
        <v>52.38</v>
      </c>
      <c r="D6">
        <v>2.48</v>
      </c>
      <c r="E6" t="inlineStr">
        <is>
          <t>类目问题</t>
        </is>
      </c>
      <c r="F6" t="inlineStr">
        <is>
          <t>R2717P187987</t>
        </is>
      </c>
      <c r="G6" t="inlineStr">
        <is>
          <t>五步黑色</t>
        </is>
      </c>
      <c r="H6"/>
      <c r="I6" t="inlineStr">
        <is>
          <t>ZOKK6</t>
        </is>
      </c>
      <c r="J6">
        <v>93.5</v>
      </c>
      <c r="K6">
        <v>129.99</v>
      </c>
      <c r="L6">
        <v>2.266</v>
      </c>
      <c r="M6"/>
      <c r="N6"/>
      <c r="O6"/>
      <c r="P6"/>
      <c r="Q6"/>
      <c r="R6">
        <v>0.1</v>
      </c>
      <c r="S6">
        <v>0.1</v>
      </c>
      <c r="T6">
        <v>0.01</v>
      </c>
      <c r="U6"/>
      <c r="V6">
        <v>0.14</v>
      </c>
      <c r="W6"/>
      <c r="X6"/>
      <c r="Y6"/>
      <c r="Z6"/>
      <c r="AA6"/>
      <c r="AB6"/>
    </row>
    <row r="7" ht="25.5" customHeight="1">
      <c r="A7" t="inlineStr">
        <is>
          <t>大健云仓</t>
        </is>
      </c>
      <c r="B7" t="inlineStr">
        <is>
          <t>W2717P239455</t>
        </is>
      </c>
      <c r="C7">
        <v>52.38</v>
      </c>
      <c r="D7">
        <v>2.18</v>
      </c>
      <c r="E7" t="inlineStr">
        <is>
          <t>类目问题</t>
        </is>
      </c>
      <c r="F7" t="inlineStr">
        <is>
          <t>R2717P239455</t>
        </is>
      </c>
      <c r="G7" t="inlineStr">
        <is>
          <t>五步白色</t>
        </is>
      </c>
      <c r="H7"/>
      <c r="I7" t="inlineStr">
        <is>
          <t>ZOKK6</t>
        </is>
      </c>
      <c r="J7">
        <v>93.5</v>
      </c>
      <c r="K7">
        <v>129.99</v>
      </c>
      <c r="L7">
        <v>2.566</v>
      </c>
      <c r="M7"/>
      <c r="N7"/>
      <c r="O7"/>
      <c r="P7"/>
      <c r="Q7"/>
      <c r="R7">
        <v>0.1</v>
      </c>
      <c r="S7">
        <v>0.1</v>
      </c>
      <c r="T7">
        <v>0.01</v>
      </c>
      <c r="U7"/>
      <c r="V7">
        <v>0.14</v>
      </c>
      <c r="W7"/>
      <c r="X7"/>
      <c r="Y7"/>
      <c r="Z7"/>
      <c r="AA7"/>
      <c r="AB7"/>
    </row>
    <row r="8" ht="25.5" customHeight="1">
      <c r="A8" t="inlineStr">
        <is>
          <t>大健云仓</t>
        </is>
      </c>
      <c r="B8" t="inlineStr">
        <is>
          <t>W2717P186130</t>
        </is>
      </c>
      <c r="C8">
        <v>43.65</v>
      </c>
      <c r="D8">
        <v>1.8</v>
      </c>
      <c r="E8" t="inlineStr">
        <is>
          <t>类目问题</t>
        </is>
      </c>
      <c r="F8" t="inlineStr">
        <is>
          <t>R2717P186130</t>
        </is>
      </c>
      <c r="G8" t="inlineStr">
        <is>
          <t>四步黑色</t>
        </is>
      </c>
      <c r="H8"/>
      <c r="I8" t="inlineStr">
        <is>
          <t>ZOKK6</t>
        </is>
      </c>
      <c r="J8">
        <v>86.5</v>
      </c>
      <c r="K8">
        <v>119.99</v>
      </c>
      <c r="L8">
        <v>7.426</v>
      </c>
      <c r="M8"/>
      <c r="N8"/>
      <c r="O8"/>
      <c r="P8"/>
      <c r="Q8"/>
      <c r="R8">
        <v>0.1</v>
      </c>
      <c r="S8">
        <v>0.1</v>
      </c>
      <c r="T8">
        <v>0.01</v>
      </c>
      <c r="U8"/>
      <c r="V8">
        <v>0.14</v>
      </c>
      <c r="W8"/>
      <c r="X8"/>
      <c r="Y8"/>
      <c r="Z8"/>
      <c r="AA8"/>
      <c r="AB8"/>
    </row>
    <row r="9" ht="25.5" customHeight="1">
      <c r="A9" t="inlineStr">
        <is>
          <t>大健云仓</t>
        </is>
      </c>
      <c r="B9" t="inlineStr">
        <is>
          <t>W2717P239467</t>
        </is>
      </c>
      <c r="C9">
        <v>43.65</v>
      </c>
      <c r="D9">
        <v>1.95</v>
      </c>
      <c r="E9" t="inlineStr">
        <is>
          <t>类目问题</t>
        </is>
      </c>
      <c r="F9" t="inlineStr">
        <is>
          <t>R2717P239467</t>
        </is>
      </c>
      <c r="G9" t="inlineStr">
        <is>
          <t>四步白色</t>
        </is>
      </c>
      <c r="H9"/>
      <c r="I9" t="inlineStr">
        <is>
          <t>ZOKK6</t>
        </is>
      </c>
      <c r="J9">
        <v>86.5</v>
      </c>
      <c r="K9">
        <v>119.99</v>
      </c>
      <c r="L9">
        <v>7.276</v>
      </c>
      <c r="M9"/>
      <c r="N9"/>
      <c r="O9"/>
      <c r="P9"/>
      <c r="Q9"/>
      <c r="R9">
        <v>0.1</v>
      </c>
      <c r="S9">
        <v>0.1</v>
      </c>
      <c r="T9">
        <v>0.01</v>
      </c>
      <c r="U9"/>
      <c r="V9">
        <v>0.14</v>
      </c>
      <c r="W9"/>
      <c r="X9"/>
      <c r="Y9"/>
      <c r="Z9"/>
      <c r="AA9"/>
      <c r="AB9"/>
    </row>
    <row r="10" ht="25.5" customHeight="1">
      <c r="A10" t="inlineStr">
        <is>
          <t>大健云仓</t>
        </is>
      </c>
      <c r="B10"/>
      <c r="C10"/>
      <c r="D10"/>
      <c r="E10"/>
      <c r="F10"/>
      <c r="G10"/>
      <c r="H10"/>
      <c r="I10"/>
      <c r="J10"/>
      <c r="K10"/>
      <c r="L10"/>
      <c r="M10"/>
      <c r="N10"/>
      <c r="O10"/>
      <c r="P10"/>
      <c r="Q10"/>
      <c r="R10"/>
      <c r="S10"/>
      <c r="T10"/>
      <c r="U10"/>
      <c r="V10"/>
      <c r="W10"/>
      <c r="X10"/>
      <c r="Y10"/>
      <c r="Z10"/>
      <c r="AA10"/>
      <c r="AB10"/>
    </row>
    <row r="11" ht="25.5" customHeight="1">
      <c r="A11" t="inlineStr">
        <is>
          <t>大健云仓</t>
        </is>
      </c>
      <c r="B11" t="inlineStr">
        <is>
          <t>W2660P278755</t>
        </is>
      </c>
      <c r="C11">
        <v>78</v>
      </c>
      <c r="D11">
        <v>2.25</v>
      </c>
      <c r="E11"/>
      <c r="F11" t="inlineStr">
        <is>
          <t>R2660P278755</t>
        </is>
      </c>
      <c r="G11"/>
      <c r="H11"/>
      <c r="I11" t="inlineStr">
        <is>
          <t>ZOKK6</t>
        </is>
      </c>
      <c r="J11">
        <v>137</v>
      </c>
      <c r="K11">
        <v>189.99</v>
      </c>
      <c r="L11">
        <v>3.501</v>
      </c>
      <c r="M11"/>
      <c r="N11"/>
      <c r="O11"/>
      <c r="P11"/>
      <c r="Q11"/>
      <c r="R11">
        <v>0.1</v>
      </c>
      <c r="S11">
        <v>0.1</v>
      </c>
      <c r="T11">
        <v>0.01</v>
      </c>
      <c r="U11"/>
      <c r="V11">
        <v>0.14</v>
      </c>
      <c r="W11"/>
      <c r="X11"/>
      <c r="Y11"/>
      <c r="Z11"/>
      <c r="AA11"/>
      <c r="AB11"/>
    </row>
    <row r="12" ht="25.5" customHeight="1">
      <c r="A12" t="inlineStr">
        <is>
          <t>大健云仓</t>
        </is>
      </c>
      <c r="B12" t="inlineStr">
        <is>
          <t>W3267P309443</t>
        </is>
      </c>
      <c r="C12">
        <v>95</v>
      </c>
      <c r="D12">
        <v>4.64</v>
      </c>
      <c r="E12"/>
      <c r="F12" t="inlineStr">
        <is>
          <t>R3267P309443</t>
        </is>
      </c>
      <c r="G12"/>
      <c r="H12"/>
      <c r="I12" t="inlineStr">
        <is>
          <t>ZOKK6</t>
        </is>
      </c>
      <c r="J12">
        <v>159</v>
      </c>
      <c r="K12">
        <v>219.99</v>
      </c>
      <c r="L12">
        <v>-2.389</v>
      </c>
      <c r="M12"/>
      <c r="N12"/>
      <c r="O12"/>
      <c r="P12"/>
      <c r="Q12"/>
      <c r="R12">
        <v>0.1</v>
      </c>
      <c r="S12">
        <v>0.1</v>
      </c>
      <c r="T12">
        <v>0.01</v>
      </c>
      <c r="U12"/>
      <c r="V12">
        <v>0.14</v>
      </c>
      <c r="W12"/>
      <c r="X12"/>
      <c r="Y12"/>
      <c r="Z12"/>
      <c r="AA12"/>
      <c r="AB12"/>
    </row>
    <row r="13" ht="25.5" customHeight="1">
      <c r="A13" t="inlineStr">
        <is>
          <t>大健云仓</t>
        </is>
      </c>
      <c r="B13" t="inlineStr">
        <is>
          <t>W1239137222</t>
        </is>
      </c>
      <c r="C13">
        <v>145</v>
      </c>
      <c r="D13">
        <v>4.94</v>
      </c>
      <c r="E13"/>
      <c r="F13" t="inlineStr">
        <is>
          <t>R1239137222</t>
        </is>
      </c>
      <c r="G13"/>
      <c r="H13"/>
      <c r="I13" t="inlineStr">
        <is>
          <t>ZOKK6</t>
        </is>
      </c>
      <c r="J13">
        <v>245</v>
      </c>
      <c r="K13">
        <v>339</v>
      </c>
      <c r="L13">
        <v>-0.09</v>
      </c>
      <c r="M13"/>
      <c r="N13"/>
      <c r="O13"/>
      <c r="P13"/>
      <c r="Q13"/>
      <c r="R13">
        <v>0.1</v>
      </c>
      <c r="S13">
        <v>0.1</v>
      </c>
      <c r="T13">
        <v>0.01</v>
      </c>
      <c r="U13"/>
      <c r="V13">
        <v>0.14</v>
      </c>
      <c r="W13"/>
      <c r="X13"/>
      <c r="Y13"/>
      <c r="Z13"/>
      <c r="AA13"/>
      <c r="AB13"/>
    </row>
    <row r="14" ht="25.5" customHeight="1">
      <c r="A14" t="inlineStr">
        <is>
          <t>大健云仓</t>
        </is>
      </c>
      <c r="B14" t="inlineStr">
        <is>
          <t>W1961P290529</t>
        </is>
      </c>
      <c r="C14">
        <v>43</v>
      </c>
      <c r="D14">
        <v>2.1</v>
      </c>
      <c r="E14" t="inlineStr">
        <is>
          <t>类目问题</t>
        </is>
      </c>
      <c r="F14" t="inlineStr">
        <is>
          <t>R1961P290529</t>
        </is>
      </c>
      <c r="G14"/>
      <c r="H14"/>
      <c r="I14" t="inlineStr">
        <is>
          <t>ZOKK6</t>
        </is>
      </c>
      <c r="J14">
        <v>79</v>
      </c>
      <c r="K14">
        <v>109</v>
      </c>
      <c r="L14">
        <v>3.25</v>
      </c>
      <c r="M14"/>
      <c r="N14"/>
      <c r="O14"/>
      <c r="P14"/>
      <c r="Q14"/>
      <c r="R14">
        <v>0.1</v>
      </c>
      <c r="S14">
        <v>0.1</v>
      </c>
      <c r="T14">
        <v>0.01</v>
      </c>
      <c r="U14"/>
      <c r="V14">
        <v>0.14</v>
      </c>
      <c r="W14"/>
      <c r="X14"/>
      <c r="Y14"/>
      <c r="Z14"/>
      <c r="AA14"/>
      <c r="AB14"/>
    </row>
    <row r="15" ht="25.5" customHeight="1">
      <c r="A15" t="inlineStr">
        <is>
          <t>大健云仓</t>
        </is>
      </c>
      <c r="B15" t="inlineStr">
        <is>
          <t>W46538539</t>
        </is>
      </c>
      <c r="C15">
        <v>66</v>
      </c>
      <c r="D15">
        <v>2.7</v>
      </c>
      <c r="E15"/>
      <c r="F15" t="inlineStr">
        <is>
          <t>R46538539</t>
        </is>
      </c>
      <c r="G15"/>
      <c r="H15"/>
      <c r="I15" t="inlineStr">
        <is>
          <t>ZOKK6</t>
        </is>
      </c>
      <c r="J15">
        <v>110</v>
      </c>
      <c r="K15">
        <v>149.99</v>
      </c>
      <c r="L15">
        <v>-1.199</v>
      </c>
      <c r="M15"/>
      <c r="N15"/>
      <c r="O15"/>
      <c r="P15"/>
      <c r="Q15"/>
      <c r="R15">
        <v>0.1</v>
      </c>
      <c r="S15">
        <v>0.1</v>
      </c>
      <c r="T15">
        <v>0.01</v>
      </c>
      <c r="U15"/>
      <c r="V15">
        <v>0.14</v>
      </c>
      <c r="W15"/>
      <c r="X15"/>
      <c r="Y15"/>
      <c r="Z15"/>
      <c r="AA15"/>
      <c r="AB15"/>
    </row>
    <row r="16" ht="25.5" customHeight="1">
      <c r="A16" t="inlineStr">
        <is>
          <t>大健云仓</t>
        </is>
      </c>
      <c r="B16" t="inlineStr">
        <is>
          <t>W2885P246380</t>
        </is>
      </c>
      <c r="C16">
        <v>65</v>
      </c>
      <c r="D16">
        <v>6.07</v>
      </c>
      <c r="E16"/>
      <c r="F16" t="inlineStr">
        <is>
          <t>R2885P246380</t>
        </is>
      </c>
      <c r="G16"/>
      <c r="H16"/>
      <c r="I16" t="inlineStr">
        <is>
          <t>ZOKK6</t>
        </is>
      </c>
      <c r="J16">
        <v>110</v>
      </c>
      <c r="K16">
        <v>149.99</v>
      </c>
      <c r="L16">
        <v>-3.569</v>
      </c>
      <c r="M16"/>
      <c r="N16"/>
      <c r="O16"/>
      <c r="P16"/>
      <c r="Q16"/>
      <c r="R16">
        <v>0.1</v>
      </c>
      <c r="S16">
        <v>0.1</v>
      </c>
      <c r="T16">
        <v>0.01</v>
      </c>
      <c r="U16"/>
      <c r="V16">
        <v>0.14</v>
      </c>
      <c r="W16"/>
      <c r="X16"/>
      <c r="Y16"/>
      <c r="Z16"/>
      <c r="AA16"/>
      <c r="AB16"/>
    </row>
    <row r="17" ht="25.5" customHeight="1">
      <c r="A17" t="inlineStr">
        <is>
          <t>大健云仓</t>
        </is>
      </c>
      <c r="B17"/>
      <c r="C17"/>
      <c r="D17"/>
      <c r="E17"/>
      <c r="F17"/>
      <c r="G17"/>
      <c r="H17"/>
      <c r="I17"/>
      <c r="J17"/>
      <c r="K17"/>
      <c r="L17"/>
      <c r="M17"/>
      <c r="N17"/>
      <c r="O17"/>
      <c r="P17"/>
      <c r="Q17"/>
      <c r="R17"/>
      <c r="S17"/>
      <c r="T17"/>
      <c r="U17"/>
      <c r="V17"/>
      <c r="W17"/>
      <c r="X17"/>
      <c r="Y17"/>
      <c r="Z17"/>
      <c r="AA17"/>
      <c r="AB17"/>
    </row>
    <row r="18" ht="25.5" customHeight="1">
      <c r="A18" t="inlineStr">
        <is>
          <t>大健云仓</t>
        </is>
      </c>
      <c r="B18" t="inlineStr">
        <is>
          <t>W2660P180063</t>
        </is>
      </c>
      <c r="C18">
        <v>92</v>
      </c>
      <c r="D18">
        <v>4.64</v>
      </c>
      <c r="E18"/>
      <c r="F18" t="inlineStr">
        <is>
          <t>R2660P180063</t>
        </is>
      </c>
      <c r="G18" t="inlineStr">
        <is>
          <t>红色七层抽屉可滚动工具储物工具车</t>
        </is>
      </c>
      <c r="H18"/>
      <c r="I18" t="inlineStr">
        <is>
          <t>ZOKK6</t>
        </is>
      </c>
      <c r="J18">
        <v>164.3</v>
      </c>
      <c r="K18">
        <v>229</v>
      </c>
      <c r="L18">
        <v>3.685</v>
      </c>
      <c r="M18"/>
      <c r="N18"/>
      <c r="O18"/>
      <c r="P18"/>
      <c r="Q18"/>
      <c r="R18">
        <v>0.1</v>
      </c>
      <c r="S18">
        <v>0.1</v>
      </c>
      <c r="T18">
        <v>0.01</v>
      </c>
      <c r="U18"/>
      <c r="V18">
        <v>0.14</v>
      </c>
      <c r="W18"/>
      <c r="X18"/>
      <c r="Y18"/>
      <c r="Z18"/>
      <c r="AA18"/>
      <c r="AB18"/>
    </row>
    <row r="19" ht="25.5" customHeight="1">
      <c r="A19" t="inlineStr">
        <is>
          <t>大健云仓</t>
        </is>
      </c>
      <c r="B19" t="inlineStr">
        <is>
          <t>W2660P217919</t>
        </is>
      </c>
      <c r="C19">
        <v>106</v>
      </c>
      <c r="D19">
        <v>4.64</v>
      </c>
      <c r="E19"/>
      <c r="F19" t="inlineStr">
        <is>
          <t>R2660P217919</t>
        </is>
      </c>
      <c r="G19" t="inlineStr">
        <is>
          <t>黑色七层抽屉可滚动工具储物工具车</t>
        </is>
      </c>
      <c r="H19"/>
      <c r="I19" t="inlineStr">
        <is>
          <t>ZOKK6</t>
        </is>
      </c>
      <c r="J19">
        <v>164.3</v>
      </c>
      <c r="K19">
        <v>229</v>
      </c>
      <c r="L19">
        <v>-10.315</v>
      </c>
      <c r="M19"/>
      <c r="N19"/>
      <c r="O19"/>
      <c r="P19"/>
      <c r="Q19"/>
      <c r="R19">
        <v>0.1</v>
      </c>
      <c r="S19">
        <v>0.1</v>
      </c>
      <c r="T19">
        <v>0.01</v>
      </c>
      <c r="U19"/>
      <c r="V19">
        <v>0.14</v>
      </c>
      <c r="W19"/>
      <c r="X19"/>
      <c r="Y19"/>
      <c r="Z19"/>
      <c r="AA19"/>
      <c r="AB19"/>
    </row>
    <row r="20" ht="25.5" customHeight="1">
      <c r="A20" t="inlineStr">
        <is>
          <t>大健云仓</t>
        </is>
      </c>
      <c r="B20" t="inlineStr">
        <is>
          <t>W2660P217926</t>
        </is>
      </c>
      <c r="C20">
        <v>84</v>
      </c>
      <c r="D20">
        <v>4</v>
      </c>
      <c r="E20"/>
      <c r="F20" t="inlineStr">
        <is>
          <t>R2660P217926</t>
        </is>
      </c>
      <c r="G20" t="inlineStr">
        <is>
          <t>黑色四层抽屉可滚动工具储物工具车</t>
        </is>
      </c>
      <c r="H20"/>
      <c r="I20" t="inlineStr">
        <is>
          <t>ZOKK6</t>
        </is>
      </c>
      <c r="J20">
        <v>142.8</v>
      </c>
      <c r="K20">
        <v>199</v>
      </c>
      <c r="L20">
        <v>-0.8</v>
      </c>
      <c r="M20"/>
      <c r="N20"/>
      <c r="O20"/>
      <c r="P20"/>
      <c r="Q20"/>
      <c r="R20">
        <v>0.1</v>
      </c>
      <c r="S20">
        <v>0.1</v>
      </c>
      <c r="T20">
        <v>0.01</v>
      </c>
      <c r="U20"/>
      <c r="V20">
        <v>0.14</v>
      </c>
      <c r="W20"/>
      <c r="X20"/>
      <c r="Y20"/>
      <c r="Z20"/>
      <c r="AA20"/>
      <c r="AB20"/>
    </row>
    <row r="21" ht="25.5" customHeight="1">
      <c r="A21" t="inlineStr">
        <is>
          <t>大健云仓</t>
        </is>
      </c>
      <c r="B21" t="inlineStr">
        <is>
          <t>W2391P167675</t>
        </is>
      </c>
      <c r="C21">
        <v>18</v>
      </c>
      <c r="D21">
        <v>3.53</v>
      </c>
      <c r="E21"/>
      <c r="F21" t="inlineStr">
        <is>
          <t>R2391P167675</t>
        </is>
      </c>
      <c r="G21" t="inlineStr">
        <is>
          <t>100L Laundry Hamper
100升脏衣喽</t>
        </is>
      </c>
      <c r="H21"/>
      <c r="I21" t="inlineStr">
        <is>
          <t>ZOKK6</t>
        </is>
      </c>
      <c r="J21">
        <v>28.44</v>
      </c>
      <c r="K21">
        <v>39.51</v>
      </c>
      <c r="L21">
        <v>-4.151</v>
      </c>
      <c r="M21"/>
      <c r="N21"/>
      <c r="O21"/>
      <c r="P21"/>
      <c r="Q21"/>
      <c r="R21">
        <v>0.1</v>
      </c>
      <c r="S21">
        <v>0.1</v>
      </c>
      <c r="T21">
        <v>0.01</v>
      </c>
      <c r="U21"/>
      <c r="V21">
        <v>0.14</v>
      </c>
      <c r="W21"/>
      <c r="X21"/>
      <c r="Y21"/>
      <c r="Z21"/>
      <c r="AA21"/>
      <c r="AB21"/>
    </row>
    <row r="22" ht="25.5" customHeight="1">
      <c r="A22" t="inlineStr">
        <is>
          <t>大健云仓</t>
        </is>
      </c>
      <c r="B22" t="inlineStr">
        <is>
          <t>W2391P167690</t>
        </is>
      </c>
      <c r="C22">
        <v>18</v>
      </c>
      <c r="D22">
        <v>3.53</v>
      </c>
      <c r="E22"/>
      <c r="F22" t="inlineStr">
        <is>
          <t>R2391P167690</t>
        </is>
      </c>
      <c r="G22" t="inlineStr">
        <is>
          <t>100L Laundry Hamper
100升脏衣喽</t>
        </is>
      </c>
      <c r="H22"/>
      <c r="I22" t="inlineStr">
        <is>
          <t>ZOKK6</t>
        </is>
      </c>
      <c r="J22">
        <v>28.44</v>
      </c>
      <c r="K22">
        <v>39.51</v>
      </c>
      <c r="L22">
        <v>-4.151</v>
      </c>
      <c r="M22"/>
      <c r="N22"/>
      <c r="O22"/>
      <c r="P22"/>
      <c r="Q22"/>
      <c r="R22">
        <v>0.1</v>
      </c>
      <c r="S22">
        <v>0.1</v>
      </c>
      <c r="T22">
        <v>0.01</v>
      </c>
      <c r="U22"/>
      <c r="V22">
        <v>0.14</v>
      </c>
      <c r="W22"/>
      <c r="X22"/>
      <c r="Y22"/>
      <c r="Z22"/>
      <c r="AA22"/>
      <c r="AB22"/>
    </row>
    <row r="23" ht="25.5" customHeight="1">
      <c r="A23" t="inlineStr">
        <is>
          <t>大健云仓</t>
        </is>
      </c>
      <c r="B23" t="inlineStr">
        <is>
          <t>W2391P167699</t>
        </is>
      </c>
      <c r="C23">
        <v>28</v>
      </c>
      <c r="D23">
        <v>3.57</v>
      </c>
      <c r="E23"/>
      <c r="F23" t="inlineStr">
        <is>
          <t>R2391P167699</t>
        </is>
      </c>
      <c r="G23" t="inlineStr">
        <is>
          <t>160L Laundry Hamper
160升脏衣喽</t>
        </is>
      </c>
      <c r="H23"/>
      <c r="I23" t="inlineStr">
        <is>
          <t>ZOKK6</t>
        </is>
      </c>
      <c r="J23">
        <v>51.8</v>
      </c>
      <c r="K23">
        <v>72.99</v>
      </c>
      <c r="L23">
        <v>-0.019000000000000128</v>
      </c>
      <c r="M23"/>
      <c r="N23"/>
      <c r="O23"/>
      <c r="P23"/>
      <c r="Q23"/>
      <c r="R23">
        <v>0.1</v>
      </c>
      <c r="S23">
        <v>0.1</v>
      </c>
      <c r="T23">
        <v>0.01</v>
      </c>
      <c r="U23"/>
      <c r="V23">
        <v>0.14</v>
      </c>
      <c r="W23"/>
      <c r="X23"/>
      <c r="Y23"/>
      <c r="Z23"/>
      <c r="AA23"/>
      <c r="AB23"/>
    </row>
    <row r="24" ht="25.5" customHeight="1">
      <c r="A24" t="inlineStr">
        <is>
          <t>大健云仓</t>
        </is>
      </c>
      <c r="B24" t="inlineStr">
        <is>
          <t>W2391P167709</t>
        </is>
      </c>
      <c r="C24">
        <v>28</v>
      </c>
      <c r="D24">
        <v>3.57</v>
      </c>
      <c r="E24"/>
      <c r="F24" t="inlineStr">
        <is>
          <t>R2391P167709</t>
        </is>
      </c>
      <c r="G24" t="inlineStr">
        <is>
          <t>160L Laundry Hamper
160升脏衣喽</t>
        </is>
      </c>
      <c r="H24"/>
      <c r="I24" t="inlineStr">
        <is>
          <t>ZOKK6</t>
        </is>
      </c>
      <c r="J24">
        <v>51.8</v>
      </c>
      <c r="K24">
        <v>72.99</v>
      </c>
      <c r="L24">
        <v>-0.019000000000000128</v>
      </c>
      <c r="M24"/>
      <c r="N24"/>
      <c r="O24"/>
      <c r="P24"/>
      <c r="Q24"/>
      <c r="R24">
        <v>0.1</v>
      </c>
      <c r="S24">
        <v>0.1</v>
      </c>
      <c r="T24">
        <v>0.01</v>
      </c>
      <c r="U24"/>
      <c r="V24">
        <v>0.14</v>
      </c>
      <c r="W24"/>
      <c r="X24"/>
      <c r="Y24"/>
      <c r="Z24"/>
      <c r="AA24"/>
      <c r="AB24"/>
    </row>
    <row r="25" ht="25.5" customHeight="1">
      <c r="A25" t="inlineStr">
        <is>
          <t>大健云仓</t>
        </is>
      </c>
      <c r="B25" t="inlineStr">
        <is>
          <t>W2391P167709</t>
        </is>
      </c>
      <c r="C25">
        <v>28</v>
      </c>
      <c r="D25">
        <v>3.57</v>
      </c>
      <c r="E25"/>
      <c r="F25"/>
      <c r="G25"/>
      <c r="H25"/>
      <c r="I25"/>
      <c r="J25"/>
      <c r="K25"/>
      <c r="L25"/>
      <c r="M25"/>
      <c r="N25"/>
      <c r="O25"/>
      <c r="P25"/>
      <c r="Q25"/>
      <c r="R25"/>
      <c r="S25"/>
      <c r="T25"/>
      <c r="U25"/>
      <c r="V25"/>
      <c r="W25"/>
      <c r="X25"/>
      <c r="Y25"/>
      <c r="Z25"/>
      <c r="AA25"/>
      <c r="AB25"/>
    </row>
    <row r="26" ht="25.5" customHeight="1">
      <c r="A26" t="inlineStr">
        <is>
          <t>大健云仓</t>
        </is>
      </c>
      <c r="B26" t="inlineStr">
        <is>
          <t>W2391P167709</t>
        </is>
      </c>
      <c r="C26">
        <v>28</v>
      </c>
      <c r="D26">
        <v>3.57</v>
      </c>
      <c r="E26"/>
      <c r="F26" t="inlineStr">
        <is>
          <t>FW26600008US</t>
        </is>
      </c>
      <c r="G26" t="inlineStr">
        <is>
          <t>16.5FT</t>
        </is>
      </c>
      <c r="H26"/>
      <c r="I26" t="inlineStr">
        <is>
          <t>ZOKK6</t>
        </is>
      </c>
      <c r="J26">
        <v>109.79</v>
      </c>
      <c r="K26"/>
      <c r="L26"/>
      <c r="M26"/>
      <c r="N26"/>
      <c r="O26"/>
      <c r="P26"/>
      <c r="Q26"/>
      <c r="R26"/>
      <c r="S26"/>
      <c r="T26"/>
      <c r="U26"/>
      <c r="V26"/>
      <c r="W26"/>
      <c r="X26"/>
      <c r="Y26"/>
      <c r="Z26"/>
      <c r="AA26"/>
      <c r="AB26"/>
    </row>
    <row r="27" ht="25.5" customHeight="1">
      <c r="A27" t="inlineStr">
        <is>
          <t>大健云仓</t>
        </is>
      </c>
      <c r="B27" t="inlineStr">
        <is>
          <t>W2391P167709</t>
        </is>
      </c>
      <c r="C27">
        <v>28</v>
      </c>
      <c r="D27">
        <v>3.57</v>
      </c>
      <c r="E27"/>
      <c r="F27" t="inlineStr">
        <is>
          <t>FW26600007US</t>
        </is>
      </c>
      <c r="G27" t="inlineStr">
        <is>
          <t>14.5FT</t>
        </is>
      </c>
      <c r="H27"/>
      <c r="I27" t="inlineStr">
        <is>
          <t>ZOKK6</t>
        </is>
      </c>
      <c r="J27">
        <v>100.64</v>
      </c>
      <c r="K27"/>
      <c r="L27"/>
      <c r="M27"/>
      <c r="N27"/>
      <c r="O27"/>
      <c r="P27"/>
      <c r="Q27"/>
      <c r="R27"/>
      <c r="S27"/>
      <c r="T27"/>
      <c r="U27"/>
      <c r="V27"/>
      <c r="W27"/>
      <c r="X27"/>
      <c r="Y27"/>
      <c r="Z27"/>
      <c r="AA27"/>
      <c r="AB27"/>
    </row>
    <row r="28" ht="25.5" customHeight="1">
      <c r="A28" t="inlineStr">
        <is>
          <t>大健云仓</t>
        </is>
      </c>
      <c r="B28" t="inlineStr">
        <is>
          <t>W2391P167709</t>
        </is>
      </c>
      <c r="C28">
        <v>28</v>
      </c>
      <c r="D28">
        <v>3.57</v>
      </c>
      <c r="E28"/>
      <c r="F28" t="inlineStr">
        <is>
          <t>FW26600006US</t>
        </is>
      </c>
      <c r="G28" t="inlineStr">
        <is>
          <t>12.5FT</t>
        </is>
      </c>
      <c r="H28"/>
      <c r="I28" t="inlineStr">
        <is>
          <t>ZOKK6</t>
        </is>
      </c>
      <c r="J28">
        <v>88.8</v>
      </c>
      <c r="K28"/>
      <c r="L28"/>
      <c r="M28"/>
      <c r="N28"/>
      <c r="O28"/>
      <c r="P28"/>
      <c r="Q28"/>
      <c r="R28"/>
      <c r="S28"/>
      <c r="T28"/>
      <c r="U28"/>
      <c r="V28"/>
      <c r="W28"/>
      <c r="X28"/>
      <c r="Y28"/>
      <c r="Z28"/>
      <c r="AA28"/>
      <c r="AB28"/>
    </row>
    <row r="29" ht="25.5" customHeight="1">
      <c r="A29" t="inlineStr">
        <is>
          <t>大健云仓</t>
        </is>
      </c>
      <c r="B29" t="inlineStr">
        <is>
          <t>W2391P167709</t>
        </is>
      </c>
      <c r="C29">
        <v>28</v>
      </c>
      <c r="D29">
        <v>3.57</v>
      </c>
      <c r="E29"/>
      <c r="F29" t="inlineStr">
        <is>
          <t>FW26600004US</t>
        </is>
      </c>
      <c r="G29" t="inlineStr">
        <is>
          <t>8.5FT</t>
        </is>
      </c>
      <c r="H29"/>
      <c r="I29" t="inlineStr">
        <is>
          <t>ZOKK6</t>
        </is>
      </c>
      <c r="J29">
        <v>63.84</v>
      </c>
      <c r="K29"/>
      <c r="L29"/>
      <c r="M29"/>
      <c r="N29"/>
      <c r="O29"/>
      <c r="P29"/>
      <c r="Q29"/>
      <c r="R29"/>
      <c r="S29"/>
      <c r="T29"/>
      <c r="U29"/>
      <c r="V29"/>
      <c r="W29"/>
      <c r="X29"/>
      <c r="Y29"/>
      <c r="Z29"/>
      <c r="AA29"/>
      <c r="AB29"/>
    </row>
    <row r="30" ht="25.5" customHeight="1">
      <c r="A30" t="inlineStr">
        <is>
          <t>大健云仓</t>
        </is>
      </c>
      <c r="B30" t="inlineStr">
        <is>
          <t>W2391P167709</t>
        </is>
      </c>
      <c r="C30">
        <v>28</v>
      </c>
      <c r="D30">
        <v>3.57</v>
      </c>
      <c r="E30"/>
      <c r="F30" t="inlineStr">
        <is>
          <t>FW26600005US</t>
        </is>
      </c>
      <c r="G30" t="inlineStr">
        <is>
          <t>10.5FT</t>
        </is>
      </c>
      <c r="H30"/>
      <c r="I30" t="inlineStr">
        <is>
          <t>ZOKK6</t>
        </is>
      </c>
      <c r="J30">
        <v>71.04</v>
      </c>
      <c r="K30"/>
      <c r="L30"/>
      <c r="M30"/>
      <c r="N30"/>
      <c r="O30"/>
      <c r="P30"/>
      <c r="Q30"/>
      <c r="R30"/>
      <c r="S30"/>
      <c r="T30"/>
      <c r="U30"/>
      <c r="V30"/>
      <c r="W30"/>
      <c r="X30"/>
      <c r="Y30"/>
      <c r="Z30"/>
      <c r="AA30"/>
      <c r="AB30"/>
    </row>
    <row r="31" ht="25.5" customHeight="1">
      <c r="A31"/>
      <c r="B31"/>
      <c r="C31"/>
      <c r="D31"/>
      <c r="E31"/>
      <c r="F31"/>
      <c r="G31"/>
      <c r="H31"/>
      <c r="I31"/>
      <c r="J31"/>
      <c r="K31"/>
      <c r="L31"/>
      <c r="M31"/>
      <c r="N31"/>
      <c r="O31"/>
      <c r="P31"/>
      <c r="Q31"/>
      <c r="R31"/>
      <c r="S31"/>
      <c r="T31"/>
      <c r="U31"/>
      <c r="V31"/>
      <c r="W31"/>
      <c r="X31"/>
      <c r="Y31"/>
      <c r="Z31"/>
      <c r="AA31"/>
      <c r="AB31"/>
    </row>
  </sheetData>
  <dataValidations count="1">
    <dataValidation allowBlank="false" sqref="E2:E30" type="list">
      <formula1>"暂停,类目问题,B0FB3XYNDP,B0FB3V4NZ8,B0FB3TTBC2,B0FB3SWK8Z,B0FB3SMMT6"</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