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activeTab="1" windowHeight="15800" windowWidth="28040" xWindow="4240" yWindow="640"/>
  </bookViews>
  <sheets>
    <sheet name="Sheet1" sheetId="1" r:id="rId1"/>
    <sheet name="ASIN毛利"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<sst xmlns="http://schemas.openxmlformats.org/spreadsheetml/2006/main" count="231" uniqueCount="231">
  <si>
    <t xml:space="preserve">  </t>
  </si>
  <si>
    <t xml:space="preserve">日期</t>
  </si>
  <si>
    <t xml:space="preserve">销量</t>
  </si>
  <si>
    <t xml:space="preserve">出货量</t>
  </si>
  <si>
    <t xml:space="preserve">广告销量</t>
  </si>
  <si>
    <t xml:space="preserve">退货数量</t>
  </si>
  <si>
    <t xml:space="preserve">访问量</t>
  </si>
  <si>
    <t xml:space="preserve">销售额</t>
  </si>
  <si>
    <t xml:space="preserve">广告销售额</t>
  </si>
  <si>
    <t xml:space="preserve">广告花费</t>
  </si>
  <si>
    <t xml:space="preserve">广告曝光量</t>
  </si>
  <si>
    <t xml:space="preserve">广告点击量</t>
  </si>
  <si>
    <t xml:space="preserve">广告费用占比</t>
  </si>
  <si>
    <t xml:space="preserve">CTR</t>
  </si>
  <si>
    <t xml:space="preserve">CPC</t>
  </si>
  <si>
    <t xml:space="preserve">ACOS</t>
  </si>
  <si>
    <t xml:space="preserve">ROAS</t>
  </si>
  <si>
    <t xml:space="preserve">自然订单</t>
  </si>
  <si>
    <t xml:space="preserve">广告订单占比</t>
  </si>
  <si>
    <t xml:space="preserve">自然订单占比</t>
  </si>
  <si>
    <t xml:space="preserve">2025-10-22</t>
  </si>
  <si>
    <t xml:space="preserve">925.68</t>
  </si>
  <si>
    <t xml:space="preserve">447.90</t>
  </si>
  <si>
    <t xml:space="preserve">70.18</t>
  </si>
  <si>
    <t xml:space="preserve">22863</t>
  </si>
  <si>
    <t xml:space="preserve">150</t>
  </si>
  <si>
    <t xml:space="preserve">2025-10-23</t>
  </si>
  <si>
    <t xml:space="preserve">407.84</t>
  </si>
  <si>
    <t xml:space="preserve">71.81</t>
  </si>
  <si>
    <t xml:space="preserve">21219</t>
  </si>
  <si>
    <t xml:space="preserve">156</t>
  </si>
  <si>
    <t xml:space="preserve">2025-10-24</t>
  </si>
  <si>
    <t xml:space="preserve">423.05</t>
  </si>
  <si>
    <t xml:space="preserve">300.95</t>
  </si>
  <si>
    <t xml:space="preserve">66.15</t>
  </si>
  <si>
    <t xml:space="preserve">31174</t>
  </si>
  <si>
    <t xml:space="preserve">133</t>
  </si>
  <si>
    <t xml:space="preserve">2025-10-25</t>
  </si>
  <si>
    <t xml:space="preserve">488.77</t>
  </si>
  <si>
    <t xml:space="preserve">422.28</t>
  </si>
  <si>
    <t xml:space="preserve">69.88</t>
  </si>
  <si>
    <t xml:space="preserve">32518</t>
  </si>
  <si>
    <t xml:space="preserve">143</t>
  </si>
  <si>
    <t xml:space="preserve">2025-10-26</t>
  </si>
  <si>
    <t xml:space="preserve">492.70</t>
  </si>
  <si>
    <t xml:space="preserve">421.61</t>
  </si>
  <si>
    <t xml:space="preserve">74.98</t>
  </si>
  <si>
    <t xml:space="preserve">37426</t>
  </si>
  <si>
    <t xml:space="preserve">165</t>
  </si>
  <si>
    <t xml:space="preserve">2025-10-27</t>
  </si>
  <si>
    <t xml:space="preserve">885.91</t>
  </si>
  <si>
    <t xml:space="preserve">467.43</t>
  </si>
  <si>
    <t xml:space="preserve">69.44</t>
  </si>
  <si>
    <t xml:space="preserve">28401</t>
  </si>
  <si>
    <t xml:space="preserve">158</t>
  </si>
  <si>
    <t xml:space="preserve">2025-10-28</t>
  </si>
  <si>
    <t xml:space="preserve">967.14</t>
  </si>
  <si>
    <t xml:space="preserve">349.88</t>
  </si>
  <si>
    <t xml:space="preserve">66.12</t>
  </si>
  <si>
    <t xml:space="preserve">25066</t>
  </si>
  <si>
    <t xml:space="preserve">136</t>
  </si>
  <si>
    <t xml:space="preserve">2025-10-29</t>
  </si>
  <si>
    <t xml:space="preserve">684.45</t>
  </si>
  <si>
    <t xml:space="preserve">414.25</t>
  </si>
  <si>
    <t xml:space="preserve">64.63</t>
  </si>
  <si>
    <t xml:space="preserve">23504</t>
  </si>
  <si>
    <t xml:space="preserve">137</t>
  </si>
  <si>
    <t xml:space="preserve">2025-10-30</t>
  </si>
  <si>
    <t xml:space="preserve">797.76</t>
  </si>
  <si>
    <t xml:space="preserve">312.73</t>
  </si>
  <si>
    <t xml:space="preserve">52.18</t>
  </si>
  <si>
    <t xml:space="preserve">17691</t>
  </si>
  <si>
    <t xml:space="preserve">102</t>
  </si>
  <si>
    <t xml:space="preserve">2025-10-31</t>
  </si>
  <si>
    <t xml:space="preserve">741.54</t>
  </si>
  <si>
    <t xml:space="preserve">301.62</t>
  </si>
  <si>
    <t xml:space="preserve">54.08</t>
  </si>
  <si>
    <t xml:space="preserve">16021</t>
  </si>
  <si>
    <t xml:space="preserve">111</t>
  </si>
  <si>
    <t xml:space="preserve">2025-11-01</t>
  </si>
  <si>
    <t xml:space="preserve">538.75</t>
  </si>
  <si>
    <t xml:space="preserve">285.70</t>
  </si>
  <si>
    <t xml:space="preserve">58.61</t>
  </si>
  <si>
    <t xml:space="preserve">21335</t>
  </si>
  <si>
    <t xml:space="preserve">134</t>
  </si>
  <si>
    <t xml:space="preserve">2025-11-02</t>
  </si>
  <si>
    <t xml:space="preserve">975.42</t>
  </si>
  <si>
    <t xml:space="preserve">277.39</t>
  </si>
  <si>
    <t xml:space="preserve">58.28</t>
  </si>
  <si>
    <t xml:space="preserve">24783</t>
  </si>
  <si>
    <t xml:space="preserve">2025-11-03</t>
  </si>
  <si>
    <t xml:space="preserve">1046.68</t>
  </si>
  <si>
    <t xml:space="preserve">455.56</t>
  </si>
  <si>
    <t xml:space="preserve">61.10</t>
  </si>
  <si>
    <t xml:space="preserve">21589</t>
  </si>
  <si>
    <t xml:space="preserve">2025-11-04</t>
  </si>
  <si>
    <t xml:space="preserve">892.40</t>
  </si>
  <si>
    <t xml:space="preserve">346.22</t>
  </si>
  <si>
    <t xml:space="preserve">61.90</t>
  </si>
  <si>
    <t xml:space="preserve">20846</t>
  </si>
  <si>
    <t xml:space="preserve">144</t>
  </si>
  <si>
    <t xml:space="preserve">2025-11-05</t>
  </si>
  <si>
    <t xml:space="preserve">646.99</t>
  </si>
  <si>
    <t xml:space="preserve">405.37</t>
  </si>
  <si>
    <t xml:space="preserve">60.71</t>
  </si>
  <si>
    <t xml:space="preserve">22605</t>
  </si>
  <si>
    <t xml:space="preserve">2025-11-06</t>
  </si>
  <si>
    <t xml:space="preserve">870.09</t>
  </si>
  <si>
    <t xml:space="preserve">408.47</t>
  </si>
  <si>
    <t xml:space="preserve">60.80</t>
  </si>
  <si>
    <t xml:space="preserve">19855</t>
  </si>
  <si>
    <t xml:space="preserve">139</t>
  </si>
  <si>
    <t xml:space="preserve">2025-11-07</t>
  </si>
  <si>
    <t xml:space="preserve">982.88</t>
  </si>
  <si>
    <t xml:space="preserve">223.10</t>
  </si>
  <si>
    <t xml:space="preserve">54.59</t>
  </si>
  <si>
    <t xml:space="preserve">17744</t>
  </si>
  <si>
    <t xml:space="preserve">110</t>
  </si>
  <si>
    <t xml:space="preserve">2025-11-08</t>
  </si>
  <si>
    <t xml:space="preserve">490.82</t>
  </si>
  <si>
    <t xml:space="preserve">292.75</t>
  </si>
  <si>
    <t xml:space="preserve">57.94</t>
  </si>
  <si>
    <t xml:space="preserve">22638</t>
  </si>
  <si>
    <t xml:space="preserve">122</t>
  </si>
  <si>
    <t xml:space="preserve">2025-11-09</t>
  </si>
  <si>
    <t xml:space="preserve">914.71</t>
  </si>
  <si>
    <t xml:space="preserve">461.81</t>
  </si>
  <si>
    <t xml:space="preserve">64.95</t>
  </si>
  <si>
    <t xml:space="preserve">24810</t>
  </si>
  <si>
    <t xml:space="preserve">2025-11-10</t>
  </si>
  <si>
    <t xml:space="preserve">1048.57</t>
  </si>
  <si>
    <t xml:space="preserve">568.74</t>
  </si>
  <si>
    <t xml:space="preserve">63.73</t>
  </si>
  <si>
    <t xml:space="preserve">22361</t>
  </si>
  <si>
    <t xml:space="preserve">145</t>
  </si>
  <si>
    <t xml:space="preserve">2025-11-11</t>
  </si>
  <si>
    <t xml:space="preserve">758.54</t>
  </si>
  <si>
    <t xml:space="preserve">343.56</t>
  </si>
  <si>
    <t xml:space="preserve">65.13</t>
  </si>
  <si>
    <t xml:space="preserve">27887</t>
  </si>
  <si>
    <t xml:space="preserve">142</t>
  </si>
  <si>
    <t xml:space="preserve">2025-11-12</t>
  </si>
  <si>
    <t xml:space="preserve">847.78</t>
  </si>
  <si>
    <t xml:space="preserve">238.71</t>
  </si>
  <si>
    <t xml:space="preserve">66.81</t>
  </si>
  <si>
    <t xml:space="preserve">27631</t>
  </si>
  <si>
    <t xml:space="preserve">157</t>
  </si>
  <si>
    <t xml:space="preserve">2025-11-13</t>
  </si>
  <si>
    <t xml:space="preserve">1003.95</t>
  </si>
  <si>
    <t xml:space="preserve">468.51</t>
  </si>
  <si>
    <t xml:space="preserve">55.85</t>
  </si>
  <si>
    <t xml:space="preserve">23420</t>
  </si>
  <si>
    <t xml:space="preserve">121</t>
  </si>
  <si>
    <t xml:space="preserve">2025-11-14</t>
  </si>
  <si>
    <t xml:space="preserve">401.58</t>
  </si>
  <si>
    <t xml:space="preserve">215.02</t>
  </si>
  <si>
    <t xml:space="preserve">55.59</t>
  </si>
  <si>
    <t xml:space="preserve">22493</t>
  </si>
  <si>
    <t xml:space="preserve">112</t>
  </si>
  <si>
    <t xml:space="preserve">2025-11-15</t>
  </si>
  <si>
    <t xml:space="preserve">602.37</t>
  </si>
  <si>
    <t xml:space="preserve">265.79</t>
  </si>
  <si>
    <t xml:space="preserve">57.65</t>
  </si>
  <si>
    <t xml:space="preserve">18249</t>
  </si>
  <si>
    <t xml:space="preserve">120</t>
  </si>
  <si>
    <t xml:space="preserve">2025-11-16</t>
  </si>
  <si>
    <t xml:space="preserve">448.67</t>
  </si>
  <si>
    <t xml:space="preserve">65.34</t>
  </si>
  <si>
    <t xml:space="preserve">22909</t>
  </si>
  <si>
    <t xml:space="preserve">2025-11-17</t>
  </si>
  <si>
    <t xml:space="preserve">281.77</t>
  </si>
  <si>
    <t xml:space="preserve">59.11</t>
  </si>
  <si>
    <t xml:space="preserve">19843</t>
  </si>
  <si>
    <t xml:space="preserve">128</t>
  </si>
  <si>
    <t xml:space="preserve">2025-11-18</t>
  </si>
  <si>
    <t xml:space="preserve">476.51</t>
  </si>
  <si>
    <t xml:space="preserve">60.88</t>
  </si>
  <si>
    <t xml:space="preserve">22672</t>
  </si>
  <si>
    <t xml:space="preserve">140</t>
  </si>
  <si>
    <t xml:space="preserve">2025-11-19</t>
  </si>
  <si>
    <t xml:space="preserve">825.47</t>
  </si>
  <si>
    <t xml:space="preserve">324.77</t>
  </si>
  <si>
    <t xml:space="preserve">64.20</t>
  </si>
  <si>
    <t xml:space="preserve">29886</t>
  </si>
  <si>
    <t xml:space="preserve">159</t>
  </si>
  <si>
    <t xml:space="preserve">2025-11-20</t>
  </si>
  <si>
    <t xml:space="preserve">111.55</t>
  </si>
  <si>
    <t xml:space="preserve">30.50</t>
  </si>
  <si>
    <t xml:space="preserve">13.31</t>
  </si>
  <si>
    <t xml:space="preserve">3937</t>
  </si>
  <si>
    <t xml:space="preserve">23</t>
  </si>
  <si>
    <t xml:space="preserve">人群标签</t>
  </si>
  <si>
    <t xml:space="preserve">核心场景 &amp; 需求痛点</t>
  </si>
  <si>
    <t xml:space="preserve">优先关键词类型</t>
  </si>
  <si>
    <t xml:space="preserve">关键词示例（英文，可直接用）</t>
  </si>
  <si>
    <t xml:space="preserve">搭建思路 &amp; 投放建议</t>
  </si>
  <si>
    <t xml:space="preserve">庭院/露台家庭用户（有院子/露台/车库）</t>
  </si>
  <si>
    <t xml:space="preserve">家门口、院子、露台、垃圾桶、空调外机、户外家具、门廊台阶等，脏但不想为此买一台笨重高压洗车机；希望轻便、随手冲一下。</t>
  </si>
  <si>
    <t/>
    <r>
      <rPr/>
      <t xml:space="preserve">类目流量词 + 场景长尾词</t>
    </r>
    <r>
      <rPr>
        <b val="false"/>
        <i val="false"/>
        <strike val="false"/>
        <sz val="12"/>
        <color rgb="FF000000"/>
        <rFont val="LarkHackSafariFont"/>
      </rPr>
      <t xml:space="preserve">（Home outdoor cleaning）</t>
    </r>
  </si>
  <si>
    <t xml:space="preserve">核心类目词：portable pressure washer, cordless pressure washer, battery powered pressure washer, portable power washer for home ；场景长尾：portable pressure washer for patio furniture / for garbage can / for outdoor furniture / for deck / for porch steps</t>
  </si>
  <si>
    <t xml:space="preserve">1）开1个“Home/Patio 清洁”手动广告：类目核心词用 phrase + exact，出价中高；2）再建一个“Outdoor furniture &amp; patio”场景词组，长尾用 low–mid bid；3）通过否定“industrial / gas pressure washer”等高压重型词，避免严重错配。</t>
  </si>
  <si>
    <t xml:space="preserve">露营房车/自驾 &amp; 周末户外爱好者</t>
  </si>
  <si>
    <t xml:space="preserve">露营、房车、野炊、BBQ、湖边/海边，一台设备搞定折叠椅、烧烤架、露营桌椅、冷藏箱、地垫等清洁；要求可折叠、可车载、无线。</t>
  </si>
  <si>
    <t xml:space="preserve">场景长尾 + 人群词 + 功能词组合</t>
  </si>
  <si>
    <t xml:space="preserve">portable pressure washer for camping, portable pressure washer for RV, cordless pressure washer for camping, camping portable washer, portable washer for bbq grill, portable washer for camping gear, rv outdoor washer</t>
  </si>
  <si>
    <t xml:space="preserve">1）单独建“Camping/RV 场景”Campaign，长尾全部用 phrase/exact；2）在产品主图 &amp; A+ 强调 camping/RV 使用场景，提升这些词的转化率；3）在自动广告中，把转化好的 camping/RV 词，定期拉出到该手动组；4）适度否定“camping washing machine”等完全偏衣物洗衣的词。</t>
  </si>
  <si>
    <t xml:space="preserve">宠物家庭（有狗/猫，常户外活动）</t>
  </si>
  <si>
    <t xml:space="preserve">遛狗、露营、海边玩耍后，宠物脚掌和毛上全是泥和沙；希望能在楼下/车位简单冲干净，不把泥带进家/车。对水压柔和 &amp; 安全敏感。</t>
  </si>
  <si>
    <t xml:space="preserve">人群词 + 场景词（pet cleaning）</t>
  </si>
  <si>
    <t xml:space="preserve">portable pet washer, portable dog washer, dog paw washer outdoor, portable outdoor pet shower, cordless pet washer, portable washer for dog paws</t>
  </si>
  <si>
    <t xml:space="preserve">1）建“Pet Cleaning”场景组，不要太高预算，先测试；2）文案上突出“gentle mode / soft water flow / for dog paws”等，提升广告相关性；3）如果 ACOS 可以接受，再慢慢放大出价；4）留意否定“pet washing machine”等不相关衣物品类。</t>
  </si>
  <si>
    <t xml:space="preserve">车主（不想买大高压机的轻度洗车人群）</t>
  </si>
  <si>
    <t xml:space="preserve">有车但车库/停车位不方便接水管；想要随时简单冲车身、轮毂、车窗，不追求专业高压洗车机的极致效果，更在意便携+不用拉线。</t>
  </si>
  <si>
    <t xml:space="preserve">类目词 + 车用场景长尾</t>
  </si>
  <si>
    <t xml:space="preserve">portable car washer, cordless pressure washer for car, portable pressure washer for car washing, battery pressure washer car, portable washer for car detailing (light)</t>
  </si>
  <si>
    <t xml:space="preserve">1）建“Car wash”主题组，锁定车用长尾；2）主图 &amp; Listing 中明确有“Car wash”场景图，避免被系统判定不相关；3）适当否定高价“foam cannon kit”等专门套装词，控制流量；4）可与 camping/RV 组共用部分关键词，但分不同 Campaign，便于单独评估 ACOS。</t>
  </si>
  <si>
    <t xml:space="preserve">园艺/庭院工具重度用户（园丁/爱好园艺）</t>
  </si>
  <si>
    <t xml:space="preserve">经常用割草机、吹叶机、园艺工具、户外工具，容易沾泥、草屑、灰尘，需要简单冲洗，保持工具干净、延长寿命。</t>
  </si>
  <si>
    <t xml:space="preserve">场景长尾 + 痛点词（mud/grass/dirt）</t>
  </si>
  <si>
    <t xml:space="preserve">portable pressure washer for garden tools, pressure washer for lawn equipment, cordless washer for yard tools, portable washer for muddy tools, portable washer for lawn mower</t>
  </si>
  <si>
    <t xml:space="preserve">1）流量相对小，适合做一个“小预算测试组”；2）在 A+ 模块展示清洗割草机/园艺工具的场景，提高相关性；3）如果转化不错，可以把这些词合并进 home/outdoor 主组做 exact；4）否定明显偏“industrial lawn equipment pressure washer trailer”等工程类词。</t>
  </si>
  <si>
    <t xml:space="preserve">船艇/海边用户（帆船/钓鱼/皮划艇）</t>
  </si>
  <si>
    <t xml:space="preserve">船甲板、皮划艇、钓鱼装备经常遇到海水、泥沙、鱼腥味；需要轻型、可携带、用完可收纳的清洁工具，而不是笨重汽油高压机。</t>
  </si>
  <si>
    <t xml:space="preserve">场景词 + 人群词（boat/Marine）</t>
  </si>
  <si>
    <t xml:space="preserve">portable pressure washer for boat, portable washer for boat deck, cordless pressure washer for boat, portable marine washer, portable washer for fishing gear</t>
  </si>
  <si>
    <t xml:space="preserve">1）建一个“Boat/Marine”小组，出价中等但预算可控；2）Listing/A+ 中尽量放一张“清洗船甲板/钓鱼装备”的图，帮助提高 CTR &amp; CVR；3）否定“boat washdown pump kit”等完全不同结构的产品词；4）该人群客单价高，后期可配合再营销。</t>
  </si>
  <si>
    <t xml:space="preserve">注重健康/多功能使用的厨房 &amp; 家庭用户（果蔬+餐具+户外洗手洗脚）</t>
  </si>
  <si>
    <t xml:space="preserve">家庭/露营时希望用一台设备完成：冲洗水果蔬菜、简单冲洗餐具、露台/营地洗手洗脚，强调方便和卫生；对“多用途、多场景”敏感。</t>
  </si>
  <si>
    <t xml:space="preserve">长尾场景词（注意相关性）</t>
  </si>
  <si>
    <t xml:space="preserve">portable washer for washing fruits and vegetables, portable washer for dishes camping, camping portable sink for washing hands, portable outdoor hand washing station, portable washer for washing feet, portable water sprayer for vegetables</t>
  </si>
  <si>
    <t xml:space="preserve">1）这类词与传统类别关联度略弱，建议单独做“Multi-purpose / Kitchen &amp; Camping”测试组，低预算低出价；2）在文案中强调“gentle mode / for rinsing fruits &amp; veggies / washing hands &amp; feet”，提高 relevancy；3）监控 ACOS，如不理想及时否定或降低；4）避免大量投放“vegetable purifier / fruit washer machine”等本质不同品类的词。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</si>
</sst>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6">
    <font>
      <sz val="12"/>
      <color theme="1"/>
      <name val="Calibri"/>
      <family val="2"/>
      <scheme val="minor"/>
    </font>
    <font>
      <sz val="12"/>
      <color rgb="FF000000"/>
      <name val="LarkHackSafariFont"/>
      <family val="2"/>
    </font>
    <font>
      <b val="true"/>
      <sz val="12"/>
      <color rgb="FFFF0000"/>
      <name val="LarkHackSafariFont"/>
      <family val="2"/>
    </font>
    <font>
      <b val="true"/>
      <sz val="12"/>
      <color rgb="FF000000"/>
      <name val="LarkHackSafariFont"/>
      <family val="2"/>
    </font>
    <font>
      <sz val="12"/>
      <color rgb="FF000000"/>
      <name val="LarkHackSafariFont"/>
      <family val="2"/>
    </font>
    <font>
      <sz val="12"/>
      <color rgb="FFFF0000"/>
      <name val="LarkHackSafariFont"/>
      <family val="2"/>
    </font>
  </fonts>
  <fills count="3">
    <fill>
      <patternFill patternType="none">
        <fgColor/>
        <bgColor/>
      </patternFill>
    </fill>
    <fill>
      <patternFill patternType="gray125">
        <fgColor/>
        <bgColor/>
      </patternFill>
    </fill>
    <fill>
      <patternFill patternType="solid">
        <fgColor rgb="FFFFFF00"/>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true" applyProtection="false" borderId="0" fillId="0" fontId="1" numFmtId="164" xfId="0">
      <alignment vertical="bottom"/>
    </xf>
    <xf applyAlignment="true" applyBorder="false" applyFill="true" applyFont="true" applyNumberFormat="false" applyProtection="false" borderId="0" fillId="2" fontId="2" numFmtId="0" xfId="0">
      <alignment horizontal="center" vertical="bottom" wrapText="true"/>
    </xf>
    <xf applyAlignment="true" applyBorder="false" applyFill="false" applyFont="true" applyNumberFormat="false" applyProtection="false" borderId="0" fillId="0" fontId="3" numFmtId="0" xfId="0">
      <alignment vertical="bottom" wrapText="true"/>
    </xf>
    <xf applyAlignment="true" applyBorder="false" applyFill="false" applyFont="true" applyNumberFormat="false" applyProtection="false" borderId="0" fillId="0" fontId="1" numFmtId="0" xfId="0">
      <alignment vertical="bottom" wrapText="true"/>
    </xf>
    <xf applyAlignment="true" applyBorder="false" applyFill="true" applyFont="true" applyNumberFormat="false" applyProtection="false" borderId="0" fillId="2" fontId="5" numFmtId="0"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election activeCell="B5" sqref="B5"/>
    </sheetView>
  </sheetViews>
  <sheetFormatPr defaultColWidth="1" defaultRowHeight="11.555555555555555"/>
  <cols>
    <col collapsed="false" customWidth="true" hidden="false" max="3" min="3" style="0" width="41.13333333333333"/>
    <col collapsed="false" customWidth="true" hidden="false" max="4" min="4" style="0" width="54.2"/>
    <col collapsed="false" customWidth="true" hidden="false" max="5" min="5" style="0" width="26.333333333333332"/>
    <col collapsed="false" customWidth="true" hidden="false" max="1" min="1" style="0" width="20.6"/>
    <col collapsed="false" customWidth="true" hidden="false" max="2" min="2" style="0" width="38.06666666666667"/>
  </cols>
  <sheetData>
    <row customHeight="true" ht="17.777777777777775" r="1">
      <c r="A1" s="3" t="s">
        <v>191</v>
      </c>
      <c r="B1" s="3" t="s">
        <v>192</v>
      </c>
      <c r="C1" s="3" t="s">
        <v>193</v>
      </c>
      <c r="D1" s="3" t="s">
        <v>194</v>
      </c>
      <c r="E1" s="3" t="s">
        <v>195</v>
      </c>
      <c r="F1" s="6"/>
      <c r="G1" s="6"/>
      <c r="H1" s="6"/>
      <c r="I1" s="6"/>
      <c r="J1" s="6"/>
      <c r="K1" s="6"/>
      <c r="L1" s="6"/>
      <c r="M1" s="6"/>
      <c r="N1" s="6"/>
      <c r="O1" s="6"/>
      <c r="P1" s="6"/>
      <c r="Q1" s="6"/>
      <c r="R1" s="6"/>
      <c r="S1" s="6"/>
      <c r="T1" s="6"/>
    </row>
    <row customHeight="true" ht="223.7037037037037" r="2">
      <c r="A2" s="4" t="s">
        <v>196</v>
      </c>
      <c r="B2" s="5" t="s">
        <v>197</v>
      </c>
      <c r="C2" s="4" t="s">
        <v>198</v>
      </c>
      <c r="D2" s="5" t="s">
        <v>199</v>
      </c>
      <c r="E2" s="5" t="s">
        <v>200</v>
      </c>
    </row>
    <row customHeight="true" ht="223.7037037037037" r="3">
      <c r="A3" s="4" t="s">
        <v>201</v>
      </c>
      <c r="B3" s="5" t="s">
        <v>202</v>
      </c>
      <c r="C3" s="4" t="s">
        <v>203</v>
      </c>
      <c r="D3" s="5" t="s">
        <v>204</v>
      </c>
      <c r="E3" s="5" t="s">
        <v>205</v>
      </c>
    </row>
    <row customHeight="true" ht="223.7037037037037" r="4">
      <c r="A4" s="4" t="s">
        <v>206</v>
      </c>
      <c r="B4" s="5" t="s">
        <v>207</v>
      </c>
      <c r="C4" s="4" t="s">
        <v>208</v>
      </c>
      <c r="D4" s="5" t="s">
        <v>209</v>
      </c>
      <c r="E4" s="5" t="s">
        <v>210</v>
      </c>
    </row>
    <row customHeight="true" ht="223.7037037037037" r="5">
      <c r="A5" s="4" t="s">
        <v>211</v>
      </c>
      <c r="B5" s="5" t="s">
        <v>212</v>
      </c>
      <c r="C5" s="4" t="s">
        <v>213</v>
      </c>
      <c r="D5" s="5" t="s">
        <v>214</v>
      </c>
      <c r="E5" s="5" t="s">
        <v>215</v>
      </c>
    </row>
    <row customHeight="true" ht="223.7037037037037" r="6">
      <c r="A6" s="4" t="s">
        <v>216</v>
      </c>
      <c r="B6" s="5" t="s">
        <v>217</v>
      </c>
      <c r="C6" s="4" t="s">
        <v>218</v>
      </c>
      <c r="D6" s="5" t="s">
        <v>219</v>
      </c>
      <c r="E6" s="5" t="s">
        <v>220</v>
      </c>
    </row>
    <row customHeight="true" ht="223.7037037037037" r="7">
      <c r="A7" s="4" t="s">
        <v>221</v>
      </c>
      <c r="B7" s="5" t="s">
        <v>222</v>
      </c>
      <c r="C7" s="4" t="s">
        <v>223</v>
      </c>
      <c r="D7" s="5" t="s">
        <v>224</v>
      </c>
      <c r="E7" s="5" t="s">
        <v>225</v>
      </c>
    </row>
    <row customHeight="true" ht="223.7037037037037" r="8">
      <c r="A8" s="4" t="s">
        <v>226</v>
      </c>
      <c r="B8" s="5" t="s">
        <v>227</v>
      </c>
      <c r="C8" s="4" t="s">
        <v>228</v>
      </c>
      <c r="D8" s="5" t="s">
        <v>229</v>
      </c>
      <c r="E8" s="5" t="s">
        <v>230</v>
      </c>
    </row>
  </sheetData>
  <pageMargins bottom="0.75" footer="0.3" header="0.3" left="0.7" right="0.7" top="0.75"/>
</worksheet>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 defaultRowHeight="11.555555555555555"/>
  <cols>
    <col collapsed="false" customWidth="true" hidden="false" max="19" min="19" style="0" width="14.6"/>
    <col collapsed="false" customWidth="true" hidden="false" max="12" min="12" style="0" width="17.4"/>
    <col collapsed="false" customWidth="true" hidden="false" max="18" min="18" style="0" width="13.533333333333333"/>
  </cols>
  <sheetData>
    <row customHeight="true" ht="17.777777777777775" r="1">
      <c r="A1" s="1" t="s">
        <v>1</v>
      </c>
      <c r="B1" s="1" t="s">
        <v>2</v>
      </c>
      <c r="C1" s="1" t="s">
        <v>3</v>
      </c>
      <c r="D1" s="1" t="s">
        <v>4</v>
      </c>
      <c r="E1" s="1" t="s">
        <v>5</v>
      </c>
      <c r="F1" s="1" t="s">
        <v>6</v>
      </c>
      <c r="G1" s="1" t="s">
        <v>7</v>
      </c>
      <c r="H1" s="1" t="s">
        <v>8</v>
      </c>
      <c r="I1" s="1" t="s">
        <v>9</v>
      </c>
      <c r="J1" s="1" t="s">
        <v>10</v>
      </c>
      <c r="K1" s="1" t="s">
        <v>11</v>
      </c>
      <c r="L1" s="2" t="s">
        <v>12</v>
      </c>
      <c r="M1" s="1" t="s">
        <v>13</v>
      </c>
      <c r="N1" s="1" t="s">
        <v>14</v>
      </c>
      <c r="O1" s="1" t="s">
        <v>15</v>
      </c>
      <c r="P1" s="1" t="s">
        <v>16</v>
      </c>
      <c r="Q1" s="1" t="s">
        <v>17</v>
      </c>
      <c r="R1" s="2" t="s">
        <v>18</v>
      </c>
      <c r="S1" s="2" t="s">
        <v>19</v>
      </c>
    </row>
    <row customHeight="true" ht="17.777777777777775" r="2">
      <c r="A2" s="1" t="s">
        <v>20</v>
      </c>
      <c r="B2" s="1">
        <v>56</v>
      </c>
      <c r="C2" s="1">
        <v>83</v>
      </c>
      <c r="D2" s="1">
        <v>26</v>
      </c>
      <c r="E2" s="1">
        <v>6</v>
      </c>
      <c r="F2" s="1">
        <v>642</v>
      </c>
      <c r="G2" s="1" t="s">
        <v>21</v>
      </c>
      <c r="H2" s="1" t="s">
        <v>22</v>
      </c>
      <c r="I2" s="1" t="s">
        <v>23</v>
      </c>
      <c r="J2" s="1" t="s">
        <v>24</v>
      </c>
      <c r="K2" s="1" t="s">
        <v>25</v>
      </c>
      <c r="L2" s="2">
        <v>0.1567</v>
      </c>
      <c r="M2" s="1">
        <v>0.0066</v>
      </c>
      <c r="N2" s="1">
        <v>0.4679</v>
      </c>
      <c r="O2" s="1">
        <v>15.67</v>
      </c>
      <c r="P2" s="1">
        <v>638.22</v>
      </c>
      <c r="Q2">
        <f>B2-D2</f>
      </c>
      <c r="R2" s="2">
        <f>D2/B2</f>
      </c>
      <c r="S2" s="2">
        <f>1-R2</f>
      </c>
    </row>
    <row customHeight="true" ht="17.777777777777775" r="3">
      <c r="A3" s="1" t="s">
        <v>26</v>
      </c>
      <c r="B3" s="1">
        <v>56</v>
      </c>
      <c r="C3" s="1">
        <v>70</v>
      </c>
      <c r="D3" s="1">
        <v>24</v>
      </c>
      <c r="E3" s="1">
        <v>6</v>
      </c>
      <c r="F3" s="1">
        <v>709</v>
      </c>
      <c r="G3" s="1" t="s">
        <v>21</v>
      </c>
      <c r="H3" s="1" t="s">
        <v>27</v>
      </c>
      <c r="I3" s="1" t="s">
        <v>28</v>
      </c>
      <c r="J3" s="1" t="s">
        <v>29</v>
      </c>
      <c r="K3" s="1" t="s">
        <v>30</v>
      </c>
      <c r="L3" s="2">
        <v>0.1761</v>
      </c>
      <c r="M3" s="1">
        <v>0.0074</v>
      </c>
      <c r="N3" s="1">
        <v>0.4603</v>
      </c>
      <c r="O3" s="1">
        <v>17.61</v>
      </c>
      <c r="P3" s="1">
        <v>567.94</v>
      </c>
      <c r="Q3">
        <f t="shared" ref="Q3:Q31" si="1">B3-D3</f>
      </c>
      <c r="R3" s="2">
        <f t="shared" ref="R3:R31" si="2">D3/B3</f>
      </c>
      <c r="S3" s="2">
        <f t="shared" ref="S3:S31" si="0">1-R3</f>
      </c>
    </row>
    <row customHeight="true" ht="17.777777777777775" r="4">
      <c r="A4" s="1" t="s">
        <v>31</v>
      </c>
      <c r="B4" s="1">
        <v>13</v>
      </c>
      <c r="C4" s="1">
        <v>28</v>
      </c>
      <c r="D4" s="1">
        <v>11</v>
      </c>
      <c r="E4" s="1">
        <v>3</v>
      </c>
      <c r="F4" s="1">
        <v>448</v>
      </c>
      <c r="G4" s="1" t="s">
        <v>32</v>
      </c>
      <c r="H4" s="1" t="s">
        <v>33</v>
      </c>
      <c r="I4" s="1" t="s">
        <v>34</v>
      </c>
      <c r="J4" s="1" t="s">
        <v>35</v>
      </c>
      <c r="K4" s="1" t="s">
        <v>36</v>
      </c>
      <c r="L4" s="2">
        <v>0.2198</v>
      </c>
      <c r="M4" s="1">
        <v>0.0043</v>
      </c>
      <c r="N4" s="1">
        <v>0.4974</v>
      </c>
      <c r="O4" s="1">
        <v>21.98</v>
      </c>
      <c r="P4" s="1">
        <v>454.95</v>
      </c>
      <c r="Q4">
        <f t="shared" si="1"/>
      </c>
      <c r="R4" s="2">
        <f t="shared" si="2"/>
      </c>
      <c r="S4" s="2">
        <f t="shared" si="0"/>
      </c>
    </row>
    <row customHeight="true" ht="17.777777777777775" r="5">
      <c r="A5" s="1" t="s">
        <v>37</v>
      </c>
      <c r="B5" s="1">
        <v>15</v>
      </c>
      <c r="C5" s="1">
        <v>11</v>
      </c>
      <c r="D5" s="1">
        <v>15</v>
      </c>
      <c r="E5" s="1">
        <v>1</v>
      </c>
      <c r="F5" s="1">
        <v>456</v>
      </c>
      <c r="G5" s="1" t="s">
        <v>38</v>
      </c>
      <c r="H5" s="1" t="s">
        <v>39</v>
      </c>
      <c r="I5" s="1" t="s">
        <v>40</v>
      </c>
      <c r="J5" s="1" t="s">
        <v>41</v>
      </c>
      <c r="K5" s="1" t="s">
        <v>42</v>
      </c>
      <c r="L5" s="2">
        <v>0.1655</v>
      </c>
      <c r="M5" s="1">
        <v>0.0044</v>
      </c>
      <c r="N5" s="1">
        <v>0.4887</v>
      </c>
      <c r="O5" s="1">
        <v>16.55</v>
      </c>
      <c r="P5" s="1">
        <v>604.29</v>
      </c>
      <c r="Q5">
        <f t="shared" si="1"/>
      </c>
      <c r="R5" s="2">
        <f t="shared" si="2"/>
      </c>
      <c r="S5" s="2">
        <f t="shared" si="0"/>
      </c>
    </row>
    <row customHeight="true" ht="17.777777777777775" r="6">
      <c r="A6" s="1" t="s">
        <v>43</v>
      </c>
      <c r="B6" s="1">
        <v>14</v>
      </c>
      <c r="C6" s="1">
        <v>10</v>
      </c>
      <c r="D6" s="1">
        <v>16</v>
      </c>
      <c r="E6" s="1">
        <v>1</v>
      </c>
      <c r="F6" s="1">
        <v>600</v>
      </c>
      <c r="G6" s="1" t="s">
        <v>44</v>
      </c>
      <c r="H6" s="1" t="s">
        <v>45</v>
      </c>
      <c r="I6" s="1" t="s">
        <v>46</v>
      </c>
      <c r="J6" s="1" t="s">
        <v>47</v>
      </c>
      <c r="K6" s="1" t="s">
        <v>48</v>
      </c>
      <c r="L6" s="2">
        <v>0.1778</v>
      </c>
      <c r="M6" s="1">
        <v>0.0044</v>
      </c>
      <c r="N6" s="1">
        <v>0.4544</v>
      </c>
      <c r="O6" s="1">
        <v>17.78</v>
      </c>
      <c r="P6" s="1">
        <v>562.3</v>
      </c>
      <c r="Q6">
        <f t="shared" si="1"/>
      </c>
      <c r="R6" s="2">
        <f t="shared" si="2"/>
      </c>
      <c r="S6" s="2">
        <f t="shared" si="0"/>
      </c>
    </row>
    <row customHeight="true" ht="17.777777777777775" r="7">
      <c r="A7" s="1" t="s">
        <v>49</v>
      </c>
      <c r="B7" s="1">
        <v>43</v>
      </c>
      <c r="C7" s="1">
        <v>29</v>
      </c>
      <c r="D7" s="1">
        <v>23</v>
      </c>
      <c r="E7" s="1">
        <v>4</v>
      </c>
      <c r="F7" s="1">
        <v>569</v>
      </c>
      <c r="G7" s="1" t="s">
        <v>50</v>
      </c>
      <c r="H7" s="1" t="s">
        <v>51</v>
      </c>
      <c r="I7" s="1" t="s">
        <v>52</v>
      </c>
      <c r="J7" s="1" t="s">
        <v>53</v>
      </c>
      <c r="K7" s="1" t="s">
        <v>54</v>
      </c>
      <c r="L7" s="2">
        <v>0.1486</v>
      </c>
      <c r="M7" s="1">
        <v>0.0056</v>
      </c>
      <c r="N7" s="1">
        <v>0.4395</v>
      </c>
      <c r="O7" s="1">
        <v>14.86</v>
      </c>
      <c r="P7" s="1">
        <v>673.14</v>
      </c>
      <c r="Q7">
        <f t="shared" si="1"/>
      </c>
      <c r="R7" s="2">
        <f t="shared" si="2"/>
      </c>
      <c r="S7" s="2">
        <f t="shared" si="0"/>
      </c>
    </row>
    <row customHeight="true" ht="17.777777777777775" r="8">
      <c r="A8" s="1" t="s">
        <v>55</v>
      </c>
      <c r="B8" s="1">
        <v>47</v>
      </c>
      <c r="C8" s="1">
        <v>46</v>
      </c>
      <c r="D8" s="1">
        <v>17</v>
      </c>
      <c r="E8" s="1">
        <v>17</v>
      </c>
      <c r="F8" s="1">
        <v>506</v>
      </c>
      <c r="G8" s="1" t="s">
        <v>56</v>
      </c>
      <c r="H8" s="1" t="s">
        <v>57</v>
      </c>
      <c r="I8" s="1" t="s">
        <v>58</v>
      </c>
      <c r="J8" s="1" t="s">
        <v>59</v>
      </c>
      <c r="K8" s="1" t="s">
        <v>60</v>
      </c>
      <c r="L8" s="2">
        <v>0.189</v>
      </c>
      <c r="M8" s="1">
        <v>0.0054</v>
      </c>
      <c r="N8" s="1">
        <v>0.4862</v>
      </c>
      <c r="O8" s="1">
        <v>18.9</v>
      </c>
      <c r="P8" s="1">
        <v>529.16</v>
      </c>
      <c r="Q8">
        <f t="shared" si="1"/>
      </c>
      <c r="R8" s="2">
        <f t="shared" si="2"/>
      </c>
      <c r="S8" s="2">
        <f t="shared" si="0"/>
      </c>
    </row>
    <row customHeight="true" ht="17.777777777777775" r="9">
      <c r="A9" s="1" t="s">
        <v>61</v>
      </c>
      <c r="B9" s="1">
        <v>33</v>
      </c>
      <c r="C9" s="1">
        <v>40</v>
      </c>
      <c r="D9" s="1">
        <v>20</v>
      </c>
      <c r="E9" s="1">
        <v>3</v>
      </c>
      <c r="F9" s="1">
        <v>534</v>
      </c>
      <c r="G9" s="1" t="s">
        <v>62</v>
      </c>
      <c r="H9" s="1" t="s">
        <v>63</v>
      </c>
      <c r="I9" s="1" t="s">
        <v>64</v>
      </c>
      <c r="J9" s="1" t="s">
        <v>65</v>
      </c>
      <c r="K9" s="1" t="s">
        <v>66</v>
      </c>
      <c r="L9" s="2">
        <v>0.156</v>
      </c>
      <c r="M9" s="1">
        <v>0.0058</v>
      </c>
      <c r="N9" s="1">
        <v>0.4718</v>
      </c>
      <c r="O9" s="1">
        <v>15.6</v>
      </c>
      <c r="P9" s="1">
        <v>640.96</v>
      </c>
      <c r="Q9">
        <f t="shared" si="1"/>
      </c>
      <c r="R9" s="2">
        <f t="shared" si="2"/>
      </c>
      <c r="S9" s="2">
        <f t="shared" si="0"/>
      </c>
    </row>
    <row customHeight="true" ht="17.777777777777775" r="10">
      <c r="A10" s="1" t="s">
        <v>67</v>
      </c>
      <c r="B10" s="1">
        <v>38</v>
      </c>
      <c r="C10" s="1">
        <v>39</v>
      </c>
      <c r="D10" s="1">
        <v>14</v>
      </c>
      <c r="E10" s="1">
        <v>9</v>
      </c>
      <c r="F10" s="1">
        <v>441</v>
      </c>
      <c r="G10" s="1" t="s">
        <v>68</v>
      </c>
      <c r="H10" s="1" t="s">
        <v>69</v>
      </c>
      <c r="I10" s="1" t="s">
        <v>70</v>
      </c>
      <c r="J10" s="1" t="s">
        <v>71</v>
      </c>
      <c r="K10" s="1" t="s">
        <v>72</v>
      </c>
      <c r="L10" s="2">
        <v>0.1669</v>
      </c>
      <c r="M10" s="1">
        <v>0.0058</v>
      </c>
      <c r="N10" s="1">
        <v>0.5116</v>
      </c>
      <c r="O10" s="1">
        <v>16.69</v>
      </c>
      <c r="P10" s="1">
        <v>599.33</v>
      </c>
      <c r="Q10">
        <f t="shared" si="1"/>
      </c>
      <c r="R10" s="2">
        <f t="shared" si="2"/>
      </c>
      <c r="S10" s="2">
        <f t="shared" si="0"/>
      </c>
    </row>
    <row customHeight="true" ht="17.777777777777775" r="11">
      <c r="A11" s="1" t="s">
        <v>73</v>
      </c>
      <c r="B11" s="1">
        <v>34</v>
      </c>
      <c r="C11" s="1">
        <v>46</v>
      </c>
      <c r="D11" s="1">
        <v>14</v>
      </c>
      <c r="E11" s="1">
        <v>4</v>
      </c>
      <c r="F11" s="1">
        <v>399</v>
      </c>
      <c r="G11" s="1" t="s">
        <v>74</v>
      </c>
      <c r="H11" s="1" t="s">
        <v>75</v>
      </c>
      <c r="I11" s="1" t="s">
        <v>76</v>
      </c>
      <c r="J11" s="1" t="s">
        <v>77</v>
      </c>
      <c r="K11" s="1" t="s">
        <v>78</v>
      </c>
      <c r="L11" s="2">
        <v>0.1793</v>
      </c>
      <c r="M11" s="1">
        <v>0.0069</v>
      </c>
      <c r="N11" s="1">
        <v>0.4872</v>
      </c>
      <c r="O11" s="1">
        <v>17.93</v>
      </c>
      <c r="P11" s="1">
        <v>557.73</v>
      </c>
      <c r="Q11">
        <f t="shared" si="1"/>
      </c>
      <c r="R11" s="2">
        <f t="shared" si="2"/>
      </c>
      <c r="S11" s="2">
        <f t="shared" si="0"/>
      </c>
    </row>
    <row customHeight="true" ht="17.777777777777775" r="12">
      <c r="A12" s="1" t="s">
        <v>79</v>
      </c>
      <c r="B12" s="1">
        <v>24</v>
      </c>
      <c r="C12" s="1">
        <v>9</v>
      </c>
      <c r="D12" s="1">
        <v>13</v>
      </c>
      <c r="E12" s="1">
        <v>0</v>
      </c>
      <c r="F12" s="1">
        <v>457</v>
      </c>
      <c r="G12" s="1" t="s">
        <v>80</v>
      </c>
      <c r="H12" s="1" t="s">
        <v>81</v>
      </c>
      <c r="I12" s="1" t="s">
        <v>82</v>
      </c>
      <c r="J12" s="1" t="s">
        <v>83</v>
      </c>
      <c r="K12" s="1" t="s">
        <v>84</v>
      </c>
      <c r="L12" s="2">
        <v>0.2051</v>
      </c>
      <c r="M12" s="1">
        <v>0.0063</v>
      </c>
      <c r="N12" s="1">
        <v>0.4374</v>
      </c>
      <c r="O12" s="1">
        <v>20.51</v>
      </c>
      <c r="P12" s="1">
        <v>487.46</v>
      </c>
      <c r="Q12">
        <f t="shared" si="1"/>
      </c>
      <c r="R12" s="2">
        <f t="shared" si="2"/>
      </c>
      <c r="S12" s="2">
        <f t="shared" si="0"/>
      </c>
    </row>
    <row customHeight="true" ht="17.777777777777775" r="13">
      <c r="A13" s="1" t="s">
        <v>85</v>
      </c>
      <c r="B13" s="1">
        <v>46</v>
      </c>
      <c r="C13" s="1">
        <v>30</v>
      </c>
      <c r="D13" s="1">
        <v>13</v>
      </c>
      <c r="E13" s="1">
        <v>4</v>
      </c>
      <c r="F13" s="1">
        <v>598</v>
      </c>
      <c r="G13" s="1" t="s">
        <v>86</v>
      </c>
      <c r="H13" s="1" t="s">
        <v>87</v>
      </c>
      <c r="I13" s="1" t="s">
        <v>88</v>
      </c>
      <c r="J13" s="1" t="s">
        <v>89</v>
      </c>
      <c r="K13" s="1" t="s">
        <v>84</v>
      </c>
      <c r="L13" s="2">
        <v>0.2101</v>
      </c>
      <c r="M13" s="1">
        <v>0.0054</v>
      </c>
      <c r="N13" s="1">
        <v>0.4349</v>
      </c>
      <c r="O13" s="1">
        <v>21.01</v>
      </c>
      <c r="P13" s="1">
        <v>475.96</v>
      </c>
      <c r="Q13">
        <f t="shared" si="1"/>
      </c>
      <c r="R13" s="2">
        <f t="shared" si="2"/>
      </c>
      <c r="S13" s="2">
        <f t="shared" si="0"/>
      </c>
    </row>
    <row customHeight="true" ht="17.777777777777775" r="14">
      <c r="A14" s="1" t="s">
        <v>90</v>
      </c>
      <c r="B14" s="1">
        <v>47</v>
      </c>
      <c r="C14" s="1">
        <v>52</v>
      </c>
      <c r="D14" s="1">
        <v>22</v>
      </c>
      <c r="E14" s="1">
        <v>7</v>
      </c>
      <c r="F14" s="1">
        <v>564</v>
      </c>
      <c r="G14" s="1" t="s">
        <v>91</v>
      </c>
      <c r="H14" s="1" t="s">
        <v>92</v>
      </c>
      <c r="I14" s="1" t="s">
        <v>93</v>
      </c>
      <c r="J14" s="1" t="s">
        <v>94</v>
      </c>
      <c r="K14" s="1" t="s">
        <v>60</v>
      </c>
      <c r="L14" s="2">
        <v>0.1341</v>
      </c>
      <c r="M14" s="1">
        <v>0.0063</v>
      </c>
      <c r="N14" s="1">
        <v>0.4493</v>
      </c>
      <c r="O14" s="1">
        <v>13.41</v>
      </c>
      <c r="P14" s="1">
        <v>745.6</v>
      </c>
      <c r="Q14">
        <f t="shared" si="1"/>
      </c>
      <c r="R14" s="2">
        <f t="shared" si="2"/>
      </c>
      <c r="S14" s="2">
        <f t="shared" si="0"/>
      </c>
    </row>
    <row customHeight="true" ht="17.777777777777775" r="15">
      <c r="A15" s="1" t="s">
        <v>95</v>
      </c>
      <c r="B15" s="1">
        <v>40</v>
      </c>
      <c r="C15" s="1">
        <v>44</v>
      </c>
      <c r="D15" s="1">
        <v>17</v>
      </c>
      <c r="E15" s="1">
        <v>6</v>
      </c>
      <c r="F15" s="1">
        <v>510</v>
      </c>
      <c r="G15" s="1" t="s">
        <v>96</v>
      </c>
      <c r="H15" s="1" t="s">
        <v>97</v>
      </c>
      <c r="I15" s="1" t="s">
        <v>98</v>
      </c>
      <c r="J15" s="1" t="s">
        <v>99</v>
      </c>
      <c r="K15" s="1" t="s">
        <v>100</v>
      </c>
      <c r="L15" s="2">
        <v>0.1788</v>
      </c>
      <c r="M15" s="1">
        <v>0.0069</v>
      </c>
      <c r="N15" s="1">
        <v>0.4299</v>
      </c>
      <c r="O15" s="1">
        <v>17.88</v>
      </c>
      <c r="P15" s="1">
        <v>559.32</v>
      </c>
      <c r="Q15">
        <f t="shared" si="1"/>
      </c>
      <c r="R15" s="2">
        <f t="shared" si="2"/>
      </c>
      <c r="S15" s="2">
        <f t="shared" si="0"/>
      </c>
    </row>
    <row customHeight="true" ht="17.777777777777775" r="16">
      <c r="A16" s="1" t="s">
        <v>101</v>
      </c>
      <c r="B16" s="1">
        <v>29</v>
      </c>
      <c r="C16" s="1">
        <v>35</v>
      </c>
      <c r="D16" s="1">
        <v>19</v>
      </c>
      <c r="E16" s="1">
        <v>4</v>
      </c>
      <c r="F16" s="1">
        <v>506</v>
      </c>
      <c r="G16" s="1" t="s">
        <v>102</v>
      </c>
      <c r="H16" s="1" t="s">
        <v>103</v>
      </c>
      <c r="I16" s="1" t="s">
        <v>104</v>
      </c>
      <c r="J16" s="1" t="s">
        <v>105</v>
      </c>
      <c r="K16" s="1" t="s">
        <v>36</v>
      </c>
      <c r="L16" s="2">
        <v>0.1498</v>
      </c>
      <c r="M16" s="1">
        <v>0.0059</v>
      </c>
      <c r="N16" s="1">
        <v>0.4565</v>
      </c>
      <c r="O16" s="1">
        <v>14.98</v>
      </c>
      <c r="P16" s="1">
        <v>667.72</v>
      </c>
      <c r="Q16">
        <f t="shared" si="1"/>
      </c>
      <c r="R16" s="2">
        <f t="shared" si="2"/>
      </c>
      <c r="S16" s="2">
        <f t="shared" si="0"/>
      </c>
    </row>
    <row customHeight="true" ht="17.777777777777775" r="17">
      <c r="A17" s="1" t="s">
        <v>106</v>
      </c>
      <c r="B17" s="1">
        <v>39</v>
      </c>
      <c r="C17" s="1">
        <v>38</v>
      </c>
      <c r="D17" s="1">
        <v>19</v>
      </c>
      <c r="E17" s="1">
        <v>5</v>
      </c>
      <c r="F17" s="1">
        <v>498</v>
      </c>
      <c r="G17" s="1" t="s">
        <v>107</v>
      </c>
      <c r="H17" s="1" t="s">
        <v>108</v>
      </c>
      <c r="I17" s="1" t="s">
        <v>109</v>
      </c>
      <c r="J17" s="1" t="s">
        <v>110</v>
      </c>
      <c r="K17" s="1" t="s">
        <v>111</v>
      </c>
      <c r="L17" s="2">
        <v>0.1488</v>
      </c>
      <c r="M17" s="1">
        <v>0.007</v>
      </c>
      <c r="N17" s="1">
        <v>0.4374</v>
      </c>
      <c r="O17" s="1">
        <v>14.88</v>
      </c>
      <c r="P17" s="1">
        <v>671.83</v>
      </c>
      <c r="Q17">
        <f t="shared" si="1"/>
      </c>
      <c r="R17" s="2">
        <f t="shared" si="2"/>
      </c>
      <c r="S17" s="2">
        <f t="shared" si="0"/>
      </c>
    </row>
    <row customHeight="true" ht="17.777777777777775" r="18">
      <c r="A18" s="1" t="s">
        <v>112</v>
      </c>
      <c r="B18" s="1">
        <v>44</v>
      </c>
      <c r="C18" s="1">
        <v>47</v>
      </c>
      <c r="D18" s="1">
        <v>10</v>
      </c>
      <c r="E18" s="1">
        <v>2</v>
      </c>
      <c r="F18" s="1">
        <v>462</v>
      </c>
      <c r="G18" s="1" t="s">
        <v>113</v>
      </c>
      <c r="H18" s="1" t="s">
        <v>114</v>
      </c>
      <c r="I18" s="1" t="s">
        <v>115</v>
      </c>
      <c r="J18" s="1" t="s">
        <v>116</v>
      </c>
      <c r="K18" s="1" t="s">
        <v>117</v>
      </c>
      <c r="L18" s="2">
        <v>0.2447</v>
      </c>
      <c r="M18" s="1">
        <v>0.0062</v>
      </c>
      <c r="N18" s="1">
        <v>0.4963</v>
      </c>
      <c r="O18" s="1">
        <v>24.47</v>
      </c>
      <c r="P18" s="1">
        <v>408.68</v>
      </c>
      <c r="Q18">
        <f t="shared" si="1"/>
      </c>
      <c r="R18" s="2">
        <f t="shared" si="2"/>
      </c>
      <c r="S18" s="2">
        <f t="shared" si="0"/>
      </c>
    </row>
    <row customHeight="true" ht="17.777777777777775" r="19">
      <c r="A19" s="1" t="s">
        <v>118</v>
      </c>
      <c r="B19" s="1">
        <v>22</v>
      </c>
      <c r="C19" s="1">
        <v>26</v>
      </c>
      <c r="D19" s="1">
        <v>13</v>
      </c>
      <c r="E19" s="1">
        <v>1</v>
      </c>
      <c r="F19" s="1">
        <v>432</v>
      </c>
      <c r="G19" s="1" t="s">
        <v>119</v>
      </c>
      <c r="H19" s="1" t="s">
        <v>120</v>
      </c>
      <c r="I19" s="1" t="s">
        <v>121</v>
      </c>
      <c r="J19" s="1" t="s">
        <v>122</v>
      </c>
      <c r="K19" s="1" t="s">
        <v>123</v>
      </c>
      <c r="L19" s="2">
        <v>0.1979</v>
      </c>
      <c r="M19" s="1">
        <v>0.0054</v>
      </c>
      <c r="N19" s="1">
        <v>0.4749</v>
      </c>
      <c r="O19" s="1">
        <v>19.79</v>
      </c>
      <c r="P19" s="1">
        <v>505.26</v>
      </c>
      <c r="Q19">
        <f t="shared" si="1"/>
      </c>
      <c r="R19" s="2">
        <f t="shared" si="2"/>
      </c>
      <c r="S19" s="2">
        <f t="shared" si="0"/>
      </c>
    </row>
    <row customHeight="true" ht="17.777777777777775" r="20">
      <c r="A20" s="1" t="s">
        <v>124</v>
      </c>
      <c r="B20" s="1">
        <v>41</v>
      </c>
      <c r="C20" s="1">
        <v>27</v>
      </c>
      <c r="D20" s="1">
        <v>22</v>
      </c>
      <c r="E20" s="1">
        <v>3</v>
      </c>
      <c r="F20" s="1">
        <v>544</v>
      </c>
      <c r="G20" s="1" t="s">
        <v>125</v>
      </c>
      <c r="H20" s="1" t="s">
        <v>126</v>
      </c>
      <c r="I20" s="1" t="s">
        <v>127</v>
      </c>
      <c r="J20" s="1" t="s">
        <v>128</v>
      </c>
      <c r="K20" s="1" t="s">
        <v>25</v>
      </c>
      <c r="L20" s="2">
        <v>0.1406</v>
      </c>
      <c r="M20" s="1">
        <v>0.006</v>
      </c>
      <c r="N20" s="1">
        <v>0.433</v>
      </c>
      <c r="O20" s="1">
        <v>14.06</v>
      </c>
      <c r="P20" s="1">
        <v>711.02</v>
      </c>
      <c r="Q20">
        <f t="shared" si="1"/>
      </c>
      <c r="R20" s="2">
        <f t="shared" si="2"/>
      </c>
      <c r="S20" s="2">
        <f t="shared" si="0"/>
      </c>
    </row>
    <row customHeight="true" ht="17.777777777777775" r="21">
      <c r="A21" s="1" t="s">
        <v>129</v>
      </c>
      <c r="B21" s="1">
        <v>47</v>
      </c>
      <c r="C21" s="1">
        <v>56</v>
      </c>
      <c r="D21" s="1">
        <v>26</v>
      </c>
      <c r="E21" s="1">
        <v>2</v>
      </c>
      <c r="F21" s="1">
        <v>523</v>
      </c>
      <c r="G21" s="1" t="s">
        <v>130</v>
      </c>
      <c r="H21" s="1" t="s">
        <v>131</v>
      </c>
      <c r="I21" s="1" t="s">
        <v>132</v>
      </c>
      <c r="J21" s="1" t="s">
        <v>133</v>
      </c>
      <c r="K21" s="1" t="s">
        <v>134</v>
      </c>
      <c r="L21" s="2">
        <v>0.1121</v>
      </c>
      <c r="M21" s="1">
        <v>0.0065</v>
      </c>
      <c r="N21" s="1">
        <v>0.4395</v>
      </c>
      <c r="O21" s="1">
        <v>11.21</v>
      </c>
      <c r="P21" s="1">
        <v>892.42</v>
      </c>
      <c r="Q21">
        <f t="shared" si="1"/>
      </c>
      <c r="R21" s="2">
        <f t="shared" si="2"/>
      </c>
      <c r="S21" s="2">
        <f t="shared" si="0"/>
      </c>
    </row>
    <row customHeight="true" ht="17.777777777777775" r="22">
      <c r="A22" s="1" t="s">
        <v>135</v>
      </c>
      <c r="B22" s="1">
        <v>34</v>
      </c>
      <c r="C22" s="1">
        <v>36</v>
      </c>
      <c r="D22" s="1">
        <v>16</v>
      </c>
      <c r="E22" s="1">
        <v>7</v>
      </c>
      <c r="F22" s="1">
        <v>506</v>
      </c>
      <c r="G22" s="1" t="s">
        <v>136</v>
      </c>
      <c r="H22" s="1" t="s">
        <v>137</v>
      </c>
      <c r="I22" s="1" t="s">
        <v>138</v>
      </c>
      <c r="J22" s="1" t="s">
        <v>139</v>
      </c>
      <c r="K22" s="1" t="s">
        <v>140</v>
      </c>
      <c r="L22" s="2">
        <v>0.1896</v>
      </c>
      <c r="M22" s="1">
        <v>0.0051</v>
      </c>
      <c r="N22" s="1">
        <v>0.4587</v>
      </c>
      <c r="O22" s="1">
        <v>18.96</v>
      </c>
      <c r="P22" s="1">
        <v>527.5</v>
      </c>
      <c r="Q22">
        <f t="shared" si="1"/>
      </c>
      <c r="R22" s="2">
        <f t="shared" si="2"/>
      </c>
      <c r="S22" s="2">
        <f t="shared" si="0"/>
      </c>
    </row>
    <row customHeight="true" ht="17.777777777777775" r="23">
      <c r="A23" s="1" t="s">
        <v>141</v>
      </c>
      <c r="B23" s="1">
        <v>38</v>
      </c>
      <c r="C23" s="1">
        <v>46</v>
      </c>
      <c r="D23" s="1">
        <v>11</v>
      </c>
      <c r="E23" s="1">
        <v>5</v>
      </c>
      <c r="F23" s="1">
        <v>507</v>
      </c>
      <c r="G23" s="1" t="s">
        <v>142</v>
      </c>
      <c r="H23" s="1" t="s">
        <v>143</v>
      </c>
      <c r="I23" s="1" t="s">
        <v>144</v>
      </c>
      <c r="J23" s="1" t="s">
        <v>145</v>
      </c>
      <c r="K23" s="1" t="s">
        <v>146</v>
      </c>
      <c r="L23" s="2">
        <v>0.2799</v>
      </c>
      <c r="M23" s="1">
        <v>0.0057</v>
      </c>
      <c r="N23" s="1">
        <v>0.4255</v>
      </c>
      <c r="O23" s="1">
        <v>27.99</v>
      </c>
      <c r="P23" s="1">
        <v>357.3</v>
      </c>
      <c r="Q23">
        <f t="shared" si="1"/>
      </c>
      <c r="R23" s="2">
        <f t="shared" si="2"/>
      </c>
      <c r="S23" s="2">
        <f t="shared" si="0"/>
      </c>
    </row>
    <row customHeight="true" ht="17.777777777777775" r="24">
      <c r="A24" s="1" t="s">
        <v>147</v>
      </c>
      <c r="B24" s="1">
        <v>45</v>
      </c>
      <c r="C24" s="1">
        <v>34</v>
      </c>
      <c r="D24" s="1">
        <v>21</v>
      </c>
      <c r="E24" s="1">
        <v>3</v>
      </c>
      <c r="F24" s="1">
        <v>517</v>
      </c>
      <c r="G24" s="1" t="s">
        <v>148</v>
      </c>
      <c r="H24" s="1" t="s">
        <v>149</v>
      </c>
      <c r="I24" s="1" t="s">
        <v>150</v>
      </c>
      <c r="J24" s="1" t="s">
        <v>151</v>
      </c>
      <c r="K24" s="1" t="s">
        <v>152</v>
      </c>
      <c r="L24" s="2">
        <v>0.1192</v>
      </c>
      <c r="M24" s="1">
        <v>0.0052</v>
      </c>
      <c r="N24" s="1">
        <v>0.4616</v>
      </c>
      <c r="O24" s="1">
        <v>11.92</v>
      </c>
      <c r="P24" s="1">
        <v>838.87</v>
      </c>
      <c r="Q24">
        <f t="shared" si="1"/>
      </c>
      <c r="R24" s="2">
        <f t="shared" si="2"/>
      </c>
      <c r="S24" s="2">
        <f t="shared" si="0"/>
      </c>
    </row>
    <row customHeight="true" ht="17.777777777777775" r="25">
      <c r="A25" s="1" t="s">
        <v>153</v>
      </c>
      <c r="B25" s="1">
        <v>18</v>
      </c>
      <c r="C25" s="1">
        <v>35</v>
      </c>
      <c r="D25" s="1">
        <v>10</v>
      </c>
      <c r="E25" s="1">
        <v>1</v>
      </c>
      <c r="F25" s="1">
        <v>558</v>
      </c>
      <c r="G25" s="1" t="s">
        <v>154</v>
      </c>
      <c r="H25" s="1" t="s">
        <v>155</v>
      </c>
      <c r="I25" s="1" t="s">
        <v>156</v>
      </c>
      <c r="J25" s="1" t="s">
        <v>157</v>
      </c>
      <c r="K25" s="1" t="s">
        <v>158</v>
      </c>
      <c r="L25" s="2">
        <v>0.2585</v>
      </c>
      <c r="M25" s="1">
        <v>0.005</v>
      </c>
      <c r="N25" s="1">
        <v>0.4963</v>
      </c>
      <c r="O25" s="1">
        <v>25.85</v>
      </c>
      <c r="P25" s="1">
        <v>386.8</v>
      </c>
      <c r="Q25">
        <f t="shared" si="1"/>
      </c>
      <c r="R25" s="2">
        <f t="shared" si="2"/>
      </c>
      <c r="S25" s="2">
        <f t="shared" si="0"/>
      </c>
    </row>
    <row customHeight="true" ht="17.777777777777775" r="26">
      <c r="A26" s="1" t="s">
        <v>159</v>
      </c>
      <c r="B26" s="1">
        <v>27</v>
      </c>
      <c r="C26" s="1">
        <v>17</v>
      </c>
      <c r="D26" s="1">
        <v>13</v>
      </c>
      <c r="E26" s="1">
        <v>0</v>
      </c>
      <c r="F26" s="1">
        <v>534</v>
      </c>
      <c r="G26" s="1" t="s">
        <v>160</v>
      </c>
      <c r="H26" s="1" t="s">
        <v>161</v>
      </c>
      <c r="I26" s="1" t="s">
        <v>162</v>
      </c>
      <c r="J26" s="1" t="s">
        <v>163</v>
      </c>
      <c r="K26" s="1" t="s">
        <v>164</v>
      </c>
      <c r="L26" s="2">
        <v>0.2169</v>
      </c>
      <c r="M26" s="1">
        <v>0.0066</v>
      </c>
      <c r="N26" s="1">
        <v>0.4804</v>
      </c>
      <c r="O26" s="1">
        <v>21.69</v>
      </c>
      <c r="P26" s="1">
        <v>461.04</v>
      </c>
      <c r="Q26">
        <f t="shared" si="1"/>
      </c>
      <c r="R26" s="2">
        <f t="shared" si="2"/>
      </c>
      <c r="S26" s="2">
        <f t="shared" si="0"/>
      </c>
    </row>
    <row customHeight="true" ht="17.777777777777775" r="27">
      <c r="A27" s="1" t="s">
        <v>165</v>
      </c>
      <c r="B27" s="1">
        <v>45</v>
      </c>
      <c r="C27" s="1">
        <v>33</v>
      </c>
      <c r="D27" s="1">
        <v>21</v>
      </c>
      <c r="E27" s="1">
        <v>1</v>
      </c>
      <c r="F27" s="1">
        <v>666</v>
      </c>
      <c r="G27" s="1" t="s">
        <v>148</v>
      </c>
      <c r="H27" s="1" t="s">
        <v>166</v>
      </c>
      <c r="I27" s="1" t="s">
        <v>167</v>
      </c>
      <c r="J27" s="1" t="s">
        <v>168</v>
      </c>
      <c r="K27" s="1" t="s">
        <v>30</v>
      </c>
      <c r="L27" s="2">
        <v>0.1456</v>
      </c>
      <c r="M27" s="1">
        <v>0.0068</v>
      </c>
      <c r="N27" s="1">
        <v>0.4188</v>
      </c>
      <c r="O27" s="1">
        <v>14.56</v>
      </c>
      <c r="P27" s="1">
        <v>686.67</v>
      </c>
      <c r="Q27">
        <f t="shared" si="1"/>
      </c>
      <c r="R27" s="2">
        <f t="shared" si="2"/>
      </c>
      <c r="S27" s="2">
        <f t="shared" si="0"/>
      </c>
    </row>
    <row customHeight="true" ht="17.777777777777775" r="28">
      <c r="A28" s="1" t="s">
        <v>169</v>
      </c>
      <c r="B28" s="1">
        <v>27</v>
      </c>
      <c r="C28" s="1">
        <v>46</v>
      </c>
      <c r="D28" s="1">
        <v>13</v>
      </c>
      <c r="E28" s="1">
        <v>6</v>
      </c>
      <c r="F28" s="1">
        <v>748</v>
      </c>
      <c r="G28" s="1" t="s">
        <v>160</v>
      </c>
      <c r="H28" s="1" t="s">
        <v>170</v>
      </c>
      <c r="I28" s="1" t="s">
        <v>171</v>
      </c>
      <c r="J28" s="1" t="s">
        <v>172</v>
      </c>
      <c r="K28" s="1" t="s">
        <v>173</v>
      </c>
      <c r="L28" s="2">
        <v>0.2098</v>
      </c>
      <c r="M28" s="1">
        <v>0.0065</v>
      </c>
      <c r="N28" s="1">
        <v>0.4618</v>
      </c>
      <c r="O28" s="1">
        <v>20.98</v>
      </c>
      <c r="P28" s="1">
        <v>476.69</v>
      </c>
      <c r="Q28">
        <f t="shared" si="1"/>
      </c>
      <c r="R28" s="2">
        <f t="shared" si="2"/>
      </c>
      <c r="S28" s="2">
        <f t="shared" si="0"/>
      </c>
    </row>
    <row customHeight="true" ht="17.777777777777775" r="29">
      <c r="A29" s="1" t="s">
        <v>174</v>
      </c>
      <c r="B29" s="1">
        <v>47</v>
      </c>
      <c r="C29" s="1">
        <v>0</v>
      </c>
      <c r="D29" s="1">
        <v>22</v>
      </c>
      <c r="E29" s="1">
        <v>0</v>
      </c>
      <c r="F29" s="1">
        <v>654</v>
      </c>
      <c r="G29" s="1" t="s">
        <v>130</v>
      </c>
      <c r="H29" s="1" t="s">
        <v>175</v>
      </c>
      <c r="I29" s="1" t="s">
        <v>176</v>
      </c>
      <c r="J29" s="1" t="s">
        <v>177</v>
      </c>
      <c r="K29" s="1" t="s">
        <v>178</v>
      </c>
      <c r="L29" s="2">
        <v>0.1278</v>
      </c>
      <c r="M29" s="1">
        <v>0.0062</v>
      </c>
      <c r="N29" s="1">
        <v>0.4349</v>
      </c>
      <c r="O29" s="1">
        <v>12.78</v>
      </c>
      <c r="P29" s="1">
        <v>782.7</v>
      </c>
      <c r="Q29">
        <f t="shared" si="1"/>
      </c>
      <c r="R29" s="2">
        <f t="shared" si="2"/>
      </c>
      <c r="S29" s="2">
        <f t="shared" si="0"/>
      </c>
    </row>
    <row customHeight="true" ht="17.777777777777775" r="30">
      <c r="A30" s="1" t="s">
        <v>179</v>
      </c>
      <c r="B30" s="1">
        <v>37</v>
      </c>
      <c r="C30" s="1">
        <v>0</v>
      </c>
      <c r="D30" s="1">
        <v>16</v>
      </c>
      <c r="E30" s="1">
        <v>0</v>
      </c>
      <c r="F30" s="1">
        <v>723</v>
      </c>
      <c r="G30" s="1" t="s">
        <v>180</v>
      </c>
      <c r="H30" s="1" t="s">
        <v>181</v>
      </c>
      <c r="I30" s="1" t="s">
        <v>182</v>
      </c>
      <c r="J30" s="1" t="s">
        <v>183</v>
      </c>
      <c r="K30" s="1" t="s">
        <v>184</v>
      </c>
      <c r="L30" s="2">
        <v>0.1977</v>
      </c>
      <c r="M30" s="1">
        <v>0.0053</v>
      </c>
      <c r="N30" s="1">
        <v>0.4038</v>
      </c>
      <c r="O30" s="1">
        <v>19.77</v>
      </c>
      <c r="P30" s="1">
        <v>505.87</v>
      </c>
      <c r="Q30">
        <f t="shared" si="1"/>
      </c>
      <c r="R30" s="2">
        <f t="shared" si="2"/>
      </c>
      <c r="S30" s="2">
        <f t="shared" si="0"/>
      </c>
    </row>
    <row customHeight="true" ht="17.777777777777775" r="31">
      <c r="A31" s="1" t="s">
        <v>185</v>
      </c>
      <c r="B31" s="1">
        <v>5</v>
      </c>
      <c r="C31" s="1">
        <v>0</v>
      </c>
      <c r="D31" s="1">
        <v>2</v>
      </c>
      <c r="E31" s="1">
        <v>0</v>
      </c>
      <c r="F31" s="1">
        <v>78</v>
      </c>
      <c r="G31" s="1" t="s">
        <v>186</v>
      </c>
      <c r="H31" s="1" t="s">
        <v>187</v>
      </c>
      <c r="I31" s="1" t="s">
        <v>188</v>
      </c>
      <c r="J31" s="1" t="s">
        <v>189</v>
      </c>
      <c r="K31" s="1" t="s">
        <v>190</v>
      </c>
      <c r="L31" s="2">
        <v>0.4364</v>
      </c>
      <c r="M31" s="1">
        <v>0.0058</v>
      </c>
      <c r="N31" s="1">
        <v>0.5787</v>
      </c>
      <c r="O31" s="1">
        <v>43.64</v>
      </c>
      <c r="P31" s="1">
        <v>229.15</v>
      </c>
      <c r="Q31">
        <f t="shared" si="1"/>
      </c>
      <c r="R31" s="2">
        <f t="shared" si="2"/>
      </c>
      <c r="S31" s="2">
        <f t="shared" si="0"/>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