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2" windowHeight="15800" windowWidth="28040" xWindow="4240" yWindow="640"/>
  </bookViews>
  <sheets>
    <sheet name="Sheet1" sheetId="1" r:id="rId1" state="hidden"/>
    <sheet name="除螨仪" sheetId="2" r:id="rId5" state="hidden"/>
    <sheet name="SKU001MV2501" sheetId="3" r:id="rId6"/>
    <sheet name="除-价格-毛利" sheetId="4" r:id="rId7"/>
    <sheet name="AP100A" sheetId="5" r:id="rId8"/>
    <sheet name="净-价格-毛利" sheetId="6" r:id="rId9"/>
    <sheet name="气泵" sheetId="7" r:id="rId10" state="hidden"/>
    <sheet name="气-价格-毛利" sheetId="8" r:id="rId11" state="hidden"/>
    <sheet name="Sheet2" sheetId="9" r:id="rId12"/>
    <sheet name="Sheet3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15" i="3" a="true"/>
  <c r="F615" i="3" a="true"/>
  <c r="D623" i="3" a="true"/>
  <c r="F623" i="3" a="true"/>
  <c r="D631" i="3" a="true"/>
  <c r="F631" i="3" a="true"/>
  <c r="D639" i="3" a="true"/>
  <c r="F639" i="3" a="true"/>
  <c r="D663" i="3" a="true"/>
  <c r="F663" i="3" a="true"/>
  <c r="D607" i="3" a="true"/>
  <c r="F607" i="3" a="true"/>
  <c r="F614" i="3" a="true"/>
  <c r="D614" i="3" a="true"/>
  <c r="F622" i="3" a="true"/>
  <c r="D622" i="3" a="true"/>
  <c r="D630" i="3" a="true"/>
  <c r="F630" i="3" a="true"/>
  <c r="F638" i="3" a="true"/>
  <c r="D638" i="3" a="true"/>
  <c r="D647" i="3" a="true"/>
  <c r="F647" i="3" a="true"/>
  <c r="D655" i="3" a="true"/>
  <c r="F655" i="3" a="true"/>
  <c r="D662" i="3" a="true"/>
  <c r="F662" i="3" a="true"/>
  <c r="D606" i="3" a="true"/>
  <c r="F606" i="3" a="true"/>
  <c r="D613" i="3" a="true"/>
  <c r="F613" i="3" a="true"/>
  <c r="D621" i="3" a="true"/>
  <c r="F621" i="3" a="true"/>
  <c r="F629" i="3" a="true"/>
  <c r="D629" i="3" a="true"/>
  <c r="D637" i="3" a="true"/>
  <c r="F637" i="3" a="true"/>
  <c r="D646" i="3" a="true"/>
  <c r="F646" i="3" a="true"/>
  <c r="D654" i="3" a="true"/>
  <c r="F654" i="3" a="true"/>
  <c r="D661" i="3" a="true"/>
  <c r="F661" i="3" a="true"/>
  <c r="D605" i="3" a="true"/>
  <c r="F605" i="3" a="true"/>
  <c r="D612" i="3" a="true"/>
  <c r="F612" i="3" a="true"/>
  <c r="D620" i="3" a="true"/>
  <c r="F620" i="3" a="true"/>
  <c r="D628" i="3" a="true"/>
  <c r="F628" i="3" a="true"/>
  <c r="D636" i="3" a="true"/>
  <c r="F636" i="3" a="true"/>
  <c r="D645" i="3" a="true"/>
  <c r="F645" i="3" a="true"/>
  <c r="D653" i="3" a="true"/>
  <c r="F653" i="3" a="true"/>
  <c r="D660" i="3" a="true"/>
  <c r="F660" i="3" a="true"/>
  <c r="D604" i="3" a="true"/>
  <c r="F604" i="3" a="true"/>
  <c r="D611" i="3" a="true"/>
  <c r="F611" i="3" a="true"/>
  <c r="D619" i="3" a="true"/>
  <c r="F619" i="3" a="true"/>
  <c r="D627" i="3" a="true"/>
  <c r="F627" i="3" a="true"/>
  <c r="D635" i="3" a="true"/>
  <c r="F635" i="3" a="true"/>
  <c r="D644" i="3" a="true"/>
  <c r="F644" i="3" a="true"/>
  <c r="D652" i="3" a="true"/>
  <c r="F652" i="3" a="true"/>
  <c r="D603" i="3" a="true"/>
  <c r="F603" i="3" a="true"/>
  <c r="F643" i="3" a="true"/>
  <c r="D643" i="3" a="true"/>
  <c r="D651" i="3" a="true"/>
  <c r="F651" i="3" a="true"/>
  <c r="D659" i="3" a="true"/>
  <c r="F659" i="3" a="true"/>
  <c r="D62" i="5" a="true"/>
  <c r="F62" i="5" a="true"/>
  <c r="D127" i="5" a="true"/>
  <c r="F127" i="5" a="true"/>
  <c r="F192" i="5" a="true"/>
  <c r="D192" i="5" a="true"/>
  <c r="D241" i="5" a="true"/>
  <c r="F241" i="5" a="true"/>
  <c r="D315" i="5" a="true"/>
  <c r="F315" i="5" a="true"/>
  <c r="D380" i="5" a="true"/>
  <c r="F380" i="5" a="true"/>
  <c r="D444" i="5" a="true"/>
  <c r="F444" i="5" a="true"/>
  <c r="D566" i="5" a="true"/>
  <c r="F566" i="5" a="true"/>
  <c r="D61" i="5" a="true"/>
  <c r="F61" i="5" a="true"/>
  <c r="D126" i="5" a="true"/>
  <c r="F126" i="5" a="true"/>
  <c r="F191" i="5" a="true"/>
  <c r="D191" i="5" a="true"/>
  <c r="D314" i="5" a="true"/>
  <c r="F314" i="5" a="true"/>
  <c r="D379" i="5" a="true"/>
  <c r="F379" i="5" a="true"/>
  <c r="F443" i="5" a="true"/>
  <c r="D443" i="5" a="true"/>
  <c r="D565" i="5" a="true"/>
  <c r="F565" i="5" a="true"/>
  <c r="D60" i="5" a="true"/>
  <c r="F60" i="5" a="true"/>
  <c r="D125" i="5" a="true"/>
  <c r="F125" i="5" a="true"/>
  <c r="D190" i="5" a="true"/>
  <c r="F190" i="5" a="true"/>
  <c r="F255" i="5" a="true"/>
  <c r="D255" i="5" a="true"/>
  <c r="D313" i="5" a="true"/>
  <c r="F313" i="5" a="true"/>
  <c r="D378" i="5" a="true"/>
  <c r="F378" i="5" a="true"/>
  <c r="D442" i="5" a="true"/>
  <c r="F442" i="5" a="true"/>
  <c r="D507" i="5" a="true"/>
  <c r="F507" i="5" a="true"/>
  <c r="F59" i="5" a="true"/>
  <c r="D59" i="5" a="true"/>
  <c r="D124" i="5" a="true"/>
  <c r="F124" i="5" a="true"/>
  <c r="D189" i="5" a="true"/>
  <c r="F189" i="5" a="true"/>
  <c r="D254" i="5" a="true"/>
  <c r="F254" i="5" a="true"/>
  <c r="D264" i="5" a="true"/>
  <c r="F264" i="5" a="true"/>
  <c r="D377" i="5" a="true"/>
  <c r="F377" i="5" a="true"/>
  <c r="D441" i="5" a="true"/>
  <c r="F441" i="5" a="true"/>
  <c r="D506" i="5" a="true"/>
  <c r="F506" i="5" a="true"/>
  <c r="D58" i="5" a="true"/>
  <c r="F58" i="5" a="true"/>
  <c r="D123" i="5" a="true"/>
  <c r="F123" i="5" a="true"/>
  <c r="F188" i="5" a="true"/>
  <c r="D188" i="5" a="true"/>
  <c r="D253" i="5" a="true"/>
  <c r="F253" i="5" a="true"/>
  <c r="D263" i="5" a="true"/>
  <c r="F263" i="5" a="true"/>
  <c r="D505" i="5" a="true"/>
  <c r="F505" i="5" a="true"/>
  <c r="D57" i="5" a="true"/>
  <c r="F57" i="5" a="true"/>
  <c r="D187" i="5" a="true"/>
  <c r="F187" i="5" a="true"/>
  <c r="D252" i="5" a="true"/>
  <c r="F252" i="5" a="true"/>
  <c r="D262" i="5" a="true"/>
  <c r="F262" i="5" a="true"/>
  <c r="D327" i="5" a="true"/>
  <c r="F327" i="5" a="true"/>
  <c r="F561" i="5" a="true"/>
  <c r="D561" i="5" a="true"/>
  <c r="F251" i="5" a="true"/>
  <c r="D251" i="5" a="true"/>
  <c r="F261" i="5" a="true"/>
  <c r="D261" i="5" a="true"/>
  <c r="D326" i="5" a="true"/>
  <c r="F326" i="5" a="true"/>
  <c r="D250" i="5" a="true"/>
  <c r="F250" i="5" a="true"/>
  <c r="D260" i="5" a="true"/>
  <c r="F260" i="5" a="true"/>
  <c r="D325" i="5" a="true"/>
  <c r="F325" i="5" a="true"/>
  <c r="D390" i="5" a="true"/>
  <c r="F390" i="5" a="true"/>
  <c r="D72" i="5" a="true"/>
  <c r="F72" i="5" a="true"/>
  <c r="D259" i="5" a="true"/>
  <c r="F259" i="5" a="true"/>
  <c r="D324" i="5" a="true"/>
  <c r="F324" i="5" a="true"/>
  <c r="F389" i="5" a="true"/>
  <c r="D389" i="5" a="true"/>
  <c r="D71" i="5" a="true"/>
  <c r="F71" i="5" a="true"/>
  <c r="D323" i="5" a="true"/>
  <c r="F323" i="5" a="true"/>
  <c r="D388" i="5" a="true"/>
  <c r="F388" i="5" a="true"/>
  <c r="D453" i="5" a="true"/>
  <c r="F453" i="5" a="true"/>
  <c r="F70" i="5" a="true"/>
  <c r="D70" i="5" a="true"/>
  <c r="D200" i="5" a="true"/>
  <c r="F200" i="5" a="true"/>
  <c r="D322" i="5" a="true"/>
  <c r="F322" i="5" a="true"/>
  <c r="D387" i="5" a="true"/>
  <c r="F387" i="5" a="true"/>
  <c r="D452" i="5" a="true"/>
  <c r="F452" i="5" a="true"/>
  <c r="D69" i="5" a="true"/>
  <c r="F69" i="5" a="true"/>
  <c r="D199" i="5" a="true"/>
  <c r="F199" i="5" a="true"/>
  <c r="D272" i="5" a="true"/>
  <c r="F272" i="5" a="true"/>
  <c r="D386" i="5" a="true"/>
  <c r="F386" i="5" a="true"/>
  <c r="D451" i="5" a="true"/>
  <c r="F451" i="5" a="true"/>
  <c r="D68" i="5" a="true"/>
  <c r="F68" i="5" a="true"/>
  <c r="D133" i="5" a="true"/>
  <c r="F133" i="5" a="true"/>
  <c r="D198" i="5" a="true"/>
  <c r="F198" i="5" a="true"/>
  <c r="D271" i="5" a="true"/>
  <c r="F271" i="5" a="true"/>
  <c r="F336" i="5" a="true"/>
  <c r="D336" i="5" a="true"/>
  <c r="D385" i="5" a="true"/>
  <c r="F385" i="5" a="true"/>
  <c r="D450" i="5" a="true"/>
  <c r="F450" i="5" a="true"/>
  <c r="D570" i="5" a="true"/>
  <c r="F570" i="5" a="true"/>
  <c r="D67" i="5" a="true"/>
  <c r="F67" i="5" a="true"/>
  <c r="D132" i="5" a="true"/>
  <c r="F132" i="5" a="true"/>
  <c r="D197" i="5" a="true"/>
  <c r="F197" i="5" a="true"/>
  <c r="D270" i="5" a="true"/>
  <c r="F270" i="5" a="true"/>
  <c r="D335" i="5" a="true"/>
  <c r="F335" i="5" a="true"/>
  <c r="D449" i="5" a="true"/>
  <c r="F449" i="5" a="true"/>
  <c r="D569" i="5" a="true"/>
  <c r="F569" i="5" a="true"/>
  <c r="D131" i="5" a="true"/>
  <c r="F131" i="5" a="true"/>
  <c r="D196" i="5" a="true"/>
  <c r="F196" i="5" a="true"/>
  <c r="D269" i="5" a="true"/>
  <c r="F269" i="5" a="true"/>
  <c r="D334" i="5" a="true"/>
  <c r="F334" i="5" a="true"/>
  <c r="F399" i="5" a="true"/>
  <c r="D399" i="5" a="true"/>
  <c r="D520" i="5" a="true"/>
  <c r="F520" i="5" a="true"/>
  <c r="D16" i="5" a="true"/>
  <c r="F16" i="5" a="true"/>
  <c r="F130" i="5" a="true"/>
  <c r="D130" i="5" a="true"/>
  <c r="F268" i="5" a="true"/>
  <c r="D268" i="5" a="true"/>
  <c r="D333" i="5" a="true"/>
  <c r="F333" i="5" a="true"/>
  <c r="D398" i="5" a="true"/>
  <c r="F398" i="5" a="true"/>
  <c r="F15" i="5" a="true"/>
  <c r="D15" i="5" a="true"/>
  <c r="D129" i="5" a="true"/>
  <c r="F129" i="5" a="true"/>
  <c r="D332" i="5" a="true"/>
  <c r="F332" i="5" a="true"/>
  <c r="F397" i="5" a="true"/>
  <c r="D397" i="5" a="true"/>
  <c r="D462" i="5" a="true"/>
  <c r="F462" i="5" a="true"/>
  <c r="F14" i="5" a="true"/>
  <c r="D14" i="5" a="true"/>
  <c r="D144" i="5" a="true"/>
  <c r="F144" i="5" a="true"/>
  <c r="D331" i="5" a="true"/>
  <c r="F331" i="5" a="true"/>
  <c r="D396" i="5" a="true"/>
  <c r="F396" i="5" a="true"/>
  <c r="F461" i="5" a="true"/>
  <c r="D461" i="5" a="true"/>
  <c r="F13" i="5" a="true"/>
  <c r="D13" i="5" a="true"/>
  <c r="D143" i="5" a="true"/>
  <c r="F143" i="5" a="true"/>
  <c r="D208" i="5" a="true"/>
  <c r="F208" i="5" a="true"/>
  <c r="D395" i="5" a="true"/>
  <c r="F395" i="5" a="true"/>
  <c r="D460" i="5" a="true"/>
  <c r="F460" i="5" a="true"/>
  <c r="D516" i="5" a="true"/>
  <c r="F516" i="5" a="true"/>
  <c r="D12" i="5" a="true"/>
  <c r="F12" i="5" a="true"/>
  <c r="D77" i="5" a="true"/>
  <c r="F77" i="5" a="true"/>
  <c r="D142" i="5" a="true"/>
  <c r="F142" i="5" a="true"/>
  <c r="D207" i="5" a="true"/>
  <c r="F207" i="5" a="true"/>
  <c r="D280" i="5" a="true"/>
  <c r="F280" i="5" a="true"/>
  <c r="D394" i="5" a="true"/>
  <c r="F394" i="5" a="true"/>
  <c r="D459" i="5" a="true"/>
  <c r="F459" i="5" a="true"/>
  <c r="D515" i="5" a="true"/>
  <c r="F515" i="5" a="true"/>
  <c r="D11" i="5" a="true"/>
  <c r="F11" i="5" a="true"/>
  <c r="D76" i="5" a="true"/>
  <c r="F76" i="5" a="true"/>
  <c r="D141" i="5" a="true"/>
  <c r="F141" i="5" a="true"/>
  <c r="F206" i="5" a="true"/>
  <c r="D206" i="5" a="true"/>
  <c r="D279" i="5" a="true"/>
  <c r="F279" i="5" a="true"/>
  <c r="D344" i="5" a="true"/>
  <c r="F344" i="5" a="true"/>
  <c r="D458" i="5" a="true"/>
  <c r="F458" i="5" a="true"/>
  <c r="D514" i="5" a="true"/>
  <c r="F514" i="5" a="true"/>
  <c r="D75" i="5" a="true"/>
  <c r="F75" i="5" a="true"/>
  <c r="D140" i="5" a="true"/>
  <c r="F140" i="5" a="true"/>
  <c r="D205" i="5" a="true"/>
  <c r="F205" i="5" a="true"/>
  <c r="D278" i="5" a="true"/>
  <c r="F278" i="5" a="true"/>
  <c r="D343" i="5" a="true"/>
  <c r="F343" i="5" a="true"/>
  <c r="D408" i="5" a="true"/>
  <c r="F408" i="5" a="true"/>
  <c r="D457" i="5" a="true"/>
  <c r="F457" i="5" a="true"/>
  <c r="D513" i="5" a="true"/>
  <c r="F513" i="5" a="true"/>
  <c r="D74" i="5" a="true"/>
  <c r="F74" i="5" a="true"/>
  <c r="D139" i="5" a="true"/>
  <c r="F139" i="5" a="true"/>
  <c r="F277" i="5" a="true"/>
  <c r="D277" i="5" a="true"/>
  <c r="D342" i="5" a="true"/>
  <c r="F342" i="5" a="true"/>
  <c r="D407" i="5" a="true"/>
  <c r="F407" i="5" a="true"/>
  <c r="D73" i="5" a="true"/>
  <c r="F73" i="5" a="true"/>
  <c r="D138" i="5" a="true"/>
  <c r="F138" i="5" a="true"/>
  <c r="D341" i="5" a="true"/>
  <c r="F341" i="5" a="true"/>
  <c r="D406" i="5" a="true"/>
  <c r="F406" i="5" a="true"/>
  <c r="D471" i="5" a="true"/>
  <c r="F471" i="5" a="true"/>
  <c r="F88" i="5" a="true"/>
  <c r="D88" i="5" a="true"/>
  <c r="D137" i="5" a="true"/>
  <c r="F137" i="5" a="true"/>
  <c r="F340" i="5" a="true"/>
  <c r="D340" i="5" a="true"/>
  <c r="D405" i="5" a="true"/>
  <c r="F405" i="5" a="true"/>
  <c r="D470" i="5" a="true"/>
  <c r="F470" i="5" a="true"/>
  <c r="D87" i="5" a="true"/>
  <c r="F87" i="5" a="true"/>
  <c r="D152" i="5" a="true"/>
  <c r="F152" i="5" a="true"/>
  <c r="D201" i="5" a="true"/>
  <c r="F201" i="5" a="true"/>
  <c r="D404" i="5" a="true"/>
  <c r="F404" i="5" a="true"/>
  <c r="D469" i="5" a="true"/>
  <c r="F469" i="5" a="true"/>
  <c r="D525" i="5" a="true"/>
  <c r="F525" i="5" a="true"/>
  <c r="D21" i="5" a="true"/>
  <c r="F21" i="5" a="true"/>
  <c r="D86" i="5" a="true"/>
  <c r="F86" i="5" a="true"/>
  <c r="D151" i="5" a="true"/>
  <c r="F151" i="5" a="true"/>
  <c r="D216" i="5" a="true"/>
  <c r="F216" i="5" a="true"/>
  <c r="D273" i="5" a="true"/>
  <c r="F273" i="5" a="true"/>
  <c r="D403" i="5" a="true"/>
  <c r="F403" i="5" a="true"/>
  <c r="D468" i="5" a="true"/>
  <c r="F468" i="5" a="true"/>
  <c r="D524" i="5" a="true"/>
  <c r="F524" i="5" a="true"/>
  <c r="D20" i="5" a="true"/>
  <c r="F20" i="5" a="true"/>
  <c r="D85" i="5" a="true"/>
  <c r="F85" i="5" a="true"/>
  <c r="D215" i="5" a="true"/>
  <c r="F215" i="5" a="true"/>
  <c r="D288" i="5" a="true"/>
  <c r="F288" i="5" a="true"/>
  <c r="D467" i="5" a="true"/>
  <c r="F467" i="5" a="true"/>
  <c r="D523" i="5" a="true"/>
  <c r="F523" i="5" a="true"/>
  <c r="D19" i="5" a="true"/>
  <c r="F19" i="5" a="true"/>
  <c r="D84" i="5" a="true"/>
  <c r="F84" i="5" a="true"/>
  <c r="D214" i="5" a="true"/>
  <c r="F214" i="5" a="true"/>
  <c r="F287" i="5" a="true"/>
  <c r="D287" i="5" a="true"/>
  <c r="D352" i="5" a="true"/>
  <c r="F352" i="5" a="true"/>
  <c r="D466" i="5" a="true"/>
  <c r="F466" i="5" a="true"/>
  <c r="D522" i="5" a="true"/>
  <c r="F522" i="5" a="true"/>
  <c r="D18" i="5" a="true"/>
  <c r="F18" i="5" a="true"/>
  <c r="D83" i="5" a="true"/>
  <c r="F83" i="5" a="true"/>
  <c r="D286" i="5" a="true"/>
  <c r="F286" i="5" a="true"/>
  <c r="D351" i="5" a="true"/>
  <c r="F351" i="5" a="true"/>
  <c r="F416" i="5" a="true"/>
  <c r="D416" i="5" a="true"/>
  <c r="D521" i="5" a="true"/>
  <c r="F521" i="5" a="true"/>
  <c r="D17" i="5" a="true"/>
  <c r="F17" i="5" a="true"/>
  <c r="D82" i="5" a="true"/>
  <c r="F82" i="5" a="true"/>
  <c r="D147" i="5" a="true"/>
  <c r="F147" i="5" a="true"/>
  <c r="F350" i="5" a="true"/>
  <c r="D350" i="5" a="true"/>
  <c r="D415" i="5" a="true"/>
  <c r="F415" i="5" a="true"/>
  <c r="D480" i="5" a="true"/>
  <c r="F480" i="5" a="true"/>
  <c r="D32" i="5" a="true"/>
  <c r="F32" i="5" a="true"/>
  <c r="D81" i="5" a="true"/>
  <c r="F81" i="5" a="true"/>
  <c r="D146" i="5" a="true"/>
  <c r="F146" i="5" a="true"/>
  <c r="F349" i="5" a="true"/>
  <c r="D349" i="5" a="true"/>
  <c r="D414" i="5" a="true"/>
  <c r="F414" i="5" a="true"/>
  <c r="F479" i="5" a="true"/>
  <c r="D479" i="5" a="true"/>
  <c r="D31" i="5" a="true"/>
  <c r="F31" i="5" a="true"/>
  <c r="D96" i="5" a="true"/>
  <c r="F96" i="5" a="true"/>
  <c r="D145" i="5" a="true"/>
  <c r="F145" i="5" a="true"/>
  <c r="D210" i="5" a="true"/>
  <c r="F210" i="5" a="true"/>
  <c r="D413" i="5" a="true"/>
  <c r="F413" i="5" a="true"/>
  <c r="D478" i="5" a="true"/>
  <c r="F478" i="5" a="true"/>
  <c r="D534" i="5" a="true"/>
  <c r="F534" i="5" a="true"/>
  <c r="D30" i="5" a="true"/>
  <c r="F30" i="5" a="true"/>
  <c r="D95" i="5" a="true"/>
  <c r="F95" i="5" a="true"/>
  <c r="D160" i="5" a="true"/>
  <c r="F160" i="5" a="true"/>
  <c r="D209" i="5" a="true"/>
  <c r="F209" i="5" a="true"/>
  <c r="D282" i="5" a="true"/>
  <c r="F282" i="5" a="true"/>
  <c r="D412" i="5" a="true"/>
  <c r="F412" i="5" a="true"/>
  <c r="D477" i="5" a="true"/>
  <c r="F477" i="5" a="true"/>
  <c r="D533" i="5" a="true"/>
  <c r="F533" i="5" a="true"/>
  <c r="D29" i="5" a="true"/>
  <c r="F29" i="5" a="true"/>
  <c r="D224" i="5" a="true"/>
  <c r="F224" i="5" a="true"/>
  <c r="D281" i="5" a="true"/>
  <c r="F281" i="5" a="true"/>
  <c r="D476" i="5" a="true"/>
  <c r="F476" i="5" a="true"/>
  <c r="D532" i="5" a="true"/>
  <c r="F532" i="5" a="true"/>
  <c r="D28" i="5" a="true"/>
  <c r="F28" i="5" a="true"/>
  <c r="D223" i="5" a="true"/>
  <c r="F223" i="5" a="true"/>
  <c r="D296" i="5" a="true"/>
  <c r="F296" i="5" a="true"/>
  <c r="D345" i="5" a="true"/>
  <c r="F345" i="5" a="true"/>
  <c r="D475" i="5" a="true"/>
  <c r="F475" i="5" a="true"/>
  <c r="D531" i="5" a="true"/>
  <c r="F531" i="5" a="true"/>
  <c r="D27" i="5" a="true"/>
  <c r="F27" i="5" a="true"/>
  <c r="D295" i="5" a="true"/>
  <c r="F295" i="5" a="true"/>
  <c r="D360" i="5" a="true"/>
  <c r="F360" i="5" a="true"/>
  <c r="D530" i="5" a="true"/>
  <c r="F530" i="5" a="true"/>
  <c r="F26" i="5" a="true"/>
  <c r="D26" i="5" a="true"/>
  <c r="D91" i="5" a="true"/>
  <c r="F91" i="5" a="true"/>
  <c r="F156" i="5" a="true"/>
  <c r="D156" i="5" a="true"/>
  <c r="D359" i="5" a="true"/>
  <c r="F359" i="5" a="true"/>
  <c r="D424" i="5" a="true"/>
  <c r="F424" i="5" a="true"/>
  <c r="D529" i="5" a="true"/>
  <c r="F529" i="5" a="true"/>
  <c r="D25" i="5" a="true"/>
  <c r="F25" i="5" a="true"/>
  <c r="D90" i="5" a="true"/>
  <c r="F90" i="5" a="true"/>
  <c r="D155" i="5" a="true"/>
  <c r="F155" i="5" a="true"/>
  <c r="D219" i="5" a="true"/>
  <c r="F219" i="5" a="true"/>
  <c r="D358" i="5" a="true"/>
  <c r="F358" i="5" a="true"/>
  <c r="D423" i="5" a="true"/>
  <c r="F423" i="5" a="true"/>
  <c r="D488" i="5" a="true"/>
  <c r="F488" i="5" a="true"/>
  <c r="D40" i="5" a="true"/>
  <c r="F40" i="5" a="true"/>
  <c r="F89" i="5" a="true"/>
  <c r="D89" i="5" a="true"/>
  <c r="F154" i="5" a="true"/>
  <c r="D154" i="5" a="true"/>
  <c r="D218" i="5" a="true"/>
  <c r="F218" i="5" a="true"/>
  <c r="F422" i="5" a="true"/>
  <c r="D422" i="5" a="true"/>
  <c r="D487" i="5" a="true"/>
  <c r="F487" i="5" a="true"/>
  <c r="D543" i="5" a="true"/>
  <c r="F543" i="5" a="true"/>
  <c r="D39" i="5" a="true"/>
  <c r="F39" i="5" a="true"/>
  <c r="D104" i="5" a="true"/>
  <c r="F104" i="5" a="true"/>
  <c r="D153" i="5" a="true"/>
  <c r="F153" i="5" a="true"/>
  <c r="D217" i="5" a="true"/>
  <c r="F217" i="5" a="true"/>
  <c r="D291" i="5" a="true"/>
  <c r="F291" i="5" a="true"/>
  <c r="D421" i="5" a="true"/>
  <c r="F421" i="5" a="true"/>
  <c r="D486" i="5" a="true"/>
  <c r="F486" i="5" a="true"/>
  <c r="D542" i="5" a="true"/>
  <c r="F542" i="5" a="true"/>
  <c r="D103" i="5" a="true"/>
  <c r="F103" i="5" a="true"/>
  <c r="D232" i="5" a="true"/>
  <c r="F232" i="5" a="true"/>
  <c r="D290" i="5" a="true"/>
  <c r="F290" i="5" a="true"/>
  <c r="D485" i="5" a="true"/>
  <c r="F485" i="5" a="true"/>
  <c r="F541" i="5" a="true"/>
  <c r="D541" i="5" a="true"/>
  <c r="D102" i="5" a="true"/>
  <c r="F102" i="5" a="true"/>
  <c r="D289" i="5" a="true"/>
  <c r="F289" i="5" a="true"/>
  <c r="D354" i="5" a="true"/>
  <c r="F354" i="5" a="true"/>
  <c r="D484" i="5" a="true"/>
  <c r="F484" i="5" a="true"/>
  <c r="D540" i="5" a="true"/>
  <c r="F540" i="5" a="true"/>
  <c r="D101" i="5" a="true"/>
  <c r="F101" i="5" a="true"/>
  <c r="D165" i="5" a="true"/>
  <c r="F165" i="5" a="true"/>
  <c r="D304" i="5" a="true"/>
  <c r="F304" i="5" a="true"/>
  <c r="D353" i="5" a="true"/>
  <c r="F353" i="5" a="true"/>
  <c r="D539" i="5" a="true"/>
  <c r="F539" i="5" a="true"/>
  <c r="D35" i="5" a="true"/>
  <c r="F35" i="5" a="true"/>
  <c r="F100" i="5" a="true"/>
  <c r="D100" i="5" a="true"/>
  <c r="D164" i="5" a="true"/>
  <c r="F164" i="5" a="true"/>
  <c r="D368" i="5" a="true"/>
  <c r="F368" i="5" a="true"/>
  <c r="D417" i="5" a="true"/>
  <c r="F417" i="5" a="true"/>
  <c r="D538" i="5" a="true"/>
  <c r="F538" i="5" a="true"/>
  <c r="D34" i="5" a="true"/>
  <c r="F34" i="5" a="true"/>
  <c r="D99" i="5" a="true"/>
  <c r="F99" i="5" a="true"/>
  <c r="D163" i="5" a="true"/>
  <c r="F163" i="5" a="true"/>
  <c r="F228" i="5" a="true"/>
  <c r="D228" i="5" a="true"/>
  <c r="D367" i="5" a="true"/>
  <c r="F367" i="5" a="true"/>
  <c r="D432" i="5" a="true"/>
  <c r="F432" i="5" a="true"/>
  <c r="D33" i="5" a="true"/>
  <c r="F33" i="5" a="true"/>
  <c r="F98" i="5" a="true"/>
  <c r="D98" i="5" a="true"/>
  <c r="D162" i="5" a="true"/>
  <c r="F162" i="5" a="true"/>
  <c r="D227" i="5" a="true"/>
  <c r="F227" i="5" a="true"/>
  <c r="D431" i="5" a="true"/>
  <c r="F431" i="5" a="true"/>
  <c r="D496" i="5" a="true"/>
  <c r="F496" i="5" a="true"/>
  <c r="F552" i="5" a="true"/>
  <c r="D552" i="5" a="true"/>
  <c r="D48" i="5" a="true"/>
  <c r="F48" i="5" a="true"/>
  <c r="F97" i="5" a="true"/>
  <c r="D97" i="5" a="true"/>
  <c r="D161" i="5" a="true"/>
  <c r="F161" i="5" a="true"/>
  <c r="D226" i="5" a="true"/>
  <c r="F226" i="5" a="true"/>
  <c r="D300" i="5" a="true"/>
  <c r="F300" i="5" a="true"/>
  <c r="D430" i="5" a="true"/>
  <c r="F430" i="5" a="true"/>
  <c r="D495" i="5" a="true"/>
  <c r="F495" i="5" a="true"/>
  <c r="D551" i="5" a="true"/>
  <c r="F551" i="5" a="true"/>
  <c r="D47" i="5" a="true"/>
  <c r="F47" i="5" a="true"/>
  <c r="D111" i="5" a="true"/>
  <c r="F111" i="5" a="true"/>
  <c r="D112" i="5" a="true"/>
  <c r="F112" i="5" a="true"/>
  <c r="F225" i="5" a="true"/>
  <c r="D225" i="5" a="true"/>
  <c r="D299" i="5" a="true"/>
  <c r="F299" i="5" a="true"/>
  <c r="D494" i="5" a="true"/>
  <c r="F494" i="5" a="true"/>
  <c r="D550" i="5" a="true"/>
  <c r="F550" i="5" a="true"/>
  <c r="D46" i="5" a="true"/>
  <c r="F46" i="5" a="true"/>
  <c r="D110" i="5" a="true"/>
  <c r="F110" i="5" a="true"/>
  <c r="F298" i="5" a="true"/>
  <c r="D298" i="5" a="true"/>
  <c r="D363" i="5" a="true"/>
  <c r="F363" i="5" a="true"/>
  <c r="D493" i="5" a="true"/>
  <c r="F493" i="5" a="true"/>
  <c r="D549" i="5" a="true"/>
  <c r="F549" i="5" a="true"/>
  <c r="D45" i="5" a="true"/>
  <c r="F45" i="5" a="true"/>
  <c r="D109" i="5" a="true"/>
  <c r="F109" i="5" a="true"/>
  <c r="D174" i="5" a="true"/>
  <c r="F174" i="5" a="true"/>
  <c r="D297" i="5" a="true"/>
  <c r="F297" i="5" a="true"/>
  <c r="D362" i="5" a="true"/>
  <c r="F362" i="5" a="true"/>
  <c r="D548" i="5" a="true"/>
  <c r="F548" i="5" a="true"/>
  <c r="D44" i="5" a="true"/>
  <c r="F44" i="5" a="true"/>
  <c r="D173" i="5" a="true"/>
  <c r="F173" i="5" a="true"/>
  <c r="D361" i="5" a="true"/>
  <c r="F361" i="5" a="true"/>
  <c r="D426" i="5" a="true"/>
  <c r="F426" i="5" a="true"/>
  <c r="D547" i="5" a="true"/>
  <c r="F547" i="5" a="true"/>
  <c r="D43" i="5" a="true"/>
  <c r="F43" i="5" a="true"/>
  <c r="D172" i="5" a="true"/>
  <c r="F172" i="5" a="true"/>
  <c r="D237" i="5" a="true"/>
  <c r="F237" i="5" a="true"/>
  <c r="D376" i="5" a="true"/>
  <c r="F376" i="5" a="true"/>
  <c r="D425" i="5" a="true"/>
  <c r="F425" i="5" a="true"/>
  <c r="D41" i="5" a="true"/>
  <c r="F41" i="5" a="true"/>
  <c r="D42" i="5" a="true"/>
  <c r="F42" i="5" a="true"/>
  <c r="D171" i="5" a="true"/>
  <c r="F171" i="5" a="true"/>
  <c r="D236" i="5" a="true"/>
  <c r="F236" i="5" a="true"/>
  <c r="D440" i="5" a="true"/>
  <c r="F440" i="5" a="true"/>
  <c r="D489" i="5" a="true"/>
  <c r="F489" i="5" a="true"/>
  <c r="F56" i="5" a="true"/>
  <c r="D56" i="5" a="true"/>
  <c r="D105" i="5" a="true"/>
  <c r="F105" i="5" a="true"/>
  <c r="D170" i="5" a="true"/>
  <c r="F170" i="5" a="true"/>
  <c r="D235" i="5" a="true"/>
  <c r="F235" i="5" a="true"/>
  <c r="D309" i="5" a="true"/>
  <c r="F309" i="5" a="true"/>
  <c r="D439" i="5" a="true"/>
  <c r="F439" i="5" a="true"/>
  <c r="D504" i="5" a="true"/>
  <c r="F504" i="5" a="true"/>
  <c r="D560" i="5" a="true"/>
  <c r="F560" i="5" a="true"/>
  <c r="D55" i="5" a="true"/>
  <c r="F55" i="5" a="true"/>
  <c r="D169" i="5" a="true"/>
  <c r="F169" i="5" a="true"/>
  <c r="D234" i="5" a="true"/>
  <c r="F234" i="5" a="true"/>
  <c r="D308" i="5" a="true"/>
  <c r="F308" i="5" a="true"/>
  <c r="D503" i="5" a="true"/>
  <c r="F503" i="5" a="true"/>
  <c r="D559" i="5" a="true"/>
  <c r="F559" i="5" a="true"/>
  <c r="D54" i="5" a="true"/>
  <c r="F54" i="5" a="true"/>
  <c r="D119" i="5" a="true"/>
  <c r="F119" i="5" a="true"/>
  <c r="D233" i="5" a="true"/>
  <c r="F233" i="5" a="true"/>
  <c r="D307" i="5" a="true"/>
  <c r="F307" i="5" a="true"/>
  <c r="D372" i="5" a="true"/>
  <c r="F372" i="5" a="true"/>
  <c r="D502" i="5" a="true"/>
  <c r="F502" i="5" a="true"/>
  <c r="D558" i="5" a="true"/>
  <c r="F558" i="5" a="true"/>
  <c r="D53" i="5" a="true"/>
  <c r="F53" i="5" a="true"/>
  <c r="D118" i="5" a="true"/>
  <c r="F118" i="5" a="true"/>
  <c r="D183" i="5" a="true"/>
  <c r="F183" i="5" a="true"/>
  <c r="D306" i="5" a="true"/>
  <c r="F306" i="5" a="true"/>
  <c r="D371" i="5" a="true"/>
  <c r="F371" i="5" a="true"/>
  <c r="D557" i="5" a="true"/>
  <c r="F557" i="5" a="true"/>
  <c r="D117" i="5" a="true"/>
  <c r="F117" i="5" a="true"/>
  <c r="D182" i="5" a="true"/>
  <c r="F182" i="5" a="true"/>
  <c r="D305" i="5" a="true"/>
  <c r="F305" i="5" a="true"/>
  <c r="D370" i="5" a="true"/>
  <c r="F370" i="5" a="true"/>
  <c r="D435" i="5" a="true"/>
  <c r="F435" i="5" a="true"/>
  <c r="D556" i="5" a="true"/>
  <c r="F556" i="5" a="true"/>
  <c r="D116" i="5" a="true"/>
  <c r="F116" i="5" a="true"/>
  <c r="F181" i="5" a="true"/>
  <c r="D181" i="5" a="true"/>
  <c r="D246" i="5" a="true"/>
  <c r="F246" i="5" a="true"/>
  <c r="D369" i="5" a="true"/>
  <c r="F369" i="5" a="true"/>
  <c r="F434" i="5" a="true"/>
  <c r="D434" i="5" a="true"/>
  <c r="F498" i="5" a="true"/>
  <c r="D498" i="5" a="true"/>
  <c r="D115" i="5" a="true"/>
  <c r="F115" i="5" a="true"/>
  <c r="D180" i="5" a="true"/>
  <c r="F180" i="5" a="true"/>
  <c r="D245" i="5" a="true"/>
  <c r="F245" i="5" a="true"/>
  <c r="D433" i="5" a="true"/>
  <c r="F433" i="5" a="true"/>
  <c r="D497" i="5" a="true"/>
  <c r="F497" i="5" a="true"/>
  <c r="D49" i="5" a="true"/>
  <c r="F49" i="5" a="true"/>
  <c r="D114" i="5" a="true"/>
  <c r="F114" i="5" a="true"/>
  <c r="F179" i="5" a="true"/>
  <c r="D179" i="5" a="true"/>
  <c r="D244" i="5" a="true"/>
  <c r="F244" i="5" a="true"/>
  <c r="D318" i="5" a="true"/>
  <c r="F318" i="5" a="true"/>
  <c r="D448" i="5" a="true"/>
  <c r="F448" i="5" a="true"/>
  <c r="D512" i="5" a="true"/>
  <c r="F512" i="5" a="true"/>
  <c r="D113" i="5" a="true"/>
  <c r="F113" i="5" a="true"/>
  <c r="D178" i="5" a="true"/>
  <c r="F178" i="5" a="true"/>
  <c r="D243" i="5" a="true"/>
  <c r="F243" i="5" a="true"/>
  <c r="D317" i="5" a="true"/>
  <c r="F317" i="5" a="true"/>
  <c r="D511" i="5" a="true"/>
  <c r="F511" i="5" a="true"/>
  <c r="D568" i="5" a="true"/>
  <c r="F568" i="5" a="true"/>
  <c r="D63" i="5" a="true"/>
  <c r="F63" i="5" a="true"/>
  <c r="D128" i="5" a="true"/>
  <c r="F128" i="5" a="true"/>
  <c r="D242" i="5" a="true"/>
  <c r="F242" i="5" a="true"/>
  <c r="F316" i="5" a="true"/>
  <c r="D316" i="5" a="true"/>
  <c r="D381" i="5" a="true"/>
  <c r="F381" i="5" a="true"/>
  <c r="D567" i="5" a="true"/>
  <c r="F567" i="5" a="true"/>
  <c r="D41" i="7" a="true"/>
  <c r="F41" i="7" a="true"/>
  <c r="D171" i="7" a="true"/>
  <c r="F171" i="7" a="true"/>
  <c r="F236" i="7" a="true"/>
  <c r="D236" i="7" a="true"/>
  <c r="D293" i="7" a="true"/>
  <c r="F293" i="7" a="true"/>
  <c r="D423" i="7" a="true"/>
  <c r="F423" i="7" a="true"/>
  <c r="D48" i="7" a="true"/>
  <c r="F48" i="7" a="true"/>
  <c r="D105" i="7" a="true"/>
  <c r="F105" i="7" a="true"/>
  <c r="D170" i="7" a="true"/>
  <c r="F170" i="7" a="true"/>
  <c r="D235" i="7" a="true"/>
  <c r="F235" i="7" a="true"/>
  <c r="D300" i="7" a="true"/>
  <c r="F300" i="7" a="true"/>
  <c r="D357" i="7" a="true"/>
  <c r="F357" i="7" a="true"/>
  <c r="D422" i="7" a="true"/>
  <c r="F422" i="7" a="true"/>
  <c r="D47" i="7" a="true"/>
  <c r="F47" i="7" a="true"/>
  <c r="F112" i="7" a="true"/>
  <c r="D112" i="7" a="true"/>
  <c r="D169" i="7" a="true"/>
  <c r="F169" i="7" a="true"/>
  <c r="D299" i="7" a="true"/>
  <c r="F299" i="7" a="true"/>
  <c r="D364" i="7" a="true"/>
  <c r="F364" i="7" a="true"/>
  <c r="F421" i="7" a="true"/>
  <c r="D421" i="7" a="true"/>
  <c r="D46" i="7" a="true"/>
  <c r="F46" i="7" a="true"/>
  <c r="D111" i="7" a="true"/>
  <c r="F111" i="7" a="true"/>
  <c r="D298" i="7" a="true"/>
  <c r="F298" i="7" a="true"/>
  <c r="D363" i="7" a="true"/>
  <c r="F363" i="7" a="true"/>
  <c r="D45" i="7" a="true"/>
  <c r="F45" i="7" a="true"/>
  <c r="D110" i="7" a="true"/>
  <c r="F110" i="7" a="true"/>
  <c r="D175" i="7" a="true"/>
  <c r="F175" i="7" a="true"/>
  <c r="D240" i="7" a="true"/>
  <c r="F240" i="7" a="true"/>
  <c r="F297" i="7" a="true"/>
  <c r="D297" i="7" a="true"/>
  <c r="D362" i="7" a="true"/>
  <c r="F362" i="7" a="true"/>
  <c r="D427" i="7" a="true"/>
  <c r="F427" i="7" a="true"/>
  <c r="D109" i="7" a="true"/>
  <c r="F109" i="7" a="true"/>
  <c r="D174" i="7" a="true"/>
  <c r="F174" i="7" a="true"/>
  <c r="D239" i="7" a="true"/>
  <c r="F239" i="7" a="true"/>
  <c r="D361" i="7" a="true"/>
  <c r="F361" i="7" a="true"/>
  <c r="D426" i="7" a="true"/>
  <c r="F426" i="7" a="true"/>
  <c r="F116" i="7" a="true"/>
  <c r="D116" i="7" a="true"/>
  <c r="D173" i="7" a="true"/>
  <c r="F173" i="7" a="true"/>
  <c r="D238" i="7" a="true"/>
  <c r="F238" i="7" a="true"/>
  <c r="D368" i="7" a="true"/>
  <c r="F368" i="7" a="true"/>
  <c r="D425" i="7" a="true"/>
  <c r="F425" i="7" a="true"/>
  <c r="D115" i="7" a="true"/>
  <c r="F115" i="7" a="true"/>
  <c r="D180" i="7" a="true"/>
  <c r="F180" i="7" a="true"/>
  <c r="D237" i="7" a="true"/>
  <c r="F237" i="7" a="true"/>
  <c r="D367" i="7" a="true"/>
  <c r="F367" i="7" a="true"/>
  <c r="D49" i="7" a="true"/>
  <c r="F49" i="7" a="true"/>
  <c r="D114" i="7" a="true"/>
  <c r="F114" i="7" a="true"/>
  <c r="D179" i="7" a="true"/>
  <c r="F179" i="7" a="true"/>
  <c r="D244" i="7" a="true"/>
  <c r="F244" i="7" a="true"/>
  <c r="D301" i="7" a="true"/>
  <c r="F301" i="7" a="true"/>
  <c r="D366" i="7" a="true"/>
  <c r="F366" i="7" a="true"/>
  <c r="D56" i="7" a="true"/>
  <c r="F56" i="7" a="true"/>
  <c r="D113" i="7" a="true"/>
  <c r="F113" i="7" a="true"/>
  <c r="D243" i="7" a="true"/>
  <c r="F243" i="7" a="true"/>
  <c r="D308" i="7" a="true"/>
  <c r="F308" i="7" a="true"/>
  <c r="D365" i="7" a="true"/>
  <c r="F365" i="7" a="true"/>
  <c r="D55" i="7" a="true"/>
  <c r="F55" i="7" a="true"/>
  <c r="D242" i="7" a="true"/>
  <c r="F242" i="7" a="true"/>
  <c r="D307" i="7" a="true"/>
  <c r="F307" i="7" a="true"/>
  <c r="D54" i="7" a="true"/>
  <c r="F54" i="7" a="true"/>
  <c r="D119" i="7" a="true"/>
  <c r="F119" i="7" a="true"/>
  <c r="D184" i="7" a="true"/>
  <c r="F184" i="7" a="true"/>
  <c r="D241" i="7" a="true"/>
  <c r="F241" i="7" a="true"/>
  <c r="F306" i="7" a="true"/>
  <c r="D306" i="7" a="true"/>
  <c r="D371" i="7" a="true"/>
  <c r="F371" i="7" a="true"/>
  <c r="D53" i="7" a="true"/>
  <c r="F53" i="7" a="true"/>
  <c r="D118" i="7" a="true"/>
  <c r="F118" i="7" a="true"/>
  <c r="D183" i="7" a="true"/>
  <c r="F183" i="7" a="true"/>
  <c r="F305" i="7" a="true"/>
  <c r="D305" i="7" a="true"/>
  <c r="D370" i="7" a="true"/>
  <c r="F370" i="7" a="true"/>
  <c r="D60" i="7" a="true"/>
  <c r="F60" i="7" a="true"/>
  <c r="D117" i="7" a="true"/>
  <c r="F117" i="7" a="true"/>
  <c r="F182" i="7" a="true"/>
  <c r="D182" i="7" a="true"/>
  <c r="F312" i="7" a="true"/>
  <c r="D312" i="7" a="true"/>
  <c r="D369" i="7" a="true"/>
  <c r="F369" i="7" a="true"/>
  <c r="D59" i="7" a="true"/>
  <c r="F59" i="7" a="true"/>
  <c r="D124" i="7" a="true"/>
  <c r="F124" i="7" a="true"/>
  <c r="D181" i="7" a="true"/>
  <c r="F181" i="7" a="true"/>
  <c r="D311" i="7" a="true"/>
  <c r="F311" i="7" a="true"/>
  <c r="D376" i="7" a="true"/>
  <c r="F376" i="7" a="true"/>
  <c r="D58" i="7" a="true"/>
  <c r="F58" i="7" a="true"/>
  <c r="D123" i="7" a="true"/>
  <c r="F123" i="7" a="true"/>
  <c r="D188" i="7" a="true"/>
  <c r="F188" i="7" a="true"/>
  <c r="D245" i="7" a="true"/>
  <c r="F245" i="7" a="true"/>
  <c r="D310" i="7" a="true"/>
  <c r="F310" i="7" a="true"/>
  <c r="D375" i="7" a="true"/>
  <c r="F375" i="7" a="true"/>
  <c r="D57" i="7" a="true"/>
  <c r="F57" i="7" a="true"/>
  <c r="D187" i="7" a="true"/>
  <c r="F187" i="7" a="true"/>
  <c r="D252" i="7" a="true"/>
  <c r="F252" i="7" a="true"/>
  <c r="D309" i="7" a="true"/>
  <c r="F309" i="7" a="true"/>
  <c r="D186" i="7" a="true"/>
  <c r="F186" i="7" a="true"/>
  <c r="D251" i="7" a="true"/>
  <c r="F251" i="7" a="true"/>
  <c r="D63" i="7" a="true"/>
  <c r="F63" i="7" a="true"/>
  <c r="D128" i="7" a="true"/>
  <c r="F128" i="7" a="true"/>
  <c r="D185" i="7" a="true"/>
  <c r="F185" i="7" a="true"/>
  <c r="F250" i="7" a="true"/>
  <c r="D250" i="7" a="true"/>
  <c r="D315" i="7" a="true"/>
  <c r="F315" i="7" a="true"/>
  <c r="D380" i="7" a="true"/>
  <c r="F380" i="7" a="true"/>
  <c r="D62" i="7" a="true"/>
  <c r="F62" i="7" a="true"/>
  <c r="D127" i="7" a="true"/>
  <c r="F127" i="7" a="true"/>
  <c r="D249" i="7" a="true"/>
  <c r="F249" i="7" a="true"/>
  <c r="F314" i="7" a="true"/>
  <c r="D314" i="7" a="true"/>
  <c r="F379" i="7" a="true"/>
  <c r="D379" i="7" a="true"/>
  <c r="D61" i="7" a="true"/>
  <c r="F61" i="7" a="true"/>
  <c r="D126" i="7" a="true"/>
  <c r="F126" i="7" a="true"/>
  <c r="D256" i="7" a="true"/>
  <c r="F256" i="7" a="true"/>
  <c r="D313" i="7" a="true"/>
  <c r="F313" i="7" a="true"/>
  <c r="D378" i="7" a="true"/>
  <c r="F378" i="7" a="true"/>
  <c r="D125" i="7" a="true"/>
  <c r="F125" i="7" a="true"/>
  <c r="D255" i="7" a="true"/>
  <c r="F255" i="7" a="true"/>
  <c r="D320" i="7" a="true"/>
  <c r="F320" i="7" a="true"/>
  <c r="D377" i="7" a="true"/>
  <c r="F377" i="7" a="true"/>
  <c r="D68" i="7" a="true"/>
  <c r="F68" i="7" a="true"/>
  <c r="D189" i="7" a="true"/>
  <c r="F189" i="7" a="true"/>
  <c r="D254" i="7" a="true"/>
  <c r="F254" i="7" a="true"/>
  <c r="D319" i="7" a="true"/>
  <c r="F319" i="7" a="true"/>
  <c r="F384" i="7" a="true"/>
  <c r="D384" i="7" a="true"/>
  <c r="D67" i="7" a="true"/>
  <c r="F67" i="7" a="true"/>
  <c r="D132" i="7" a="true"/>
  <c r="F132" i="7" a="true"/>
  <c r="D253" i="7" a="true"/>
  <c r="F253" i="7" a="true"/>
  <c r="D383" i="7" a="true"/>
  <c r="F383" i="7" a="true"/>
  <c r="D131" i="7" a="true"/>
  <c r="F131" i="7" a="true"/>
  <c r="D196" i="7" a="true"/>
  <c r="F196" i="7" a="true"/>
  <c r="D382" i="7" a="true"/>
  <c r="F382" i="7" a="true"/>
  <c r="D130" i="7" a="true"/>
  <c r="F130" i="7" a="true"/>
  <c r="D195" i="7" a="true"/>
  <c r="F195" i="7" a="true"/>
  <c r="D381" i="7" a="true"/>
  <c r="F381" i="7" a="true"/>
  <c r="D72" i="7" a="true"/>
  <c r="F72" i="7" a="true"/>
  <c r="D129" i="7" a="true"/>
  <c r="F129" i="7" a="true"/>
  <c r="D194" i="7" a="true"/>
  <c r="F194" i="7" a="true"/>
  <c r="D259" i="7" a="true"/>
  <c r="F259" i="7" a="true"/>
  <c r="D324" i="7" a="true"/>
  <c r="F324" i="7" a="true"/>
  <c r="D71" i="7" a="true"/>
  <c r="F71" i="7" a="true"/>
  <c r="D193" i="7" a="true"/>
  <c r="F193" i="7" a="true"/>
  <c r="D258" i="7" a="true"/>
  <c r="F258" i="7" a="true"/>
  <c r="D323" i="7" a="true"/>
  <c r="F323" i="7" a="true"/>
  <c r="D70" i="7" a="true"/>
  <c r="F70" i="7" a="true"/>
  <c r="F200" i="7" a="true"/>
  <c r="D200" i="7" a="true"/>
  <c r="F257" i="7" a="true"/>
  <c r="D257" i="7" a="true"/>
  <c r="D322" i="7" a="true"/>
  <c r="F322" i="7" a="true"/>
  <c r="F12" i="7" a="true"/>
  <c r="D12" i="7" a="true"/>
  <c r="F69" i="7" a="true"/>
  <c r="D69" i="7" a="true"/>
  <c r="D199" i="7" a="true"/>
  <c r="F199" i="7" a="true"/>
  <c r="D264" i="7" a="true"/>
  <c r="F264" i="7" a="true"/>
  <c r="F321" i="7" a="true"/>
  <c r="D321" i="7" a="true"/>
  <c r="D11" i="7" a="true"/>
  <c r="F11" i="7" a="true"/>
  <c r="D76" i="7" a="true"/>
  <c r="F76" i="7" a="true"/>
  <c r="D133" i="7" a="true"/>
  <c r="F133" i="7" a="true"/>
  <c r="D198" i="7" a="true"/>
  <c r="F198" i="7" a="true"/>
  <c r="D263" i="7" a="true"/>
  <c r="F263" i="7" a="true"/>
  <c r="D328" i="7" a="true"/>
  <c r="F328" i="7" a="true"/>
  <c r="D385" i="7" a="true"/>
  <c r="F385" i="7" a="true"/>
  <c r="D75" i="7" a="true"/>
  <c r="F75" i="7" a="true"/>
  <c r="D140" i="7" a="true"/>
  <c r="F140" i="7" a="true"/>
  <c r="D197" i="7" a="true"/>
  <c r="F197" i="7" a="true"/>
  <c r="D327" i="7" a="true"/>
  <c r="F327" i="7" a="true"/>
  <c r="D392" i="7" a="true"/>
  <c r="F392" i="7" a="true"/>
  <c r="D74" i="7" a="true"/>
  <c r="F74" i="7" a="true"/>
  <c r="D139" i="7" a="true"/>
  <c r="F139" i="7" a="true"/>
  <c r="F326" i="7" a="true"/>
  <c r="D326" i="7" a="true"/>
  <c r="D391" i="7" a="true"/>
  <c r="F391" i="7" a="true"/>
  <c r="D16" i="7" a="true"/>
  <c r="F16" i="7" a="true"/>
  <c r="D73" i="7" a="true"/>
  <c r="F73" i="7" a="true"/>
  <c r="D138" i="7" a="true"/>
  <c r="F138" i="7" a="true"/>
  <c r="F203" i="7" a="true"/>
  <c r="D203" i="7" a="true"/>
  <c r="D268" i="7" a="true"/>
  <c r="F268" i="7" a="true"/>
  <c r="D325" i="7" a="true"/>
  <c r="F325" i="7" a="true"/>
  <c r="D390" i="7" a="true"/>
  <c r="F390" i="7" a="true"/>
  <c r="D15" i="7" a="true"/>
  <c r="F15" i="7" a="true"/>
  <c r="F137" i="7" a="true"/>
  <c r="D137" i="7" a="true"/>
  <c r="D202" i="7" a="true"/>
  <c r="F202" i="7" a="true"/>
  <c r="D267" i="7" a="true"/>
  <c r="F267" i="7" a="true"/>
  <c r="D389" i="7" a="true"/>
  <c r="F389" i="7" a="true"/>
  <c r="D396" i="7" a="true"/>
  <c r="F396" i="7" a="true"/>
  <c r="D14" i="7" a="true"/>
  <c r="F14" i="7" a="true"/>
  <c r="D144" i="7" a="true"/>
  <c r="F144" i="7" a="true"/>
  <c r="D201" i="7" a="true"/>
  <c r="F201" i="7" a="true"/>
  <c r="D266" i="7" a="true"/>
  <c r="F266" i="7" a="true"/>
  <c r="D395" i="7" a="true"/>
  <c r="F395" i="7" a="true"/>
  <c r="D13" i="7" a="true"/>
  <c r="F13" i="7" a="true"/>
  <c r="D143" i="7" a="true"/>
  <c r="F143" i="7" a="true"/>
  <c r="D208" i="7" a="true"/>
  <c r="F208" i="7" a="true"/>
  <c r="D265" i="7" a="true"/>
  <c r="F265" i="7" a="true"/>
  <c r="D394" i="7" a="true"/>
  <c r="F394" i="7" a="true"/>
  <c r="D20" i="7" a="true"/>
  <c r="F20" i="7" a="true"/>
  <c r="D77" i="7" a="true"/>
  <c r="F77" i="7" a="true"/>
  <c r="D142" i="7" a="true"/>
  <c r="F142" i="7" a="true"/>
  <c r="D207" i="7" a="true"/>
  <c r="F207" i="7" a="true"/>
  <c r="D272" i="7" a="true"/>
  <c r="F272" i="7" a="true"/>
  <c r="D329" i="7" a="true"/>
  <c r="F329" i="7" a="true"/>
  <c r="D393" i="7" a="true"/>
  <c r="F393" i="7" a="true"/>
  <c r="D19" i="7" a="true"/>
  <c r="F19" i="7" a="true"/>
  <c r="D84" i="7" a="true"/>
  <c r="F84" i="7" a="true"/>
  <c r="D141" i="7" a="true"/>
  <c r="F141" i="7" a="true"/>
  <c r="D271" i="7" a="true"/>
  <c r="F271" i="7" a="true"/>
  <c r="D336" i="7" a="true"/>
  <c r="F336" i="7" a="true"/>
  <c r="D18" i="7" a="true"/>
  <c r="F18" i="7" a="true"/>
  <c r="D83" i="7" a="true"/>
  <c r="F83" i="7" a="true"/>
  <c r="D270" i="7" a="true"/>
  <c r="F270" i="7" a="true"/>
  <c r="D334" i="7" a="true"/>
  <c r="F334" i="7" a="true"/>
  <c r="D335" i="7" a="true"/>
  <c r="F335" i="7" a="true"/>
  <c r="D399" i="7" a="true"/>
  <c r="F399" i="7" a="true"/>
  <c r="D17" i="7" a="true"/>
  <c r="F17" i="7" a="true"/>
  <c r="D82" i="7" a="true"/>
  <c r="F82" i="7" a="true"/>
  <c r="D147" i="7" a="true"/>
  <c r="F147" i="7" a="true"/>
  <c r="D212" i="7" a="true"/>
  <c r="F212" i="7" a="true"/>
  <c r="D269" i="7" a="true"/>
  <c r="F269" i="7" a="true"/>
  <c r="F333" i="7" a="true"/>
  <c r="D333" i="7" a="true"/>
  <c r="D398" i="7" a="true"/>
  <c r="F398" i="7" a="true"/>
  <c r="D81" i="7" a="true"/>
  <c r="F81" i="7" a="true"/>
  <c r="D146" i="7" a="true"/>
  <c r="F146" i="7" a="true"/>
  <c r="D211" i="7" a="true"/>
  <c r="F211" i="7" a="true"/>
  <c r="D340" i="7" a="true"/>
  <c r="F340" i="7" a="true"/>
  <c r="D397" i="7" a="true"/>
  <c r="F397" i="7" a="true"/>
  <c r="F88" i="7" a="true"/>
  <c r="D88" i="7" a="true"/>
  <c r="D145" i="7" a="true"/>
  <c r="F145" i="7" a="true"/>
  <c r="D210" i="7" a="true"/>
  <c r="F210" i="7" a="true"/>
  <c r="D339" i="7" a="true"/>
  <c r="F339" i="7" a="true"/>
  <c r="D404" i="7" a="true"/>
  <c r="F404" i="7" a="true"/>
  <c r="D87" i="7" a="true"/>
  <c r="F87" i="7" a="true"/>
  <c r="D152" i="7" a="true"/>
  <c r="F152" i="7" a="true"/>
  <c r="D209" i="7" a="true"/>
  <c r="F209" i="7" a="true"/>
  <c r="D338" i="7" a="true"/>
  <c r="F338" i="7" a="true"/>
  <c r="D403" i="7" a="true"/>
  <c r="F403" i="7" a="true"/>
  <c r="D21" i="7" a="true"/>
  <c r="F21" i="7" a="true"/>
  <c r="D86" i="7" a="true"/>
  <c r="F86" i="7" a="true"/>
  <c r="D151" i="7" a="true"/>
  <c r="F151" i="7" a="true"/>
  <c r="D216" i="7" a="true"/>
  <c r="F216" i="7" a="true"/>
  <c r="D273" i="7" a="true"/>
  <c r="F273" i="7" a="true"/>
  <c r="D280" i="7" a="true"/>
  <c r="F280" i="7" a="true"/>
  <c r="D337" i="7" a="true"/>
  <c r="F337" i="7" a="true"/>
  <c r="D28" i="7" a="true"/>
  <c r="F28" i="7" a="true"/>
  <c r="D85" i="7" a="true"/>
  <c r="F85" i="7" a="true"/>
  <c r="D215" i="7" a="true"/>
  <c r="F215" i="7" a="true"/>
  <c r="D279" i="7" a="true"/>
  <c r="F279" i="7" a="true"/>
  <c r="D27" i="7" a="true"/>
  <c r="F27" i="7" a="true"/>
  <c r="D214" i="7" a="true"/>
  <c r="F214" i="7" a="true"/>
  <c r="F278" i="7" a="true"/>
  <c r="D278" i="7" a="true"/>
  <c r="D343" i="7" a="true"/>
  <c r="F343" i="7" a="true"/>
  <c r="D408" i="7" a="true"/>
  <c r="F408" i="7" a="true"/>
  <c r="D26" i="7" a="true"/>
  <c r="F26" i="7" a="true"/>
  <c r="D91" i="7" a="true"/>
  <c r="F91" i="7" a="true"/>
  <c r="D156" i="7" a="true"/>
  <c r="F156" i="7" a="true"/>
  <c r="D213" i="7" a="true"/>
  <c r="F213" i="7" a="true"/>
  <c r="D277" i="7" a="true"/>
  <c r="F277" i="7" a="true"/>
  <c r="F342" i="7" a="true"/>
  <c r="D342" i="7" a="true"/>
  <c r="D407" i="7" a="true"/>
  <c r="F407" i="7" a="true"/>
  <c r="D25" i="7" a="true"/>
  <c r="F25" i="7" a="true"/>
  <c r="D90" i="7" a="true"/>
  <c r="F90" i="7" a="true"/>
  <c r="D155" i="7" a="true"/>
  <c r="F155" i="7" a="true"/>
  <c r="D284" i="7" a="true"/>
  <c r="F284" i="7" a="true"/>
  <c r="D341" i="7" a="true"/>
  <c r="F341" i="7" a="true"/>
  <c r="F406" i="7" a="true"/>
  <c r="D406" i="7" a="true"/>
  <c r="D32" i="7" a="true"/>
  <c r="F32" i="7" a="true"/>
  <c r="D89" i="7" a="true"/>
  <c r="F89" i="7" a="true"/>
  <c r="D154" i="7" a="true"/>
  <c r="F154" i="7" a="true"/>
  <c r="D283" i="7" a="true"/>
  <c r="F283" i="7" a="true"/>
  <c r="D348" i="7" a="true"/>
  <c r="F348" i="7" a="true"/>
  <c r="D405" i="7" a="true"/>
  <c r="F405" i="7" a="true"/>
  <c r="D31" i="7" a="true"/>
  <c r="F31" i="7" a="true"/>
  <c r="D96" i="7" a="true"/>
  <c r="F96" i="7" a="true"/>
  <c r="D153" i="7" a="true"/>
  <c r="F153" i="7" a="true"/>
  <c r="D217" i="7" a="true"/>
  <c r="F217" i="7" a="true"/>
  <c r="D282" i="7" a="true"/>
  <c r="F282" i="7" a="true"/>
  <c r="D347" i="7" a="true"/>
  <c r="F347" i="7" a="true"/>
  <c r="D412" i="7" a="true"/>
  <c r="F412" i="7" a="true"/>
  <c r="D30" i="7" a="true"/>
  <c r="F30" i="7" a="true"/>
  <c r="D95" i="7" a="true"/>
  <c r="F95" i="7" a="true"/>
  <c r="D160" i="7" a="true"/>
  <c r="F160" i="7" a="true"/>
  <c r="F224" i="7" a="true"/>
  <c r="D224" i="7" a="true"/>
  <c r="D281" i="7" a="true"/>
  <c r="F281" i="7" a="true"/>
  <c r="D411" i="7" a="true"/>
  <c r="F411" i="7" a="true"/>
  <c r="D29" i="7" a="true"/>
  <c r="F29" i="7" a="true"/>
  <c r="D159" i="7" a="true"/>
  <c r="F159" i="7" a="true"/>
  <c r="D223" i="7" a="true"/>
  <c r="F223" i="7" a="true"/>
  <c r="D410" i="7" a="true"/>
  <c r="F410" i="7" a="true"/>
  <c r="D158" i="7" a="true"/>
  <c r="F158" i="7" a="true"/>
  <c r="F222" i="7" a="true"/>
  <c r="D222" i="7" a="true"/>
  <c r="D287" i="7" a="true"/>
  <c r="F287" i="7" a="true"/>
  <c r="D352" i="7" a="true"/>
  <c r="F352" i="7" a="true"/>
  <c r="D409" i="7" a="true"/>
  <c r="F409" i="7" a="true"/>
  <c r="D100" i="7" a="true"/>
  <c r="F100" i="7" a="true"/>
  <c r="D157" i="7" a="true"/>
  <c r="F157" i="7" a="true"/>
  <c r="F221" i="7" a="true"/>
  <c r="D221" i="7" a="true"/>
  <c r="D286" i="7" a="true"/>
  <c r="F286" i="7" a="true"/>
  <c r="D351" i="7" a="true"/>
  <c r="F351" i="7" a="true"/>
  <c r="D35" i="7" a="true"/>
  <c r="F35" i="7" a="true"/>
  <c r="D99" i="7" a="true"/>
  <c r="F99" i="7" a="true"/>
  <c r="D285" i="7" a="true"/>
  <c r="F285" i="7" a="true"/>
  <c r="F350" i="7" a="true"/>
  <c r="D350" i="7" a="true"/>
  <c r="D34" i="7" a="true"/>
  <c r="F34" i="7" a="true"/>
  <c r="D98" i="7" a="true"/>
  <c r="F98" i="7" a="true"/>
  <c r="D228" i="7" a="true"/>
  <c r="F228" i="7" a="true"/>
  <c r="D349" i="7" a="true"/>
  <c r="F349" i="7" a="true"/>
  <c r="D33" i="7" a="true"/>
  <c r="F33" i="7" a="true"/>
  <c r="D97" i="7" a="true"/>
  <c r="F97" i="7" a="true"/>
  <c r="D227" i="7" a="true"/>
  <c r="F227" i="7" a="true"/>
  <c r="D292" i="7" a="true"/>
  <c r="F292" i="7" a="true"/>
  <c r="F413" i="7" a="true"/>
  <c r="D413" i="7" a="true"/>
  <c r="D39" i="7" a="true"/>
  <c r="F39" i="7" a="true"/>
  <c r="D40" i="7" a="true"/>
  <c r="F40" i="7" a="true"/>
  <c r="D104" i="7" a="true"/>
  <c r="F104" i="7" a="true"/>
  <c r="D161" i="7" a="true"/>
  <c r="F161" i="7" a="true"/>
  <c r="D226" i="7" a="true"/>
  <c r="F226" i="7" a="true"/>
  <c r="D291" i="7" a="true"/>
  <c r="F291" i="7" a="true"/>
  <c r="D356" i="7" a="true"/>
  <c r="F356" i="7" a="true"/>
  <c r="D103" i="7" a="true"/>
  <c r="F103" i="7" a="true"/>
  <c r="D168" i="7" a="true"/>
  <c r="F168" i="7" a="true"/>
  <c r="D225" i="7" a="true"/>
  <c r="F225" i="7" a="true"/>
  <c r="D355" i="7" a="true"/>
  <c r="F355" i="7" a="true"/>
  <c r="F420" i="7" a="true"/>
  <c r="D420" i="7" a="true"/>
  <c r="F102" i="7" a="true"/>
  <c r="D102" i="7" a="true"/>
  <c r="D167" i="7" a="true"/>
  <c r="F167" i="7" a="true"/>
  <c r="D354" i="7" a="true"/>
  <c r="F354" i="7" a="true"/>
  <c r="D419" i="7" a="true"/>
  <c r="F419" i="7" a="true"/>
  <c r="D44" i="7" a="true"/>
  <c r="F44" i="7" a="true"/>
  <c r="F101" i="7" a="true"/>
  <c r="D101" i="7" a="true"/>
  <c r="D166" i="7" a="true"/>
  <c r="F166" i="7" a="true"/>
  <c r="D231" i="7" a="true"/>
  <c r="F231" i="7" a="true"/>
  <c r="D296" i="7" a="true"/>
  <c r="F296" i="7" a="true"/>
  <c r="D353" i="7" a="true"/>
  <c r="F353" i="7" a="true"/>
  <c r="D418" i="7" a="true"/>
  <c r="F418" i="7" a="true"/>
  <c r="D43" i="7" a="true"/>
  <c r="F43" i="7" a="true"/>
  <c r="D165" i="7" a="true"/>
  <c r="F165" i="7" a="true"/>
  <c r="D230" i="7" a="true"/>
  <c r="F230" i="7" a="true"/>
  <c r="D295" i="7" a="true"/>
  <c r="F295" i="7" a="true"/>
  <c r="D417" i="7" a="true"/>
  <c r="F417" i="7" a="true"/>
  <c r="D42" i="7" a="true"/>
  <c r="F42" i="7" a="true"/>
  <c r="D172" i="7" a="true"/>
  <c r="F172" i="7" a="true"/>
  <c r="D229" i="7" a="true"/>
  <c r="F229" i="7" a="true"/>
  <c r="F294" i="7" a="true"/>
  <c r="D294" i="7" a="true"/>
  <c r="D424" i="7" a="true"/>
  <c r="F424" i="7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<sst xmlns="http://schemas.openxmlformats.org/spreadsheetml/2006/main" count="253" uniqueCount="253">
  <si>
    <t xml:space="preserve">  </t>
  </si>
  <si>
    <t xml:space="preserve">时间</t>
  </si>
  <si>
    <t xml:space="preserve">国家</t>
  </si>
  <si>
    <t xml:space="preserve">数量</t>
  </si>
  <si>
    <t xml:space="preserve">售价</t>
  </si>
  <si>
    <t xml:space="preserve">销售额</t>
  </si>
  <si>
    <t xml:space="preserve">单个毛利</t>
  </si>
  <si>
    <t xml:space="preserve">广告预算</t>
  </si>
  <si>
    <t xml:space="preserve">实际广告</t>
  </si>
  <si>
    <t xml:space="preserve">活动费</t>
  </si>
  <si>
    <t xml:space="preserve">毛利</t>
  </si>
  <si>
    <t xml:space="preserve">毛利率</t>
  </si>
  <si>
    <t xml:space="preserve">毛利(RMB)</t>
  </si>
  <si>
    <t xml:space="preserve">销售额(RMB)</t>
  </si>
  <si>
    <t xml:space="preserve">广告占比</t>
  </si>
  <si>
    <t xml:space="preserve">广告订单</t>
  </si>
  <si>
    <t xml:space="preserve">自然订单</t>
  </si>
  <si>
    <t xml:space="preserve">广告订单占比</t>
  </si>
  <si>
    <t xml:space="preserve">ACOS</t>
  </si>
  <si>
    <t xml:space="preserve">2025/7/8
-
2025/7/11</t>
  </si>
  <si>
    <t xml:space="preserve">DE</t>
  </si>
  <si>
    <t xml:space="preserve">FR</t>
  </si>
  <si>
    <t xml:space="preserve">IT</t>
  </si>
  <si>
    <t xml:space="preserve">ES</t>
  </si>
  <si>
    <t xml:space="preserve">UK</t>
  </si>
  <si>
    <t xml:space="preserve">US</t>
  </si>
  <si>
    <t xml:space="preserve">汇总</t>
  </si>
  <si>
    <t xml:space="preserve">汇总</t>
  </si>
  <si>
    <t xml:space="preserve">国家</t>
  </si>
  <si>
    <t xml:space="preserve">数量</t>
  </si>
  <si>
    <t xml:space="preserve">售价</t>
  </si>
  <si>
    <t xml:space="preserve">销售额</t>
  </si>
  <si>
    <t xml:space="preserve">毛利</t>
  </si>
  <si>
    <t xml:space="preserve">广告预算</t>
  </si>
  <si>
    <t xml:space="preserve">实际广告</t>
  </si>
  <si>
    <t xml:space="preserve">活动费</t>
  </si>
  <si>
    <t xml:space="preserve">毛利率</t>
  </si>
  <si>
    <t xml:space="preserve">毛利(RMB)</t>
  </si>
  <si>
    <t xml:space="preserve">销售额(RMB)</t>
  </si>
  <si>
    <t xml:space="preserve">广告占比</t>
  </si>
  <si>
    <t xml:space="preserve">广告订单</t>
  </si>
  <si>
    <t xml:space="preserve">自然订单</t>
  </si>
  <si>
    <t xml:space="preserve">广告订单占比</t>
  </si>
  <si>
    <t xml:space="preserve">ACOS</t>
  </si>
  <si>
    <t xml:space="preserve">折扣</t>
  </si>
  <si>
    <t xml:space="preserve">开始时间</t>
  </si>
  <si>
    <t xml:space="preserve">DE</t>
  </si>
  <si>
    <t xml:space="preserve">FR</t>
  </si>
  <si>
    <t xml:space="preserve">结束时间</t>
  </si>
  <si>
    <t xml:space="preserve">IT</t>
  </si>
  <si>
    <t xml:space="preserve">ES</t>
  </si>
  <si>
    <t xml:space="preserve">即日</t>
  </si>
  <si>
    <t xml:space="preserve">UK</t>
  </si>
  <si>
    <t xml:space="preserve">US</t>
  </si>
  <si>
    <t xml:space="preserve">分割线</t>
  </si>
  <si>
    <t xml:space="preserve">时间</t>
  </si>
  <si>
    <t xml:space="preserve">COUPON</t>
  </si>
  <si>
    <t xml:space="preserve">VC-0%</t>
  </si>
  <si>
    <t xml:space="preserve">VC-12%</t>
  </si>
  <si>
    <t xml:space="preserve">VC-15%</t>
  </si>
  <si>
    <t xml:space="preserve">BD-9.46</t>
  </si>
  <si>
    <t xml:space="preserve">BD-10.09</t>
  </si>
  <si>
    <t xml:space="preserve">BD-10.54</t>
  </si>
  <si>
    <t xml:space="preserve">BD-9.33</t>
  </si>
  <si>
    <t xml:space="preserve">BD-12.13</t>
  </si>
  <si>
    <t xml:space="preserve">XXX仪</t>
  </si>
  <si>
    <t xml:space="preserve">VC-10%</t>
  </si>
  <si>
    <t xml:space="preserve">VC-5%</t>
  </si>
  <si>
    <t xml:space="preserve">BD-13.52</t>
  </si>
  <si>
    <t xml:space="preserve">BD-9.21</t>
  </si>
  <si>
    <t xml:space="preserve">BD-5.87</t>
  </si>
  <si>
    <t xml:space="preserve">BD-14.36</t>
  </si>
  <si>
    <t xml:space="preserve">BD-10.42</t>
  </si>
  <si>
    <t xml:space="preserve">VC-20%</t>
  </si>
  <si>
    <t xml:space="preserve">BD-12.97</t>
  </si>
  <si>
    <t xml:space="preserve">BD-5.57</t>
  </si>
  <si>
    <t xml:space="preserve">关键词</t>
  </si>
  <si>
    <t xml:space="preserve">广告</t>
  </si>
  <si>
    <t xml:space="preserve">自然</t>
  </si>
  <si>
    <t xml:space="preserve">bed vacuum cleaner uv sanitizing</t>
  </si>
  <si>
    <t xml:space="preserve">mattress vacuum cleaner uv sanitizing</t>
  </si>
  <si>
    <t xml:space="preserve">vacuum for bed mattress</t>
  </si>
  <si>
    <t xml:space="preserve">dust mite vacuum</t>
  </si>
  <si>
    <t xml:space="preserve">/</t>
  </si>
  <si>
    <t xml:space="preserve">uv vacuum cleaner for mattress</t>
  </si>
  <si>
    <t xml:space="preserve">mattress vacuum for pet hair</t>
  </si>
  <si>
    <t xml:space="preserve">pet hair vacuum cleaners for bed</t>
  </si>
  <si>
    <t xml:space="preserve">mattress vacuum cleaner</t>
  </si>
  <si>
    <t xml:space="preserve">bed mattress vacuum cleaner</t>
  </si>
  <si>
    <t xml:space="preserve">mattress vacuum</t>
  </si>
  <si>
    <t xml:space="preserve">国家</t>
  </si>
  <si>
    <t xml:space="preserve">COUPON</t>
  </si>
  <si>
    <t xml:space="preserve">利润</t>
  </si>
  <si>
    <t xml:space="preserve">PO价</t>
  </si>
  <si>
    <t xml:space="preserve">售价</t>
  </si>
  <si>
    <t xml:space="preserve">DE</t>
  </si>
  <si>
    <t xml:space="preserve">VC-0%</t>
  </si>
  <si>
    <t xml:space="preserve">VC-5%</t>
  </si>
  <si>
    <t xml:space="preserve">VC-10%</t>
  </si>
  <si>
    <t xml:space="preserve">VC-15%</t>
  </si>
  <si>
    <t xml:space="preserve">BD-10.09</t>
  </si>
  <si>
    <t xml:space="preserve">BD-12.97</t>
  </si>
  <si>
    <t xml:space="preserve">FR</t>
  </si>
  <si>
    <t xml:space="preserve">BD-9.21</t>
  </si>
  <si>
    <t xml:space="preserve">BD-5.87</t>
  </si>
  <si>
    <t xml:space="preserve">BD-5.57</t>
  </si>
  <si>
    <t xml:space="preserve">IT</t>
  </si>
  <si>
    <t xml:space="preserve">ES</t>
  </si>
  <si>
    <t xml:space="preserve">BD-10.54</t>
  </si>
  <si>
    <t xml:space="preserve">UK</t>
  </si>
  <si>
    <t xml:space="preserve">BD-10.42</t>
  </si>
  <si>
    <t xml:space="preserve">汇总</t>
  </si>
  <si>
    <t xml:space="preserve">国家</t>
  </si>
  <si>
    <t xml:space="preserve">数量</t>
  </si>
  <si>
    <t xml:space="preserve">售价</t>
  </si>
  <si>
    <t xml:space="preserve">销售额</t>
  </si>
  <si>
    <t xml:space="preserve">毛利</t>
  </si>
  <si>
    <t xml:space="preserve">广告预算</t>
  </si>
  <si>
    <t xml:space="preserve">实际广告</t>
  </si>
  <si>
    <t xml:space="preserve">活动费</t>
  </si>
  <si>
    <t xml:space="preserve">毛利率</t>
  </si>
  <si>
    <t xml:space="preserve">毛利(RMB)</t>
  </si>
  <si>
    <t xml:space="preserve">销售额(RMB)</t>
  </si>
  <si>
    <t xml:space="preserve">广告占比</t>
  </si>
  <si>
    <t xml:space="preserve">广告订单</t>
  </si>
  <si>
    <t xml:space="preserve">自然订单</t>
  </si>
  <si>
    <t xml:space="preserve">广告订单占比</t>
  </si>
  <si>
    <t xml:space="preserve">ACOS</t>
  </si>
  <si>
    <t xml:space="preserve">折扣</t>
  </si>
  <si>
    <t xml:space="preserve">开始时间</t>
  </si>
  <si>
    <t xml:space="preserve">DE</t>
  </si>
  <si>
    <t xml:space="preserve">FR</t>
  </si>
  <si>
    <t xml:space="preserve">结束时间</t>
  </si>
  <si>
    <t xml:space="preserve">IT</t>
  </si>
  <si>
    <t xml:space="preserve">ES</t>
  </si>
  <si>
    <t xml:space="preserve">即日</t>
  </si>
  <si>
    <t xml:space="preserve">UK</t>
  </si>
  <si>
    <t xml:space="preserve">US</t>
  </si>
  <si>
    <t xml:space="preserve">分割线</t>
  </si>
  <si>
    <t xml:space="preserve">时间</t>
  </si>
  <si>
    <t xml:space="preserve">COUPON</t>
  </si>
  <si>
    <t xml:space="preserve">VC-0%</t>
  </si>
  <si>
    <t xml:space="preserve">SC-49.99</t>
  </si>
  <si>
    <t xml:space="preserve">SC-51.99</t>
  </si>
  <si>
    <t xml:space="preserve">SC-45.99</t>
  </si>
  <si>
    <t xml:space="preserve">VC-10%</t>
  </si>
  <si>
    <t xml:space="preserve">SC-52.99</t>
  </si>
  <si>
    <t xml:space="preserve">SC-54.99</t>
  </si>
  <si>
    <t xml:space="preserve">BD-6.25</t>
  </si>
  <si>
    <t xml:space="preserve">BD-7.56</t>
  </si>
  <si>
    <t xml:space="preserve">BD-8.25</t>
  </si>
  <si>
    <t xml:space="preserve">BD-6.82</t>
  </si>
  <si>
    <t xml:space="preserve">空净</t>
  </si>
  <si>
    <t xml:space="preserve">BD-7.5</t>
  </si>
  <si>
    <t xml:space="preserve">BD-1.9</t>
  </si>
  <si>
    <t xml:space="preserve">BD-7.02</t>
  </si>
  <si>
    <t xml:space="preserve">BD-5.8</t>
  </si>
  <si>
    <t xml:space="preserve">BD-5.63</t>
  </si>
  <si>
    <t xml:space="preserve">VC-5%</t>
  </si>
  <si>
    <t xml:space="preserve">BD-5.32</t>
  </si>
  <si>
    <t xml:space="preserve">BD-6.31</t>
  </si>
  <si>
    <t xml:space="preserve">国家</t>
  </si>
  <si>
    <t xml:space="preserve">COUPON</t>
  </si>
  <si>
    <t xml:space="preserve">利润</t>
  </si>
  <si>
    <t xml:space="preserve">PO价</t>
  </si>
  <si>
    <t xml:space="preserve">售价</t>
  </si>
  <si>
    <t xml:space="preserve">DE</t>
  </si>
  <si>
    <t xml:space="preserve">VC-0%</t>
  </si>
  <si>
    <t xml:space="preserve">VC-5%</t>
  </si>
  <si>
    <t xml:space="preserve">VC-10%</t>
  </si>
  <si>
    <t xml:space="preserve">VC-15%</t>
  </si>
  <si>
    <t xml:space="preserve">BD-6.31</t>
  </si>
  <si>
    <t xml:space="preserve">BD-7.56</t>
  </si>
  <si>
    <t xml:space="preserve">BD-7.5</t>
  </si>
  <si>
    <t xml:space="preserve">SC-49.99</t>
  </si>
  <si>
    <t xml:space="preserve">SC-52.99</t>
  </si>
  <si>
    <t xml:space="preserve">FR</t>
  </si>
  <si>
    <t xml:space="preserve">BD-1.9</t>
  </si>
  <si>
    <t xml:space="preserve">SC-51.99</t>
  </si>
  <si>
    <t xml:space="preserve">SC-54.99</t>
  </si>
  <si>
    <t xml:space="preserve">IT</t>
  </si>
  <si>
    <t xml:space="preserve">BD-8.25</t>
  </si>
  <si>
    <t xml:space="preserve">BD-7.02</t>
  </si>
  <si>
    <t xml:space="preserve">ES</t>
  </si>
  <si>
    <t xml:space="preserve">BD-6.82</t>
  </si>
  <si>
    <t xml:space="preserve">BD-5.8</t>
  </si>
  <si>
    <t xml:space="preserve">UK</t>
  </si>
  <si>
    <t xml:space="preserve">BD-6.25</t>
  </si>
  <si>
    <t xml:space="preserve">BD-5.32</t>
  </si>
  <si>
    <t xml:space="preserve">BD-5.63</t>
  </si>
  <si>
    <t xml:space="preserve">SC-45.99</t>
  </si>
  <si>
    <t xml:space="preserve">汇总</t>
  </si>
  <si>
    <t xml:space="preserve">国家</t>
  </si>
  <si>
    <t xml:space="preserve">数量</t>
  </si>
  <si>
    <t xml:space="preserve">售价</t>
  </si>
  <si>
    <t xml:space="preserve">销售额</t>
  </si>
  <si>
    <t xml:space="preserve">毛利</t>
  </si>
  <si>
    <t xml:space="preserve">广告预算</t>
  </si>
  <si>
    <t xml:space="preserve">实际广告</t>
  </si>
  <si>
    <t xml:space="preserve">活动费</t>
  </si>
  <si>
    <t xml:space="preserve">毛利率</t>
  </si>
  <si>
    <t xml:space="preserve">毛利(RMB)</t>
  </si>
  <si>
    <t xml:space="preserve">销售额(RMB)</t>
  </si>
  <si>
    <t xml:space="preserve">广告占比</t>
  </si>
  <si>
    <t xml:space="preserve">广告订单</t>
  </si>
  <si>
    <t xml:space="preserve">自然订单</t>
  </si>
  <si>
    <t xml:space="preserve">广告订单占比</t>
  </si>
  <si>
    <t xml:space="preserve">ACOS</t>
  </si>
  <si>
    <t xml:space="preserve">折扣</t>
  </si>
  <si>
    <t xml:space="preserve">开始时间</t>
  </si>
  <si>
    <t xml:space="preserve">DE</t>
  </si>
  <si>
    <t xml:space="preserve">FR</t>
  </si>
  <si>
    <t xml:space="preserve">结束时间</t>
  </si>
  <si>
    <t xml:space="preserve">IT</t>
  </si>
  <si>
    <t xml:space="preserve">ES</t>
  </si>
  <si>
    <t xml:space="preserve">即日</t>
  </si>
  <si>
    <t xml:space="preserve">UK</t>
  </si>
  <si>
    <t xml:space="preserve">US</t>
  </si>
  <si>
    <t xml:space="preserve">分割线</t>
  </si>
  <si>
    <t xml:space="preserve">时间</t>
  </si>
  <si>
    <t xml:space="preserve">COUPON</t>
  </si>
  <si>
    <t xml:space="preserve">VC-0%</t>
  </si>
  <si>
    <t xml:space="preserve">SC-15%</t>
  </si>
  <si>
    <t xml:space="preserve">SC-12%</t>
  </si>
  <si>
    <t xml:space="preserve">VC-15%</t>
  </si>
  <si>
    <t xml:space="preserve">2VC-10%</t>
  </si>
  <si>
    <t xml:space="preserve">2SC-10%</t>
  </si>
  <si>
    <t xml:space="preserve">国家</t>
  </si>
  <si>
    <t xml:space="preserve">COUPON</t>
  </si>
  <si>
    <t xml:space="preserve">利润</t>
  </si>
  <si>
    <t xml:space="preserve">PO价</t>
  </si>
  <si>
    <t xml:space="preserve">售价</t>
  </si>
  <si>
    <t xml:space="preserve">DE</t>
  </si>
  <si>
    <t xml:space="preserve">VC-0%</t>
  </si>
  <si>
    <t xml:space="preserve">VC-5%</t>
  </si>
  <si>
    <t xml:space="preserve">VC-10%</t>
  </si>
  <si>
    <t xml:space="preserve">VC-15%</t>
  </si>
  <si>
    <t xml:space="preserve">SC-0%</t>
  </si>
  <si>
    <t xml:space="preserve">SC-10%</t>
  </si>
  <si>
    <t xml:space="preserve">SC-12%</t>
  </si>
  <si>
    <t xml:space="preserve">SC-15%</t>
  </si>
  <si>
    <t xml:space="preserve">FR</t>
  </si>
  <si>
    <t xml:space="preserve">IT</t>
  </si>
  <si>
    <t xml:space="preserve">VC-12%</t>
  </si>
  <si>
    <t xml:space="preserve">ES</t>
  </si>
  <si>
    <t xml:space="preserve">2VC-10%</t>
  </si>
  <si>
    <t xml:space="preserve">2SC-10%</t>
  </si>
  <si>
    <t xml:space="preserve">BD=(67.99-55.85+12+15.7%*55.85）/67.99   =51.48%（不含税促销后67.99）</t>
  </si>
  <si>
    <t xml:space="preserve">Power Off</t>
  </si>
  <si>
    <t xml:space="preserve">Suction Mode</t>
  </si>
  <si>
    <t xml:space="preserve">Cold Water Mode</t>
  </si>
  <si>
    <t xml:space="preserve">Hot Water Mode</t>
  </si>
  <si>
    <t xml:space="preserve">Steam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</si>
</sst>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5">
    <numFmt numFmtId="164" formatCode="_ * #,##0.0_ ;_ * \-#,##0.0_ ;_ * &quot;-&quot;??_ ;_ @_ "/>
    <numFmt numFmtId="165" formatCode="0%"/>
    <numFmt numFmtId="166" formatCode="_ * #,##0_ ;_ * \-#,##0_ ;_ * &quot;-&quot;??_ ;_ @_ "/>
    <numFmt numFmtId="167" formatCode="m&quot;月&quot;d&quot;日&quot;"/>
    <numFmt numFmtId="168" formatCode="_ * #,##0.00_ ;_ * \-#,##0.00_ ;_ * &quot;-&quot;??.0_ ;_ @_ "/>
    <numFmt numFmtId="169" formatCode="_ * #,##0.00_ ;_ * \-#,##0.00_ ;_ * &quot;-&quot;??_ ;_ @_ "/>
    <numFmt numFmtId="170" formatCode="yyyy/m/d;@"/>
    <numFmt numFmtId="171" formatCode="_ * #,##0.0_ ;_ * \-#,##0.0_ ;_ * &quot;-&quot;??_ ;_ @_ "/>
    <numFmt numFmtId="172" formatCode="_ * #,##0.00_ ;_ * \-#,##0.00_ ;_ * &quot;-&quot;??.0_ ;_ @_ "/>
    <numFmt numFmtId="173" formatCode="0%"/>
    <numFmt numFmtId="174" formatCode="_ * #,##0_ ;_ * \-#,##0_ ;_ * &quot;-&quot;??_ ;_ @_ "/>
    <numFmt numFmtId="175" formatCode="_ * #,##0.00_ ;_ * \-#,##0.00_ ;_ * &quot;-&quot;??_ ;_ @_ "/>
    <numFmt numFmtId="176" formatCode="h:mm"/>
    <numFmt numFmtId="177" formatCode="m/d/yy h:mm"/>
    <numFmt numFmtId="178" formatCode="yyyy/m/d\ h:mm;@"/>
    <numFmt numFmtId="179" formatCode="yyyy/m/d"/>
    <numFmt numFmtId="180" formatCode="_ * #,##0.00_ ;_ * \-#,##0.00_ ;_ * &quot;-&quot;??_ ;_ @_ "/>
    <numFmt numFmtId="181" formatCode="0%"/>
    <numFmt numFmtId="182" formatCode="yyyy/m/d;@"/>
    <numFmt numFmtId="183" formatCode="_ * #,##0.0_ ;_ * \-#,##0.0_ ;_ * &quot;-&quot;??_ ;_ @_ "/>
    <numFmt numFmtId="184" formatCode="_ * #,##0.00_ ;_ * \-#,##0.00_ ;_ * &quot;-&quot;??.0_ ;_ @_ "/>
    <numFmt numFmtId="185" formatCode="0%"/>
    <numFmt numFmtId="186" formatCode="_ * #,##0_ ;_ * \-#,##0_ ;_ * &quot;-&quot;??_ ;_ @_ "/>
    <numFmt numFmtId="187" formatCode="_ * #,##0.00_ ;_ * \-#,##0.00_ ;_ * &quot;-&quot;??_ ;_ @_ "/>
    <numFmt numFmtId="188" formatCode="_ * #,##0.00_ ;_ * \-#,##0.00_ ;_ * &quot;-&quot;??_ ;_ @_ "/>
    <numFmt numFmtId="189" formatCode="0%"/>
    <numFmt numFmtId="190" formatCode="yyyy/m/d;@"/>
    <numFmt numFmtId="191" formatCode="_ * #,##0.0_ ;_ * \-#,##0.0_ ;_ * &quot;-&quot;??_ ;_ @_ "/>
    <numFmt numFmtId="192" formatCode="_ * #,##0.00_ ;_ * \-#,##0.00_ ;_ * &quot;-&quot;??.0_ ;_ @_ "/>
    <numFmt numFmtId="193" formatCode="0%"/>
    <numFmt numFmtId="194" formatCode="_ * #,##0_ ;_ * \-#,##0_ ;_ * &quot;-&quot;??_ ;_ @_ "/>
    <numFmt numFmtId="195" formatCode="_ * #,##0.00_ ;_ * \-#,##0.00_ ;_ * &quot;-&quot;??_ ;_ @_ "/>
    <numFmt numFmtId="196" formatCode="_ * #,##0.00_ ;_ * \-#,##0.00_ ;_ * &quot;-&quot;??_ ;_ @_ "/>
    <numFmt numFmtId="197" formatCode="0%"/>
    <numFmt numFmtId="198" formatCode="0%"/>
  </numFmts>
  <fonts count="4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0C0B4"/>
        <bgColor/>
      </patternFill>
    </fill>
    <fill>
      <patternFill patternType="solid">
        <fgColor rgb="FF30C0B4"/>
        <bgColor/>
      </patternFill>
    </fill>
    <fill>
      <patternFill patternType="solid">
        <fgColor rgb="FFFFFF00"/>
        <bgColor/>
      </patternFill>
    </fill>
    <fill>
      <patternFill patternType="solid">
        <fgColor rgb="FF00B050"/>
        <bgColor/>
      </patternFill>
    </fill>
    <fill>
      <patternFill patternType="solid">
        <fgColor rgb="FFFFFF00"/>
        <bgColor/>
      </patternFill>
    </fill>
    <fill>
      <patternFill patternType="solid">
        <fgColor rgb="FF30C0B4"/>
        <bgColor/>
      </patternFill>
    </fill>
    <fill>
      <patternFill patternType="solid">
        <fgColor rgb="FFFFFF00"/>
        <bgColor/>
      </patternFill>
    </fill>
    <fill>
      <patternFill patternType="solid">
        <fgColor rgb="FF30C0B4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92D050"/>
        <bgColor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false" applyFont="true" applyNumberFormat="true" applyProtection="false" borderId="2" fillId="0" fontId="2" numFmtId="167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vertical="center"/>
    </xf>
    <xf applyAlignment="true" applyBorder="false" applyFill="false" applyFont="true" applyNumberFormat="true" applyProtection="false" borderId="3" fillId="0" fontId="2" numFmtId="167" xfId="0">
      <alignment horizontal="center" vertical="center" wrapText="true"/>
    </xf>
    <xf applyAlignment="true" applyBorder="false" applyFill="false" applyFont="true" applyNumberFormat="true" applyProtection="false" borderId="4" fillId="0" fontId="2" numFmtId="167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true" applyProtection="false" borderId="2" fillId="0" fontId="2" numFmtId="167" xfId="0">
      <alignment horizontal="center" vertical="center"/>
    </xf>
    <xf applyAlignment="true" applyBorder="false" applyFill="false" applyFont="true" applyNumberFormat="true" applyProtection="false" borderId="1" fillId="0" fontId="2" numFmtId="169" xfId="0">
      <alignment vertical="center"/>
    </xf>
    <xf applyAlignment="true" applyBorder="false" applyFill="false" applyFont="true" applyNumberFormat="true" applyProtection="false" borderId="3" fillId="0" fontId="2" numFmtId="167" xfId="0">
      <alignment horizontal="center" vertical="center"/>
    </xf>
    <xf applyAlignment="true" applyBorder="false" applyFill="false" applyFont="true" applyNumberFormat="true" applyProtection="false" borderId="4" fillId="0" fontId="2" numFmtId="167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vertical="center"/>
    </xf>
    <xf applyAlignment="true" applyBorder="false" applyFill="true" applyFont="true" applyNumberFormat="true" applyProtection="false" borderId="5" fillId="3" fontId="1" numFmtId="170" xfId="0">
      <alignment horizontal="center" vertical="center"/>
    </xf>
    <xf applyAlignment="true" applyBorder="false" applyFill="true" applyFont="true" applyNumberFormat="false" applyProtection="false" borderId="5" fillId="3" fontId="1" numFmtId="0" xfId="0">
      <alignment horizontal="center" vertical="center"/>
    </xf>
    <xf applyAlignment="true" applyBorder="false" applyFill="true" applyFont="true" applyNumberFormat="true" applyProtection="false" borderId="5" fillId="3" fontId="1" numFmtId="171" xfId="0">
      <alignment horizontal="center" vertical="center"/>
    </xf>
    <xf applyAlignment="true" applyBorder="false" applyFill="true" applyFont="true" applyNumberFormat="true" applyProtection="false" borderId="5" fillId="3" fontId="1" numFmtId="172" xfId="0">
      <alignment horizontal="center" vertical="center"/>
    </xf>
    <xf applyAlignment="true" applyBorder="false" applyFill="true" applyFont="true" applyNumberFormat="true" applyProtection="false" borderId="5" fillId="3" fontId="1" numFmtId="173" xfId="0">
      <alignment horizontal="center" vertical="center"/>
    </xf>
    <xf applyAlignment="true" applyBorder="false" applyFill="true" applyFont="true" applyNumberFormat="true" applyProtection="false" borderId="5" fillId="3" fontId="1" numFmtId="17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7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72" xfId="0">
      <alignment vertical="center"/>
    </xf>
    <xf applyAlignment="true" applyBorder="false" applyFill="false" applyFont="true" applyNumberFormat="true" applyProtection="false" borderId="5" fillId="0" fontId="2" numFmtId="171" xfId="0">
      <alignment horizontal="center" vertical="center"/>
    </xf>
    <xf applyAlignment="true" applyBorder="false" applyFill="false" applyFont="true" applyNumberFormat="true" applyProtection="false" borderId="5" fillId="0" fontId="2" numFmtId="172" xfId="0">
      <alignment horizontal="center" vertical="center"/>
    </xf>
    <xf applyAlignment="true" applyBorder="false" applyFill="false" applyFont="true" applyNumberFormat="true" applyProtection="false" borderId="5" fillId="0" fontId="2" numFmtId="173" xfId="0">
      <alignment horizontal="center" vertical="center"/>
    </xf>
    <xf applyAlignment="true" applyBorder="false" applyFill="false" applyFont="true" applyNumberFormat="true" applyProtection="false" borderId="5" fillId="0" fontId="2" numFmtId="174" xfId="0">
      <alignment horizontal="center" vertical="center"/>
    </xf>
    <xf applyAlignment="true" applyBorder="false" applyFill="false" applyFont="true" applyNumberFormat="true" applyProtection="false" borderId="5" fillId="0" fontId="2" numFmtId="173" xfId="0">
      <alignment vertical="center"/>
    </xf>
    <xf applyAlignment="true" applyBorder="false" applyFill="true" applyFont="true" applyNumberFormat="true" applyProtection="false" borderId="5" fillId="4" fontId="2" numFmtId="170" xfId="0">
      <alignment horizontal="center" vertical="center"/>
    </xf>
    <xf applyAlignment="true" applyBorder="false" applyFill="true" applyFont="true" applyNumberFormat="true" applyProtection="false" borderId="5" fillId="4" fontId="2" numFmtId="170" xfId="0">
      <alignment horizontal="center" vertical="center" wrapText="true"/>
    </xf>
    <xf applyAlignment="true" applyBorder="false" applyFill="false" applyFont="true" applyNumberFormat="true" applyProtection="false" borderId="6" fillId="0" fontId="2" numFmtId="170" xfId="0">
      <alignment vertical="center" wrapText="true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true" applyFont="true" applyNumberFormat="false" applyProtection="false" borderId="5" fillId="4" fontId="1" numFmtId="0" xfId="0">
      <alignment horizontal="center" vertical="center"/>
    </xf>
    <xf applyAlignment="true" applyBorder="false" applyFill="true" applyFont="true" applyNumberFormat="true" applyProtection="false" borderId="5" fillId="4" fontId="1" numFmtId="171" xfId="0">
      <alignment horizontal="center" vertical="center"/>
    </xf>
    <xf applyAlignment="true" applyBorder="false" applyFill="true" applyFont="true" applyNumberFormat="true" applyProtection="false" borderId="5" fillId="4" fontId="1" numFmtId="174" xfId="0">
      <alignment horizontal="center" vertical="center"/>
    </xf>
    <xf applyAlignment="true" applyBorder="false" applyFill="false" applyFont="true" applyNumberFormat="true" applyProtection="false" borderId="5" fillId="0" fontId="2" numFmtId="170" xfId="0">
      <alignment vertical="center"/>
    </xf>
    <xf applyAlignment="true" applyBorder="false" applyFill="false" applyFont="true" applyNumberFormat="true" applyProtection="false" borderId="5" fillId="0" fontId="2" numFmtId="175" xfId="0">
      <alignment vertical="center"/>
    </xf>
    <xf applyAlignment="true" applyBorder="false" applyFill="false" applyFont="true" applyNumberFormat="true" applyProtection="false" borderId="5" fillId="0" fontId="2" numFmtId="174" xfId="0">
      <alignment horizontal="left" vertical="center"/>
    </xf>
    <xf applyAlignment="true" applyBorder="false" applyFill="false" applyFont="true" applyNumberFormat="true" applyProtection="false" borderId="5" fillId="0" fontId="2" numFmtId="173" xfId="0">
      <alignment horizontal="left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71" xfId="0">
      <alignment horizontal="center" vertical="center"/>
    </xf>
    <xf applyAlignment="true" applyBorder="false" applyFill="false" applyFont="true" applyNumberFormat="true" applyProtection="false" borderId="5" fillId="0" fontId="2" numFmtId="174" xfId="0">
      <alignment horizontal="left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true" applyProtection="false" borderId="7" fillId="0" fontId="2" numFmtId="176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true" applyFont="true" applyNumberFormat="false" applyProtection="false" borderId="7" fillId="5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77" xfId="0">
      <alignment vertical="center"/>
    </xf>
    <xf applyAlignment="true" applyBorder="false" applyFill="false" applyFont="true" applyNumberFormat="true" applyProtection="false" borderId="0" fillId="0" fontId="2" numFmtId="178" xfId="0">
      <alignment horizontal="center" vertical="center"/>
    </xf>
    <xf applyAlignment="true" applyBorder="false" applyFill="false" applyFont="true" applyNumberFormat="true" applyProtection="false" borderId="0" fillId="0" fontId="2" numFmtId="179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true" applyProtection="false" borderId="11" fillId="0" fontId="1" numFmtId="18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true" applyProtection="false" borderId="11" fillId="0" fontId="2" numFmtId="181" xfId="0">
      <alignment horizontal="center" vertical="center"/>
    </xf>
    <xf applyAlignment="true" applyBorder="false" applyFill="true" applyFont="true" applyNumberFormat="true" applyProtection="false" borderId="11" fillId="6" fontId="2" numFmtId="180" xfId="0">
      <alignment horizontal="center" vertical="center"/>
    </xf>
    <xf applyAlignment="true" applyBorder="false" applyFill="false" applyFont="true" applyNumberFormat="true" applyProtection="false" borderId="11" fillId="0" fontId="2" numFmtId="180" xfId="0">
      <alignment vertical="center"/>
    </xf>
    <xf applyAlignment="true" applyBorder="false" applyFill="false" applyFont="true" applyNumberFormat="true" applyProtection="false" borderId="11" fillId="0" fontId="2" numFmtId="180" xfId="0">
      <alignment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true" applyProtection="false" borderId="11" fillId="0" fontId="2" numFmtId="181" xfId="0">
      <alignment horizontal="center" vertical="center"/>
    </xf>
    <xf applyAlignment="true" applyBorder="false" applyFill="true" applyFont="true" applyNumberFormat="true" applyProtection="false" borderId="11" fillId="6" fontId="2" numFmtId="180" xfId="0">
      <alignment horizontal="center" vertical="center"/>
    </xf>
    <xf applyAlignment="true" applyBorder="false" applyFill="false" applyFont="true" applyNumberFormat="true" applyProtection="false" borderId="11" fillId="0" fontId="2" numFmtId="180" xfId="0">
      <alignment vertical="center"/>
    </xf>
    <xf applyAlignment="true" applyBorder="false" applyFill="true" applyFont="true" applyNumberFormat="true" applyProtection="false" borderId="12" fillId="7" fontId="1" numFmtId="182" xfId="0">
      <alignment horizontal="center"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true" applyFont="true" applyNumberFormat="true" applyProtection="false" borderId="12" fillId="7" fontId="1" numFmtId="183" xfId="0">
      <alignment horizontal="center" vertical="center"/>
    </xf>
    <xf applyAlignment="true" applyBorder="false" applyFill="true" applyFont="true" applyNumberFormat="true" applyProtection="false" borderId="12" fillId="7" fontId="1" numFmtId="184" xfId="0">
      <alignment horizontal="center" vertical="center"/>
    </xf>
    <xf applyAlignment="true" applyBorder="false" applyFill="true" applyFont="true" applyNumberFormat="true" applyProtection="false" borderId="12" fillId="7" fontId="1" numFmtId="185" xfId="0">
      <alignment horizontal="center" vertical="center"/>
    </xf>
    <xf applyAlignment="true" applyBorder="false" applyFill="true" applyFont="true" applyNumberFormat="true" applyProtection="false" borderId="12" fillId="7" fontId="1" numFmtId="18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12" fillId="0" fontId="2" numFmtId="182" xfId="0">
      <alignment horizontal="center" vertical="center" wrapText="true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false" applyFont="true" applyNumberFormat="true" applyProtection="false" borderId="12" fillId="0" fontId="2" numFmtId="184" xfId="0">
      <alignment vertical="center"/>
    </xf>
    <xf applyAlignment="true" applyBorder="false" applyFill="false" applyFont="true" applyNumberFormat="true" applyProtection="false" borderId="12" fillId="0" fontId="2" numFmtId="183" xfId="0">
      <alignment horizontal="center" vertical="center"/>
    </xf>
    <xf applyAlignment="true" applyBorder="false" applyFill="false" applyFont="true" applyNumberFormat="true" applyProtection="false" borderId="12" fillId="0" fontId="2" numFmtId="184" xfId="0">
      <alignment horizontal="center" vertical="center"/>
    </xf>
    <xf applyAlignment="true" applyBorder="false" applyFill="false" applyFont="true" applyNumberFormat="true" applyProtection="false" borderId="12" fillId="0" fontId="2" numFmtId="185" xfId="0">
      <alignment horizontal="center" vertical="center"/>
    </xf>
    <xf applyAlignment="true" applyBorder="false" applyFill="false" applyFont="true" applyNumberFormat="true" applyProtection="false" borderId="12" fillId="0" fontId="2" numFmtId="186" xfId="0">
      <alignment horizontal="center" vertical="center"/>
    </xf>
    <xf applyAlignment="true" applyBorder="false" applyFill="false" applyFont="true" applyNumberFormat="true" applyProtection="false" borderId="12" fillId="0" fontId="2" numFmtId="185" xfId="0">
      <alignment vertical="center"/>
    </xf>
    <xf applyAlignment="true" applyBorder="false" applyFill="true" applyFont="true" applyNumberFormat="true" applyProtection="false" borderId="12" fillId="8" fontId="2" numFmtId="182" xfId="0">
      <alignment horizontal="center" vertical="center"/>
    </xf>
    <xf applyAlignment="true" applyBorder="false" applyFill="true" applyFont="true" applyNumberFormat="true" applyProtection="false" borderId="12" fillId="8" fontId="2" numFmtId="182" xfId="0">
      <alignment horizontal="center" vertical="center" wrapText="true"/>
    </xf>
    <xf applyAlignment="true" applyBorder="false" applyFill="false" applyFont="true" applyNumberFormat="true" applyProtection="false" borderId="13" fillId="0" fontId="2" numFmtId="182" xfId="0">
      <alignment vertical="center" wrapText="true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true" applyFont="true" applyNumberFormat="false" applyProtection="false" borderId="12" fillId="8" fontId="1" numFmtId="0" xfId="0">
      <alignment horizontal="center" vertical="center"/>
    </xf>
    <xf applyAlignment="true" applyBorder="false" applyFill="true" applyFont="true" applyNumberFormat="true" applyProtection="false" borderId="12" fillId="8" fontId="1" numFmtId="183" xfId="0">
      <alignment horizontal="center" vertical="center"/>
    </xf>
    <xf applyAlignment="true" applyBorder="false" applyFill="true" applyFont="true" applyNumberFormat="true" applyProtection="false" borderId="12" fillId="8" fontId="1" numFmtId="186" xfId="0">
      <alignment horizontal="center" vertical="center"/>
    </xf>
    <xf applyAlignment="true" applyBorder="false" applyFill="false" applyFont="true" applyNumberFormat="true" applyProtection="false" borderId="12" fillId="0" fontId="2" numFmtId="182" xfId="0">
      <alignment vertical="center"/>
    </xf>
    <xf applyAlignment="true" applyBorder="false" applyFill="false" applyFont="true" applyNumberFormat="true" applyProtection="false" borderId="12" fillId="0" fontId="2" numFmtId="187" xfId="0">
      <alignment vertical="center"/>
    </xf>
    <xf applyAlignment="true" applyBorder="false" applyFill="false" applyFont="true" applyNumberFormat="true" applyProtection="false" borderId="12" fillId="0" fontId="2" numFmtId="186" xfId="0">
      <alignment horizontal="left" vertical="center"/>
    </xf>
    <xf applyAlignment="true" applyBorder="false" applyFill="false" applyFont="true" applyNumberFormat="false" applyProtection="false" borderId="12" fillId="0" fontId="2" numFmtId="0" xfId="0">
      <alignment horizontal="left" vertical="center"/>
    </xf>
    <xf applyAlignment="true" applyBorder="false" applyFill="false" applyFont="true" applyNumberFormat="true" applyProtection="false" borderId="12" fillId="0" fontId="2" numFmtId="185" xfId="0">
      <alignment horizontal="left" vertical="center"/>
    </xf>
    <xf applyAlignment="true" applyBorder="false" applyFill="false" applyFont="true" applyNumberFormat="true" applyProtection="false" borderId="0" fillId="0" fontId="2" numFmtId="182" xfId="0">
      <alignment vertical="center"/>
    </xf>
    <xf applyAlignment="true" applyBorder="false" applyFill="false" applyFont="true" applyNumberFormat="true" applyProtection="false" borderId="0" fillId="0" fontId="2" numFmtId="183" xfId="0">
      <alignment horizontal="center" vertical="center"/>
    </xf>
    <xf applyAlignment="true" applyBorder="false" applyFill="false" applyFont="true" applyNumberFormat="true" applyProtection="false" borderId="0" fillId="0" fontId="2" numFmtId="184" xfId="0">
      <alignment horizontal="center" vertical="center"/>
    </xf>
    <xf applyAlignment="true" applyBorder="false" applyFill="false" applyFont="true" applyNumberFormat="true" applyProtection="false" borderId="0" fillId="0" fontId="2" numFmtId="185" xfId="0">
      <alignment horizontal="center" vertical="center"/>
    </xf>
    <xf applyAlignment="true" applyBorder="false" applyFill="false" applyFont="true" applyNumberFormat="true" applyProtection="false" borderId="0" fillId="0" fontId="2" numFmtId="183" xfId="0">
      <alignment vertical="center"/>
    </xf>
    <xf applyAlignment="true" applyBorder="false" applyFill="false" applyFont="true" applyNumberFormat="true" applyProtection="false" borderId="0" fillId="0" fontId="2" numFmtId="185" xfId="0">
      <alignment vertical="center"/>
    </xf>
    <xf applyAlignment="true" applyBorder="false" applyFill="false" applyFont="true" applyNumberFormat="true" applyProtection="false" borderId="0" fillId="0" fontId="2" numFmtId="186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true" applyProtection="false" borderId="14" fillId="0" fontId="1" numFmtId="188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true" applyProtection="false" borderId="14" fillId="0" fontId="2" numFmtId="189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vertical="center"/>
    </xf>
    <xf applyAlignment="true" applyBorder="false" applyFill="false" applyFont="true" applyNumberFormat="true" applyProtection="false" borderId="14" fillId="0" fontId="2" numFmtId="188" xfId="0">
      <alignment vertical="center"/>
    </xf>
    <xf applyAlignment="true" applyBorder="false" applyFill="true" applyFont="true" applyNumberFormat="true" applyProtection="false" borderId="15" fillId="9" fontId="1" numFmtId="190" xfId="0">
      <alignment horizontal="center" vertical="center"/>
    </xf>
    <xf applyAlignment="true" applyBorder="false" applyFill="true" applyFont="true" applyNumberFormat="false" applyProtection="false" borderId="15" fillId="9" fontId="1" numFmtId="0" xfId="0">
      <alignment horizontal="center" vertical="center"/>
    </xf>
    <xf applyAlignment="true" applyBorder="false" applyFill="true" applyFont="true" applyNumberFormat="true" applyProtection="false" borderId="15" fillId="9" fontId="1" numFmtId="191" xfId="0">
      <alignment horizontal="center" vertical="center"/>
    </xf>
    <xf applyAlignment="true" applyBorder="false" applyFill="true" applyFont="true" applyNumberFormat="true" applyProtection="false" borderId="15" fillId="9" fontId="1" numFmtId="192" xfId="0">
      <alignment horizontal="center" vertical="center"/>
    </xf>
    <xf applyAlignment="true" applyBorder="false" applyFill="true" applyFont="true" applyNumberFormat="true" applyProtection="false" borderId="15" fillId="9" fontId="1" numFmtId="193" xfId="0">
      <alignment horizontal="center" vertical="center"/>
    </xf>
    <xf applyAlignment="true" applyBorder="false" applyFill="true" applyFont="true" applyNumberFormat="true" applyProtection="false" borderId="15" fillId="9" fontId="1" numFmtId="19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15" fillId="0" fontId="2" numFmtId="190" xfId="0">
      <alignment horizontal="center" vertical="center" wrapText="true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true" applyProtection="false" borderId="15" fillId="0" fontId="2" numFmtId="192" xfId="0">
      <alignment vertical="center"/>
    </xf>
    <xf applyAlignment="true" applyBorder="false" applyFill="false" applyFont="true" applyNumberFormat="true" applyProtection="false" borderId="15" fillId="0" fontId="2" numFmtId="191" xfId="0">
      <alignment horizontal="center" vertical="center"/>
    </xf>
    <xf applyAlignment="true" applyBorder="false" applyFill="false" applyFont="true" applyNumberFormat="true" applyProtection="false" borderId="15" fillId="0" fontId="2" numFmtId="192" xfId="0">
      <alignment horizontal="center" vertical="center"/>
    </xf>
    <xf applyAlignment="true" applyBorder="false" applyFill="false" applyFont="true" applyNumberFormat="true" applyProtection="false" borderId="15" fillId="0" fontId="2" numFmtId="193" xfId="0">
      <alignment horizontal="center" vertical="center"/>
    </xf>
    <xf applyAlignment="true" applyBorder="false" applyFill="false" applyFont="true" applyNumberFormat="true" applyProtection="false" borderId="15" fillId="0" fontId="2" numFmtId="194" xfId="0">
      <alignment horizontal="center" vertical="center"/>
    </xf>
    <xf applyAlignment="true" applyBorder="false" applyFill="false" applyFont="true" applyNumberFormat="true" applyProtection="false" borderId="15" fillId="0" fontId="2" numFmtId="193" xfId="0">
      <alignment vertical="center"/>
    </xf>
    <xf applyAlignment="true" applyBorder="false" applyFill="true" applyFont="true" applyNumberFormat="true" applyProtection="false" borderId="15" fillId="10" fontId="2" numFmtId="190" xfId="0">
      <alignment horizontal="center" vertical="center"/>
    </xf>
    <xf applyAlignment="true" applyBorder="false" applyFill="true" applyFont="true" applyNumberFormat="true" applyProtection="false" borderId="15" fillId="10" fontId="2" numFmtId="190" xfId="0">
      <alignment horizontal="center" vertical="center" wrapText="true"/>
    </xf>
    <xf applyAlignment="true" applyBorder="false" applyFill="false" applyFont="true" applyNumberFormat="true" applyProtection="false" borderId="16" fillId="0" fontId="2" numFmtId="190" xfId="0">
      <alignment vertical="center" wrapText="true"/>
    </xf>
    <xf applyAlignment="true" applyBorder="false" applyFill="false" applyFont="true" applyNumberFormat="false" applyProtection="false" borderId="15" fillId="0" fontId="2" numFmtId="0" xfId="0">
      <alignment vertical="center"/>
    </xf>
    <xf applyAlignment="true" applyBorder="false" applyFill="true" applyFont="true" applyNumberFormat="false" applyProtection="false" borderId="15" fillId="10" fontId="1" numFmtId="0" xfId="0">
      <alignment horizontal="center" vertical="center"/>
    </xf>
    <xf applyAlignment="true" applyBorder="false" applyFill="true" applyFont="true" applyNumberFormat="true" applyProtection="false" borderId="15" fillId="10" fontId="1" numFmtId="191" xfId="0">
      <alignment horizontal="center" vertical="center"/>
    </xf>
    <xf applyAlignment="true" applyBorder="false" applyFill="true" applyFont="true" applyNumberFormat="true" applyProtection="false" borderId="15" fillId="10" fontId="1" numFmtId="194" xfId="0">
      <alignment horizontal="center" vertical="center"/>
    </xf>
    <xf applyAlignment="true" applyBorder="false" applyFill="false" applyFont="true" applyNumberFormat="true" applyProtection="false" borderId="15" fillId="0" fontId="2" numFmtId="190" xfId="0">
      <alignment vertical="center"/>
    </xf>
    <xf applyAlignment="true" applyBorder="false" applyFill="false" applyFont="true" applyNumberFormat="true" applyProtection="false" borderId="15" fillId="0" fontId="2" numFmtId="195" xfId="0">
      <alignment vertical="center"/>
    </xf>
    <xf applyAlignment="true" applyBorder="false" applyFill="false" applyFont="true" applyNumberFormat="true" applyProtection="false" borderId="15" fillId="0" fontId="2" numFmtId="194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5" fillId="0" fontId="2" numFmtId="0" xfId="0">
      <alignment horizontal="left" vertical="center"/>
    </xf>
    <xf applyAlignment="true" applyBorder="false" applyFill="true" applyFont="true" applyNumberFormat="true" applyProtection="false" borderId="15" fillId="10" fontId="2" numFmtId="193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false" applyFont="true" applyNumberFormat="true" applyProtection="false" borderId="17" fillId="0" fontId="1" numFmtId="196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true" applyFont="true" applyNumberFormat="true" applyProtection="false" borderId="17" fillId="11" fontId="2" numFmtId="197" xfId="0">
      <alignment horizontal="center" vertical="center"/>
    </xf>
    <xf applyAlignment="true" applyBorder="false" applyFill="false" applyFont="true" applyNumberFormat="true" applyProtection="false" borderId="17" fillId="0" fontId="2" numFmtId="196" xfId="0">
      <alignment horizontal="center" vertical="center"/>
    </xf>
    <xf applyAlignment="true" applyBorder="false" applyFill="false" applyFont="true" applyNumberFormat="true" applyProtection="false" borderId="17" fillId="0" fontId="2" numFmtId="196" xfId="0">
      <alignment vertical="center"/>
    </xf>
    <xf applyAlignment="true" applyBorder="false" applyFill="true" applyFont="true" applyNumberFormat="true" applyProtection="false" borderId="17" fillId="12" fontId="2" numFmtId="19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98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calcChain.xml" Type="http://schemas.openxmlformats.org/officeDocument/2006/relationships/calcChain"></Relationship><Relationship Id="rId15" Target="metadata.xml" Type="http://schemas.openxmlformats.org/officeDocument/2006/relationships/sheetMetadata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142875</xdr:colOff>
      <xdr:row>1</xdr:row>
      <xdr:rowOff>0</xdr:rowOff>
    </xdr:from>
    <xdr:to>
      <xdr:col>10</xdr:col>
      <xdr:colOff>552450</xdr:colOff>
      <xdr:row>20</xdr:row>
      <xdr:rowOff>19050</xdr:rowOff>
    </xdr:to>
    <xdr:pic>
      <xdr:nvPicPr>
        <xdr:cNvPr id="2" name="Picture 2" descr="KcvJJ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RowHeight="16"/>
  <cols>
    <col collapsed="false" customWidth="true" hidden="false" max="3" min="3" style="0" width="18.2"/>
    <col collapsed="false" customWidth="true" hidden="false" max="7" min="7" style="0" width="9.533333333333333"/>
    <col collapsed="false" customWidth="true" hidden="false" max="11" min="11" style="0" width="9.533333333333333"/>
    <col collapsed="false" customWidth="true" hidden="false" max="15" min="15" style="0" width="9.533333333333333"/>
    <col collapsed="false" customWidth="true" hidden="false" max="19" min="19" style="0" width="9.533333333333333"/>
    <col collapsed="false" customWidth="true" hidden="false" max="2" min="2" style="0" width="9.533333333333333"/>
    <col collapsed="false" customWidth="true" hidden="false" max="6" min="6" style="0" width="9.533333333333333"/>
    <col collapsed="false" customWidth="true" hidden="false" max="10" min="10" style="0" width="9.533333333333333"/>
    <col collapsed="false" customWidth="true" hidden="false" max="14" min="14" style="0" width="9.533333333333333"/>
    <col collapsed="false" customWidth="true" hidden="false" max="18" min="18" style="0" width="9.533333333333333"/>
    <col collapsed="false" customWidth="true" hidden="false" max="1" min="1" style="0" width="39.93333333333333"/>
    <col collapsed="false" customWidth="true" hidden="false" max="5" min="5" style="0" width="10.066666666666666"/>
    <col collapsed="false" customWidth="true" hidden="false" max="9" min="9" style="0" width="9.533333333333333"/>
    <col collapsed="false" customWidth="true" hidden="false" max="13" min="13" style="0" width="9.533333333333333"/>
    <col collapsed="false" customWidth="true" hidden="false" max="17" min="17" style="0" width="9.533333333333333"/>
    <col collapsed="false" customWidth="true" hidden="false" max="4" min="4" style="0" width="9.533333333333333"/>
    <col collapsed="false" customWidth="true" hidden="false" max="8" min="8" style="0" width="9.533333333333333"/>
    <col collapsed="false" customWidth="true" hidden="false" max="12" min="12" style="0" width="9.533333333333333"/>
    <col collapsed="false" customWidth="true" hidden="false" max="16" min="16" style="0" width="9.533333333333333"/>
    <col collapsed="false" customWidth="true" hidden="false" max="20" min="20" style="0" width="9.533333333333333"/>
  </cols>
  <sheetData>
    <row customHeight="true" ht="16.296296296296294" r="1">
      <c r="A1" s="50" t="s">
        <v>76</v>
      </c>
      <c r="B1" s="51">
        <v>0.6875</v>
      </c>
      <c r="C1" s="50"/>
      <c r="D1" s="51">
        <v>0.875</v>
      </c>
      <c r="E1" s="50"/>
      <c r="F1" s="50"/>
      <c r="G1" s="50"/>
      <c r="H1" s="50"/>
      <c r="I1" s="50"/>
    </row>
    <row customHeight="true" ht="16.296296296296294" r="2">
      <c r="A2" s="50"/>
      <c r="B2" s="50" t="s">
        <v>77</v>
      </c>
      <c r="C2" s="50" t="s">
        <v>78</v>
      </c>
      <c r="D2" s="50" t="s">
        <v>77</v>
      </c>
      <c r="E2" s="50" t="s">
        <v>78</v>
      </c>
      <c r="F2" s="50" t="s">
        <v>77</v>
      </c>
      <c r="G2" s="50" t="s">
        <v>78</v>
      </c>
      <c r="H2" s="50" t="s">
        <v>77</v>
      </c>
      <c r="I2" s="50" t="s">
        <v>78</v>
      </c>
    </row>
    <row customHeight="true" ht="16.296296296296294" r="3">
      <c r="A3" s="52" t="s">
        <v>79</v>
      </c>
      <c r="B3" s="50">
        <v>3</v>
      </c>
      <c r="C3" s="50">
        <v>5</v>
      </c>
      <c r="D3" s="50"/>
      <c r="E3" s="53">
        <v>3</v>
      </c>
      <c r="F3" s="50"/>
      <c r="G3" s="50"/>
      <c r="H3" s="50"/>
      <c r="I3" s="50"/>
    </row>
    <row customHeight="true" ht="16.296296296296294" r="4">
      <c r="A4" s="52" t="s">
        <v>80</v>
      </c>
      <c r="B4" s="50">
        <v>5</v>
      </c>
      <c r="C4" s="50">
        <v>4</v>
      </c>
      <c r="D4" s="50"/>
      <c r="E4" s="53">
        <v>3</v>
      </c>
      <c r="F4" s="50"/>
      <c r="G4" s="50"/>
      <c r="H4" s="50"/>
      <c r="I4" s="50"/>
    </row>
    <row customHeight="true" ht="16.296296296296294" r="5">
      <c r="A5" s="52" t="s">
        <v>81</v>
      </c>
      <c r="B5" s="50">
        <v>2</v>
      </c>
      <c r="C5" s="50">
        <v>4</v>
      </c>
      <c r="D5" s="50"/>
      <c r="E5" s="53">
        <v>3</v>
      </c>
      <c r="F5" s="50"/>
      <c r="G5" s="50"/>
      <c r="H5" s="50"/>
      <c r="I5" s="50"/>
    </row>
    <row customHeight="true" ht="16.296296296296294" r="6">
      <c r="A6" s="52" t="s">
        <v>82</v>
      </c>
      <c r="B6" s="50">
        <v>7</v>
      </c>
      <c r="C6" s="50" t="s">
        <v>83</v>
      </c>
      <c r="D6" s="50"/>
      <c r="E6" s="53">
        <v>5</v>
      </c>
      <c r="F6" s="50"/>
      <c r="G6" s="50"/>
      <c r="H6" s="50"/>
      <c r="I6" s="50"/>
    </row>
    <row customHeight="true" ht="16.296296296296294" r="7">
      <c r="A7" s="52" t="s">
        <v>84</v>
      </c>
      <c r="B7" s="50">
        <v>3</v>
      </c>
      <c r="C7" s="50">
        <v>2</v>
      </c>
      <c r="D7" s="50"/>
      <c r="E7" s="50">
        <v>2</v>
      </c>
      <c r="F7" s="50"/>
      <c r="G7" s="50"/>
      <c r="H7" s="50"/>
      <c r="I7" s="50"/>
    </row>
    <row customHeight="true" ht="16.296296296296294" r="8">
      <c r="A8" s="52" t="s">
        <v>85</v>
      </c>
      <c r="B8" s="50">
        <v>3</v>
      </c>
      <c r="C8" s="50">
        <v>2</v>
      </c>
      <c r="D8" s="50"/>
      <c r="E8" s="50">
        <v>2</v>
      </c>
      <c r="F8" s="50"/>
      <c r="G8" s="50"/>
      <c r="H8" s="50"/>
      <c r="I8" s="50"/>
    </row>
    <row customHeight="true" ht="16.296296296296294" r="9">
      <c r="A9" s="52" t="s">
        <v>86</v>
      </c>
      <c r="B9" s="50">
        <v>1</v>
      </c>
      <c r="C9" s="50">
        <v>3</v>
      </c>
      <c r="D9" s="50">
        <v>1</v>
      </c>
      <c r="E9" s="50">
        <v>3</v>
      </c>
      <c r="F9" s="50"/>
      <c r="G9" s="50"/>
      <c r="H9" s="50"/>
      <c r="I9" s="50"/>
    </row>
    <row customHeight="true" ht="16.296296296296294" r="10">
      <c r="A10" s="54"/>
      <c r="B10" s="55"/>
      <c r="C10" s="55"/>
      <c r="D10" s="55"/>
      <c r="E10" s="55"/>
      <c r="F10" s="55"/>
      <c r="G10" s="55"/>
      <c r="H10" s="55"/>
      <c r="I10" s="56"/>
    </row>
    <row customHeight="true" ht="16.296296296296294" r="11">
      <c r="A11" s="52" t="s">
        <v>87</v>
      </c>
      <c r="B11" s="50">
        <v>4</v>
      </c>
      <c r="C11" s="50">
        <v>1</v>
      </c>
      <c r="D11" s="50"/>
      <c r="E11" s="50">
        <v>1</v>
      </c>
      <c r="F11" s="50"/>
      <c r="G11" s="50"/>
      <c r="H11" s="50"/>
      <c r="I11" s="50"/>
    </row>
    <row customHeight="true" ht="16.296296296296294" r="12">
      <c r="A12" s="52" t="s">
        <v>86</v>
      </c>
      <c r="B12" s="50">
        <v>2</v>
      </c>
      <c r="C12" s="50">
        <v>3</v>
      </c>
      <c r="D12" s="50">
        <v>1</v>
      </c>
      <c r="E12" s="50">
        <v>3</v>
      </c>
      <c r="F12" s="50"/>
      <c r="G12" s="50"/>
      <c r="H12" s="50"/>
      <c r="I12" s="50"/>
    </row>
    <row customHeight="true" ht="16.296296296296294" r="13">
      <c r="A13" s="52" t="s">
        <v>81</v>
      </c>
      <c r="B13" s="50">
        <v>3</v>
      </c>
      <c r="C13" s="50">
        <v>4</v>
      </c>
      <c r="D13" s="50"/>
      <c r="E13" s="50">
        <v>3</v>
      </c>
      <c r="F13" s="50"/>
      <c r="G13" s="50"/>
      <c r="H13" s="50"/>
      <c r="I13" s="50"/>
    </row>
    <row customHeight="true" ht="16.296296296296294" r="14">
      <c r="A14" s="52" t="s">
        <v>88</v>
      </c>
      <c r="B14" s="50">
        <v>1</v>
      </c>
      <c r="C14" s="50">
        <v>5</v>
      </c>
      <c r="D14" s="50"/>
      <c r="E14" s="53">
        <v>3</v>
      </c>
      <c r="F14" s="50"/>
      <c r="G14" s="50"/>
      <c r="H14" s="50"/>
      <c r="I14" s="50"/>
    </row>
    <row customHeight="true" ht="16.296296296296294" r="15">
      <c r="A15" s="52" t="s">
        <v>89</v>
      </c>
      <c r="B15" s="50" t="s">
        <v>83</v>
      </c>
      <c r="C15" s="50">
        <v>1</v>
      </c>
      <c r="D15" s="50"/>
      <c r="E15" s="50">
        <v>2</v>
      </c>
      <c r="F15" s="50"/>
      <c r="G15" s="50"/>
      <c r="H15" s="50"/>
      <c r="I15" s="50"/>
    </row>
    <row customHeight="true" ht="16.296296296296294" r="16"/>
    <row customHeight="true" ht="16.296296296296294" r="17"/>
    <row customHeight="true" ht="16.296296296296294" r="18">
      <c r="A18" s="57"/>
      <c r="C18" s="58"/>
      <c r="E18" s="59"/>
    </row>
    <row customHeight="true" ht="16.296296296296294" r="19">
      <c r="C19" s="58"/>
    </row>
    <row customHeight="true" ht="16.296296296296294" r="20">
      <c r="C20" s="58"/>
    </row>
  </sheetData>
  <mergeCells>
    <mergeCell ref="B1:C1"/>
    <mergeCell ref="D1:E1"/>
    <mergeCell ref="F1:G1"/>
    <mergeCell ref="H1:I1"/>
    <mergeCell ref="A10:I10"/>
    <mergeCell ref="A1:A2"/>
  </mergeCells>
  <dataValidations count="2">
    <dataValidation allowBlank="true" errorStyle="stop" showErrorMessage="true" sqref="C18:C20" type="list">
      <formula1>$A$18</formula1>
    </dataValidation>
    <dataValidation allowBlank="true" errorStyle="stop" showErrorMessage="true" sqref="E18:E18" type="list">
      <formula1>"2025/7/1"</formula1>
    </dataValidation>
  </dataValidation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9" min="19" style="0" width="9.533333333333333"/>
    <col collapsed="false" customWidth="true" hidden="false" max="3" min="3" style="0" width="6.066666666666666"/>
    <col collapsed="false" customWidth="true" hidden="false" max="4" min="4" style="0" width="9"/>
    <col collapsed="false" customWidth="true" hidden="false" max="7" min="7" style="0" width="10.466666666666667"/>
    <col collapsed="false" customWidth="true" hidden="false" max="12" min="12" style="0" width="13.533333333333333"/>
    <col collapsed="false" customWidth="true" hidden="false" max="16" min="16" style="0" width="10.466666666666667"/>
    <col collapsed="false" customWidth="true" hidden="false" max="1" min="1" style="0" width="11.533333333333333"/>
    <col collapsed="false" customWidth="true" hidden="false" max="8" min="8" style="0" width="10.466666666666667"/>
    <col collapsed="false" customWidth="true" hidden="false" max="9" min="9" style="0" width="9"/>
    <col collapsed="false" customWidth="true" hidden="false" max="13" min="13" style="0" width="14.466666666666667"/>
    <col collapsed="false" customWidth="true" hidden="false" max="20" min="20" style="0" width="9.533333333333333"/>
    <col collapsed="false" customWidth="true" hidden="false" max="2" min="2" style="0" width="6.066666666666666"/>
    <col collapsed="false" customWidth="true" hidden="false" max="5" min="5" style="0" width="12.466666666666667"/>
    <col collapsed="false" customWidth="true" hidden="false" max="10" min="10" style="0" width="11.266666666666667"/>
    <col collapsed="false" customWidth="true" hidden="false" max="14" min="14" style="0" width="10.466666666666667"/>
    <col collapsed="false" customWidth="true" hidden="false" max="17" min="17" style="0" width="15.133333333333333"/>
    <col collapsed="false" customWidth="true" hidden="false" max="6" min="6" style="0" width="10.466666666666667"/>
    <col collapsed="false" customWidth="true" hidden="false" max="11" min="11" style="0" width="8.2"/>
    <col collapsed="false" customWidth="true" hidden="false" max="15" min="15" style="0" width="10.466666666666667"/>
    <col collapsed="false" customWidth="true" hidden="false" max="18" min="18" style="0" width="9"/>
  </cols>
  <sheetData>
    <row customHeight="true" ht="23.703703703703702"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2" t="s">
        <v>12</v>
      </c>
      <c r="M1" s="2" t="s">
        <v>13</v>
      </c>
      <c r="N1" s="1" t="s">
        <v>14</v>
      </c>
      <c r="O1" s="4" t="s">
        <v>15</v>
      </c>
      <c r="P1" s="4" t="s">
        <v>16</v>
      </c>
      <c r="Q1" s="3" t="s">
        <v>17</v>
      </c>
      <c r="R1" s="3" t="s">
        <v>18</v>
      </c>
    </row>
    <row customHeight="true" ht="23.703703703703702" r="2">
      <c r="A2" s="5" t="s">
        <v>19</v>
      </c>
      <c r="B2" s="6" t="s">
        <v>20</v>
      </c>
      <c r="C2" s="6">
        <f t="shared" ref="C2:C7" si="17">SUMIF(B11:B1000,B2,C11:C1000)</f>
      </c>
      <c r="D2" s="7">
        <v>55.85</v>
      </c>
      <c r="E2" s="8">
        <f t="shared" ref="E2:E7" si="5">SUMIF(B11:B1000,B2,E11:E1000)</f>
      </c>
      <c r="F2" s="8"/>
      <c r="G2" s="8">
        <f t="shared" ref="G2:G7" si="36">SUMIF(B11:B1000,B2,G11:G1000)</f>
      </c>
      <c r="H2" s="8">
        <f t="shared" ref="H2:H7" si="24">SUMIF(B11:B1000,B2,H11:H1000)</f>
      </c>
      <c r="I2" s="8">
        <f t="shared" ref="I2:I7" si="55">SUMIF(B11:B1000,B2,I11:I1000)</f>
      </c>
      <c r="J2" s="8">
        <f t="shared" ref="J2:J7" si="43">SUMIF(B11:B1000,B2,J11:J1000)</f>
      </c>
      <c r="K2" s="9">
        <f t="shared" ref="K2:K7" si="63">J2/E2</f>
      </c>
      <c r="L2" s="8">
        <f t="shared" ref="L2:L7" si="62">SUMIF(B11:B1000,B2,L11:L1000)</f>
      </c>
      <c r="M2" s="8">
        <f t="shared" ref="M2:M7" si="18">SUMIF(B11:B1000,B2,M11:M1000)</f>
      </c>
      <c r="N2" s="9">
        <f t="shared" ref="N2:N7" si="6">H2/E2</f>
      </c>
      <c r="O2" s="10">
        <f t="shared" ref="O2:O7" si="37">SUMIF(B11:B1000,B2,O11:O1000)</f>
      </c>
      <c r="P2" s="10">
        <f t="shared" ref="P2:P8" si="25">C2-O2</f>
      </c>
      <c r="Q2" s="11">
        <f t="shared" ref="Q2:Q8" si="56">O2/C2</f>
      </c>
      <c r="R2" s="11">
        <f t="shared" ref="R2:R7" si="44">H2/(E2*Q2)</f>
      </c>
    </row>
    <row customHeight="true" ht="23.703703703703702" r="3">
      <c r="A3" s="12"/>
      <c r="B3" s="6" t="s">
        <v>21</v>
      </c>
      <c r="C3" s="6">
        <f t="shared" si="17"/>
      </c>
      <c r="D3" s="7">
        <v>58</v>
      </c>
      <c r="E3" s="8">
        <f t="shared" si="5"/>
      </c>
      <c r="F3" s="8"/>
      <c r="G3" s="8">
        <f t="shared" si="36"/>
      </c>
      <c r="H3" s="8">
        <f t="shared" si="24"/>
      </c>
      <c r="I3" s="8">
        <f t="shared" si="55"/>
      </c>
      <c r="J3" s="8">
        <f t="shared" si="43"/>
      </c>
      <c r="K3" s="9">
        <f t="shared" si="63"/>
      </c>
      <c r="L3" s="8">
        <f t="shared" si="62"/>
      </c>
      <c r="M3" s="8">
        <f t="shared" si="18"/>
      </c>
      <c r="N3" s="9">
        <f t="shared" si="6"/>
      </c>
      <c r="O3" s="10">
        <f t="shared" si="37"/>
      </c>
      <c r="P3" s="10">
        <f t="shared" si="25"/>
      </c>
      <c r="Q3" s="11">
        <f t="shared" si="56"/>
      </c>
      <c r="R3" s="11">
        <f t="shared" si="44"/>
      </c>
    </row>
    <row customHeight="true" ht="23.703703703703702" r="4">
      <c r="A4" s="12"/>
      <c r="B4" s="6" t="s">
        <v>22</v>
      </c>
      <c r="C4" s="6">
        <f t="shared" si="17"/>
      </c>
      <c r="D4" s="7">
        <v>58.8</v>
      </c>
      <c r="E4" s="8">
        <f t="shared" si="5"/>
      </c>
      <c r="F4" s="8"/>
      <c r="G4" s="8">
        <f t="shared" si="36"/>
      </c>
      <c r="H4" s="8">
        <f t="shared" si="24"/>
      </c>
      <c r="I4" s="8">
        <f t="shared" si="55"/>
      </c>
      <c r="J4" s="8">
        <f t="shared" si="43"/>
      </c>
      <c r="K4" s="9">
        <f t="shared" si="63"/>
      </c>
      <c r="L4" s="8">
        <f t="shared" si="62"/>
      </c>
      <c r="M4" s="8">
        <f t="shared" si="18"/>
      </c>
      <c r="N4" s="9">
        <f t="shared" si="6"/>
      </c>
      <c r="O4" s="10">
        <f t="shared" si="37"/>
      </c>
      <c r="P4" s="10">
        <f t="shared" si="25"/>
      </c>
      <c r="Q4" s="11">
        <f t="shared" si="56"/>
      </c>
      <c r="R4" s="11">
        <f t="shared" si="44"/>
      </c>
    </row>
    <row customHeight="true" ht="23.703703703703702" r="5">
      <c r="A5" s="12"/>
      <c r="B5" s="6" t="s">
        <v>23</v>
      </c>
      <c r="C5" s="6">
        <f t="shared" si="17"/>
      </c>
      <c r="D5" s="7">
        <v>59.35</v>
      </c>
      <c r="E5" s="8">
        <f t="shared" si="5"/>
      </c>
      <c r="F5" s="8"/>
      <c r="G5" s="8">
        <f t="shared" si="36"/>
      </c>
      <c r="H5" s="8">
        <f t="shared" si="24"/>
      </c>
      <c r="I5" s="8">
        <f t="shared" si="55"/>
      </c>
      <c r="J5" s="8">
        <f t="shared" si="43"/>
      </c>
      <c r="K5" s="9">
        <f t="shared" si="63"/>
      </c>
      <c r="L5" s="8">
        <f t="shared" si="62"/>
      </c>
      <c r="M5" s="8">
        <f t="shared" si="18"/>
      </c>
      <c r="N5" s="9">
        <f t="shared" si="6"/>
      </c>
      <c r="O5" s="10">
        <f t="shared" si="37"/>
      </c>
      <c r="P5" s="10">
        <f t="shared" si="25"/>
      </c>
      <c r="Q5" s="11">
        <f t="shared" si="56"/>
      </c>
      <c r="R5" s="11">
        <f t="shared" si="44"/>
      </c>
    </row>
    <row customHeight="true" ht="23.703703703703702" r="6">
      <c r="A6" s="12"/>
      <c r="B6" s="6" t="s">
        <v>24</v>
      </c>
      <c r="C6" s="6">
        <f t="shared" si="17"/>
      </c>
      <c r="D6" s="7">
        <v>67.99</v>
      </c>
      <c r="E6" s="8">
        <f t="shared" si="5"/>
      </c>
      <c r="F6" s="8"/>
      <c r="G6" s="8">
        <f t="shared" si="36"/>
      </c>
      <c r="H6" s="8">
        <f t="shared" si="24"/>
      </c>
      <c r="I6" s="8">
        <f t="shared" si="55"/>
      </c>
      <c r="J6" s="8">
        <f t="shared" si="43"/>
      </c>
      <c r="K6" s="9">
        <f t="shared" si="63"/>
      </c>
      <c r="L6" s="8">
        <f t="shared" si="62"/>
      </c>
      <c r="M6" s="8">
        <f t="shared" si="18"/>
      </c>
      <c r="N6" s="9">
        <f t="shared" si="6"/>
      </c>
      <c r="O6" s="10">
        <f t="shared" si="37"/>
      </c>
      <c r="P6" s="10">
        <f t="shared" si="25"/>
      </c>
      <c r="Q6" s="11">
        <f t="shared" si="56"/>
      </c>
      <c r="R6" s="11">
        <f t="shared" si="44"/>
      </c>
    </row>
    <row customHeight="true" ht="23.703703703703702" r="7">
      <c r="A7" s="12"/>
      <c r="B7" s="6" t="s">
        <v>25</v>
      </c>
      <c r="C7" s="6">
        <f t="shared" si="17"/>
      </c>
      <c r="D7" s="7">
        <v>49.99</v>
      </c>
      <c r="E7" s="8">
        <f t="shared" si="5"/>
      </c>
      <c r="F7" s="8"/>
      <c r="G7" s="8">
        <f t="shared" si="36"/>
      </c>
      <c r="H7" s="8">
        <f t="shared" si="24"/>
      </c>
      <c r="I7" s="8">
        <f t="shared" si="55"/>
      </c>
      <c r="J7" s="8">
        <f t="shared" si="43"/>
      </c>
      <c r="K7" s="9">
        <f t="shared" si="63"/>
      </c>
      <c r="L7" s="8">
        <f t="shared" si="62"/>
      </c>
      <c r="M7" s="8">
        <f t="shared" si="18"/>
      </c>
      <c r="N7" s="9">
        <f t="shared" si="6"/>
      </c>
      <c r="O7" s="10">
        <f t="shared" si="37"/>
      </c>
      <c r="P7" s="10">
        <f t="shared" si="25"/>
      </c>
      <c r="Q7" s="11">
        <f t="shared" si="56"/>
      </c>
      <c r="R7" s="11">
        <f t="shared" si="44"/>
      </c>
    </row>
    <row customHeight="true" ht="23.703703703703702" r="8">
      <c r="A8" s="13"/>
      <c r="B8" s="6" t="s">
        <v>26</v>
      </c>
      <c r="C8" s="6">
        <f>SUM(C2:C7)</f>
      </c>
      <c r="D8" s="14"/>
      <c r="E8" s="8"/>
      <c r="F8" s="8"/>
      <c r="G8" s="8"/>
      <c r="H8" s="8"/>
      <c r="I8" s="8"/>
      <c r="J8" s="8"/>
      <c r="K8" s="9">
        <f>L8/M8</f>
      </c>
      <c r="L8" s="8">
        <f>SUM(L2:L7)</f>
      </c>
      <c r="M8" s="8">
        <f>SUM(M2:M7)</f>
      </c>
      <c r="N8" s="9"/>
      <c r="O8" s="10">
        <f>SUM(O2:O7)</f>
      </c>
      <c r="P8" s="10">
        <f t="shared" si="25"/>
      </c>
      <c r="Q8" s="11">
        <f t="shared" si="56"/>
      </c>
      <c r="R8" s="11"/>
    </row>
    <row customHeight="true" ht="16.296296296296294" r="9"/>
    <row customHeight="true" ht="23.703703703703702" r="10">
      <c r="A10" s="1" t="s">
        <v>1</v>
      </c>
      <c r="B10" s="1" t="s">
        <v>2</v>
      </c>
      <c r="C10" s="1" t="s">
        <v>3</v>
      </c>
      <c r="D10" s="1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3" t="s">
        <v>11</v>
      </c>
      <c r="L10" s="2" t="s">
        <v>12</v>
      </c>
      <c r="M10" s="2" t="s">
        <v>13</v>
      </c>
      <c r="N10" s="1" t="s">
        <v>14</v>
      </c>
      <c r="O10" s="4" t="s">
        <v>15</v>
      </c>
      <c r="P10" s="4" t="s">
        <v>16</v>
      </c>
      <c r="Q10" s="3" t="s">
        <v>17</v>
      </c>
      <c r="R10" s="3" t="s">
        <v>18</v>
      </c>
    </row>
    <row customHeight="true" ht="23.703703703703702" r="11">
      <c r="A11" s="15">
        <v>45846</v>
      </c>
      <c r="B11" s="6" t="s">
        <v>20</v>
      </c>
      <c r="C11" s="6">
        <v>27</v>
      </c>
      <c r="D11" s="16">
        <v>55.85</v>
      </c>
      <c r="E11" s="8">
        <f t="shared" ref="E11:E16" si="12">C11*D11</f>
      </c>
      <c r="F11" s="8">
        <v>2.5</v>
      </c>
      <c r="G11" s="8">
        <f t="shared" ref="G11:G14" si="0">C11*8</f>
      </c>
      <c r="H11" s="8">
        <v>141.95</v>
      </c>
      <c r="I11" s="8">
        <f t="shared" ref="I11:I15" si="31">E11*0.025</f>
      </c>
      <c r="J11" s="8">
        <f t="shared" ref="J11:J15" si="19">F11*C11+G11-H11-I11</f>
      </c>
      <c r="K11" s="9">
        <f t="shared" ref="K11:K16" si="64">J11/E11</f>
      </c>
      <c r="L11" s="8">
        <f t="shared" ref="L11:L14" si="50">J11*8</f>
      </c>
      <c r="M11" s="8">
        <f t="shared" ref="M11:M14" si="38">E11*8</f>
      </c>
      <c r="N11" s="9">
        <f t="shared" ref="N11:N16" si="7">H11/E11</f>
      </c>
      <c r="O11" s="10">
        <v>14</v>
      </c>
      <c r="P11" s="10">
        <f t="shared" ref="P11:P17" si="26">C11-O11</f>
      </c>
      <c r="Q11" s="11">
        <f t="shared" ref="Q11:Q17" si="57">O11/C11</f>
      </c>
      <c r="R11" s="11">
        <f t="shared" ref="R11:R16" si="45">H11/(E11*Q11)</f>
      </c>
    </row>
    <row customHeight="true" ht="23.703703703703702" r="12">
      <c r="A12" s="17"/>
      <c r="B12" s="6" t="s">
        <v>21</v>
      </c>
      <c r="C12" s="6">
        <v>3</v>
      </c>
      <c r="D12" s="16">
        <v>58</v>
      </c>
      <c r="E12" s="8">
        <f t="shared" si="12"/>
      </c>
      <c r="F12" s="8">
        <v>-1.7</v>
      </c>
      <c r="G12" s="8">
        <f t="shared" si="0"/>
      </c>
      <c r="H12" s="8">
        <v>9.29</v>
      </c>
      <c r="I12" s="8">
        <f t="shared" si="31"/>
      </c>
      <c r="J12" s="8">
        <f t="shared" si="19"/>
      </c>
      <c r="K12" s="9">
        <f t="shared" si="64"/>
      </c>
      <c r="L12" s="8">
        <f t="shared" si="50"/>
      </c>
      <c r="M12" s="8">
        <f t="shared" si="38"/>
      </c>
      <c r="N12" s="9">
        <f t="shared" si="7"/>
      </c>
      <c r="O12" s="10">
        <v>2</v>
      </c>
      <c r="P12" s="10">
        <f t="shared" si="26"/>
      </c>
      <c r="Q12" s="11">
        <f t="shared" si="57"/>
      </c>
      <c r="R12" s="11">
        <f t="shared" si="45"/>
      </c>
    </row>
    <row customHeight="true" ht="23.703703703703702" r="13">
      <c r="A13" s="17"/>
      <c r="B13" s="6" t="s">
        <v>22</v>
      </c>
      <c r="C13" s="6">
        <v>8</v>
      </c>
      <c r="D13" s="16">
        <v>58.8</v>
      </c>
      <c r="E13" s="8">
        <f t="shared" si="12"/>
      </c>
      <c r="F13" s="8">
        <v>1.9</v>
      </c>
      <c r="G13" s="8">
        <f t="shared" si="0"/>
      </c>
      <c r="H13" s="8">
        <v>147.26</v>
      </c>
      <c r="I13" s="8">
        <f t="shared" si="31"/>
      </c>
      <c r="J13" s="8">
        <f t="shared" si="19"/>
      </c>
      <c r="K13" s="9">
        <f t="shared" si="64"/>
      </c>
      <c r="L13" s="8">
        <f t="shared" si="50"/>
      </c>
      <c r="M13" s="8">
        <f t="shared" si="38"/>
      </c>
      <c r="N13" s="9">
        <f t="shared" si="7"/>
      </c>
      <c r="O13" s="10">
        <v>8</v>
      </c>
      <c r="P13" s="10">
        <f t="shared" si="26"/>
      </c>
      <c r="Q13" s="11">
        <f t="shared" si="57"/>
      </c>
      <c r="R13" s="11">
        <f t="shared" si="45"/>
      </c>
    </row>
    <row customHeight="true" ht="23.703703703703702" r="14">
      <c r="A14" s="17"/>
      <c r="B14" s="6" t="s">
        <v>23</v>
      </c>
      <c r="C14" s="6">
        <v>17</v>
      </c>
      <c r="D14" s="16">
        <v>59.35</v>
      </c>
      <c r="E14" s="8">
        <f t="shared" si="12"/>
      </c>
      <c r="F14" s="8">
        <v>2.53</v>
      </c>
      <c r="G14" s="8">
        <f t="shared" si="0"/>
      </c>
      <c r="H14" s="8">
        <v>280.15</v>
      </c>
      <c r="I14" s="8">
        <f t="shared" si="31"/>
      </c>
      <c r="J14" s="8">
        <f t="shared" si="19"/>
      </c>
      <c r="K14" s="9">
        <f t="shared" si="64"/>
      </c>
      <c r="L14" s="8">
        <f t="shared" si="50"/>
      </c>
      <c r="M14" s="8">
        <f t="shared" si="38"/>
      </c>
      <c r="N14" s="9">
        <f t="shared" si="7"/>
      </c>
      <c r="O14" s="10">
        <v>18</v>
      </c>
      <c r="P14" s="10">
        <f t="shared" si="26"/>
      </c>
      <c r="Q14" s="11">
        <f t="shared" si="57"/>
      </c>
      <c r="R14" s="11">
        <f t="shared" si="45"/>
      </c>
    </row>
    <row customHeight="true" ht="23.703703703703702" r="15">
      <c r="A15" s="17"/>
      <c r="B15" s="6" t="s">
        <v>24</v>
      </c>
      <c r="C15" s="6">
        <v>29</v>
      </c>
      <c r="D15" s="16">
        <v>67.99</v>
      </c>
      <c r="E15" s="8">
        <f t="shared" si="12"/>
      </c>
      <c r="F15" s="8">
        <v>12.5</v>
      </c>
      <c r="G15" s="8">
        <f>C15*10</f>
      </c>
      <c r="H15" s="8">
        <v>178.07</v>
      </c>
      <c r="I15" s="8">
        <f t="shared" si="31"/>
      </c>
      <c r="J15" s="8">
        <f t="shared" si="19"/>
      </c>
      <c r="K15" s="9">
        <f t="shared" si="64"/>
      </c>
      <c r="L15" s="8">
        <f>J15*9</f>
      </c>
      <c r="M15" s="8">
        <f>E15*9</f>
      </c>
      <c r="N15" s="9">
        <f t="shared" si="7"/>
      </c>
      <c r="O15" s="10">
        <v>17</v>
      </c>
      <c r="P15" s="10">
        <f t="shared" si="26"/>
      </c>
      <c r="Q15" s="11">
        <f t="shared" si="57"/>
      </c>
      <c r="R15" s="11">
        <f t="shared" si="45"/>
      </c>
    </row>
    <row customHeight="true" ht="23.703703703703702" r="16">
      <c r="A16" s="17"/>
      <c r="B16" s="6" t="s">
        <v>25</v>
      </c>
      <c r="C16" s="6">
        <v>20</v>
      </c>
      <c r="D16" s="16">
        <v>49.99</v>
      </c>
      <c r="E16" s="8">
        <f t="shared" si="12"/>
      </c>
      <c r="F16" s="8">
        <v>6.43</v>
      </c>
      <c r="G16" s="8"/>
      <c r="H16" s="8">
        <v>236.38</v>
      </c>
      <c r="I16" s="8">
        <v>25</v>
      </c>
      <c r="J16" s="8">
        <f>C16*F16-H16-I16</f>
      </c>
      <c r="K16" s="9">
        <f t="shared" si="64"/>
      </c>
      <c r="L16" s="8">
        <f>J16*7</f>
      </c>
      <c r="M16" s="8">
        <f>E16*7</f>
      </c>
      <c r="N16" s="9">
        <f t="shared" si="7"/>
      </c>
      <c r="O16" s="10">
        <v>15</v>
      </c>
      <c r="P16" s="10">
        <f t="shared" si="26"/>
      </c>
      <c r="Q16" s="11">
        <f t="shared" si="57"/>
      </c>
      <c r="R16" s="11">
        <f t="shared" si="45"/>
      </c>
    </row>
    <row customHeight="true" ht="23.703703703703702" r="17">
      <c r="A17" s="18"/>
      <c r="B17" s="6" t="s">
        <v>26</v>
      </c>
      <c r="C17" s="6">
        <f>SUM(C11:C16)</f>
      </c>
      <c r="D17" s="14"/>
      <c r="E17" s="8"/>
      <c r="F17" s="8"/>
      <c r="G17" s="8"/>
      <c r="H17" s="8"/>
      <c r="I17" s="8"/>
      <c r="J17" s="8"/>
      <c r="K17" s="9">
        <f>L17/M17</f>
      </c>
      <c r="L17" s="8">
        <f>SUM(L11:L16)</f>
      </c>
      <c r="M17" s="8">
        <f>SUM(M11:M16)</f>
      </c>
      <c r="N17" s="9"/>
      <c r="O17" s="10">
        <f>SUM(O11:O16)</f>
      </c>
      <c r="P17" s="10">
        <f t="shared" si="26"/>
      </c>
      <c r="Q17" s="11">
        <f t="shared" si="57"/>
      </c>
      <c r="R17" s="11"/>
    </row>
    <row customHeight="true" ht="23.703703703703702" r="18"/>
    <row customHeight="true" ht="23.703703703703702" r="19">
      <c r="A19" s="1" t="s">
        <v>1</v>
      </c>
      <c r="B19" s="1" t="s">
        <v>2</v>
      </c>
      <c r="C19" s="1" t="s">
        <v>3</v>
      </c>
      <c r="D19" s="1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3" t="s">
        <v>11</v>
      </c>
      <c r="L19" s="2" t="s">
        <v>12</v>
      </c>
      <c r="M19" s="2" t="s">
        <v>13</v>
      </c>
      <c r="N19" s="1" t="s">
        <v>14</v>
      </c>
      <c r="O19" s="4" t="s">
        <v>15</v>
      </c>
      <c r="P19" s="4" t="s">
        <v>16</v>
      </c>
      <c r="Q19" s="3" t="s">
        <v>17</v>
      </c>
      <c r="R19" s="3" t="s">
        <v>18</v>
      </c>
    </row>
    <row customHeight="true" ht="23.703703703703702" r="20">
      <c r="A20" s="15">
        <v>45847</v>
      </c>
      <c r="B20" s="6" t="s">
        <v>20</v>
      </c>
      <c r="C20" s="6">
        <v>23</v>
      </c>
      <c r="D20" s="16">
        <v>55.85</v>
      </c>
      <c r="E20" s="8">
        <f t="shared" ref="E20:E23" si="13">C20*D20</f>
      </c>
      <c r="F20" s="19">
        <f>(6*2.5+17*6.5)/23</f>
      </c>
      <c r="G20" s="8">
        <f t="shared" ref="G20:G23" si="1">C20*8</f>
      </c>
      <c r="H20" s="8">
        <v>144.7</v>
      </c>
      <c r="I20" s="8">
        <f t="shared" ref="I20:I24" si="32">E20*0.025</f>
      </c>
      <c r="J20" s="8">
        <f t="shared" ref="J20:J24" si="20">F20*C20+G20-H20-I20</f>
      </c>
      <c r="K20" s="9">
        <f t="shared" ref="K20:K25" si="65">J20/E20</f>
      </c>
      <c r="L20" s="8">
        <f t="shared" ref="L20:L23" si="51">J20*8</f>
      </c>
      <c r="M20" s="8">
        <f t="shared" ref="M20:M23" si="39">E20*8</f>
      </c>
      <c r="N20" s="9">
        <f t="shared" ref="N20:N25" si="8">H20/E20</f>
      </c>
      <c r="O20" s="10">
        <v>8</v>
      </c>
      <c r="P20" s="10">
        <f t="shared" ref="P20:P26" si="27">C20-O20</f>
      </c>
      <c r="Q20" s="11">
        <f t="shared" ref="Q20:Q26" si="58">O20/C20</f>
      </c>
      <c r="R20" s="11">
        <f t="shared" ref="R20:R25" si="46">H20/(E20*Q20)</f>
      </c>
    </row>
    <row customHeight="true" ht="23.703703703703702" r="21">
      <c r="A21" s="17"/>
      <c r="B21" s="6" t="s">
        <v>21</v>
      </c>
      <c r="C21" s="6">
        <v>2</v>
      </c>
      <c r="D21" s="16">
        <v>58</v>
      </c>
      <c r="E21" s="8">
        <f t="shared" si="13"/>
      </c>
      <c r="F21" s="8">
        <v>-1.7</v>
      </c>
      <c r="G21" s="8">
        <f t="shared" si="1"/>
      </c>
      <c r="H21" s="8">
        <v>7.63</v>
      </c>
      <c r="I21" s="8">
        <f t="shared" si="32"/>
      </c>
      <c r="J21" s="8">
        <f t="shared" si="20"/>
      </c>
      <c r="K21" s="9">
        <f t="shared" si="65"/>
      </c>
      <c r="L21" s="8">
        <f t="shared" si="51"/>
      </c>
      <c r="M21" s="8">
        <f t="shared" si="39"/>
      </c>
      <c r="N21" s="9">
        <f t="shared" si="8"/>
      </c>
      <c r="O21" s="10">
        <v>0</v>
      </c>
      <c r="P21" s="10">
        <f t="shared" si="27"/>
      </c>
      <c r="Q21" s="11">
        <f t="shared" si="58"/>
      </c>
      <c r="R21" s="11">
        <f t="shared" si="46"/>
      </c>
    </row>
    <row customHeight="true" ht="23.703703703703702" r="22">
      <c r="A22" s="17"/>
      <c r="B22" s="6" t="s">
        <v>22</v>
      </c>
      <c r="C22" s="6">
        <v>28</v>
      </c>
      <c r="D22" s="16">
        <v>58.8</v>
      </c>
      <c r="E22" s="8">
        <f t="shared" si="13"/>
      </c>
      <c r="F22" s="8">
        <f>(6*1.9+21*6.23)/27</f>
      </c>
      <c r="G22" s="8">
        <f t="shared" si="1"/>
      </c>
      <c r="H22" s="8">
        <v>142.02</v>
      </c>
      <c r="I22" s="8">
        <f t="shared" si="32"/>
      </c>
      <c r="J22" s="8">
        <f t="shared" si="20"/>
      </c>
      <c r="K22" s="9">
        <f t="shared" si="65"/>
      </c>
      <c r="L22" s="8">
        <f t="shared" si="51"/>
      </c>
      <c r="M22" s="8">
        <f t="shared" si="39"/>
      </c>
      <c r="N22" s="9">
        <f t="shared" si="8"/>
      </c>
      <c r="O22" s="10">
        <v>6</v>
      </c>
      <c r="P22" s="10">
        <f t="shared" si="27"/>
      </c>
      <c r="Q22" s="11">
        <f t="shared" si="58"/>
      </c>
      <c r="R22" s="11">
        <f t="shared" si="46"/>
      </c>
    </row>
    <row customHeight="true" ht="23.703703703703702" r="23">
      <c r="A23" s="17"/>
      <c r="B23" s="6" t="s">
        <v>23</v>
      </c>
      <c r="C23" s="6">
        <v>27</v>
      </c>
      <c r="D23" s="16">
        <v>59.35</v>
      </c>
      <c r="E23" s="8">
        <f t="shared" si="13"/>
      </c>
      <c r="F23" s="8">
        <f>(6*2.53+21*6.78)/27</f>
      </c>
      <c r="G23" s="8">
        <f t="shared" si="1"/>
      </c>
      <c r="H23" s="8">
        <v>165.58</v>
      </c>
      <c r="I23" s="8">
        <f t="shared" si="32"/>
      </c>
      <c r="J23" s="8">
        <f t="shared" si="20"/>
      </c>
      <c r="K23" s="9">
        <f t="shared" si="65"/>
      </c>
      <c r="L23" s="8">
        <f t="shared" si="51"/>
      </c>
      <c r="M23" s="8">
        <f t="shared" si="39"/>
      </c>
      <c r="N23" s="9">
        <f t="shared" si="8"/>
      </c>
      <c r="O23" s="10">
        <v>7</v>
      </c>
      <c r="P23" s="10">
        <f t="shared" si="27"/>
      </c>
      <c r="Q23" s="11">
        <f t="shared" si="58"/>
      </c>
      <c r="R23" s="11">
        <f t="shared" si="46"/>
      </c>
    </row>
    <row customHeight="true" ht="23.703703703703702" r="24">
      <c r="A24" s="17"/>
      <c r="B24" s="6" t="s">
        <v>24</v>
      </c>
      <c r="C24" s="6">
        <v>16</v>
      </c>
      <c r="D24" s="16">
        <v>67.99</v>
      </c>
      <c r="E24" s="8">
        <f>67.99*12+80.61*4</f>
      </c>
      <c r="F24" s="8">
        <f>(21*4+12.5*12)/16</f>
      </c>
      <c r="G24" s="8">
        <f>C24*10</f>
      </c>
      <c r="H24" s="8">
        <v>120.44</v>
      </c>
      <c r="I24" s="8">
        <f t="shared" si="32"/>
      </c>
      <c r="J24" s="8">
        <f t="shared" si="20"/>
      </c>
      <c r="K24" s="9">
        <f t="shared" si="65"/>
      </c>
      <c r="L24" s="8">
        <f>J24*9</f>
      </c>
      <c r="M24" s="8">
        <f>E24*9</f>
      </c>
      <c r="N24" s="9">
        <f t="shared" si="8"/>
      </c>
      <c r="O24" s="10">
        <v>7</v>
      </c>
      <c r="P24" s="10">
        <f t="shared" si="27"/>
      </c>
      <c r="Q24" s="11">
        <f t="shared" si="58"/>
      </c>
      <c r="R24" s="11">
        <f t="shared" si="46"/>
      </c>
    </row>
    <row customHeight="true" ht="23.703703703703702" r="25">
      <c r="A25" s="17"/>
      <c r="B25" s="6" t="s">
        <v>25</v>
      </c>
      <c r="C25" s="6">
        <v>23</v>
      </c>
      <c r="D25" s="16">
        <v>49.99</v>
      </c>
      <c r="E25" s="8">
        <f>C25*D25</f>
      </c>
      <c r="F25" s="8">
        <v>6.43</v>
      </c>
      <c r="G25" s="8"/>
      <c r="H25" s="8">
        <v>200.8</v>
      </c>
      <c r="I25" s="8">
        <v>25</v>
      </c>
      <c r="J25" s="8">
        <f>C25*F25-H25-I25</f>
      </c>
      <c r="K25" s="9">
        <f t="shared" si="65"/>
      </c>
      <c r="L25" s="8">
        <f>J25*7</f>
      </c>
      <c r="M25" s="8">
        <f>E25*7</f>
      </c>
      <c r="N25" s="9">
        <f t="shared" si="8"/>
      </c>
      <c r="O25" s="10">
        <v>8</v>
      </c>
      <c r="P25" s="10">
        <f t="shared" si="27"/>
      </c>
      <c r="Q25" s="11">
        <f t="shared" si="58"/>
      </c>
      <c r="R25" s="11">
        <f t="shared" si="46"/>
      </c>
    </row>
    <row customHeight="true" ht="23.703703703703702" r="26">
      <c r="A26" s="18"/>
      <c r="B26" s="6" t="s">
        <v>26</v>
      </c>
      <c r="C26" s="6">
        <f>SUM(C20:C25)</f>
      </c>
      <c r="D26" s="14"/>
      <c r="E26" s="8"/>
      <c r="F26" s="8"/>
      <c r="G26" s="8"/>
      <c r="H26" s="8"/>
      <c r="I26" s="8"/>
      <c r="J26" s="8"/>
      <c r="K26" s="9">
        <f>L26/M26</f>
      </c>
      <c r="L26" s="8">
        <f>SUM(L20:L25)</f>
      </c>
      <c r="M26" s="8">
        <f>SUM(M20:M25)</f>
      </c>
      <c r="N26" s="9"/>
      <c r="O26" s="10">
        <f>SUM(O20:O25)</f>
      </c>
      <c r="P26" s="10">
        <f t="shared" si="27"/>
      </c>
      <c r="Q26" s="11">
        <f t="shared" si="58"/>
      </c>
      <c r="R26" s="11"/>
    </row>
    <row customHeight="true" ht="23.703703703703702" r="27"/>
    <row customHeight="true" ht="23.703703703703702" r="28">
      <c r="A28" s="1" t="s">
        <v>1</v>
      </c>
      <c r="B28" s="1" t="s">
        <v>2</v>
      </c>
      <c r="C28" s="1" t="s">
        <v>3</v>
      </c>
      <c r="D28" s="1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3" t="s">
        <v>11</v>
      </c>
      <c r="L28" s="2" t="s">
        <v>12</v>
      </c>
      <c r="M28" s="2" t="s">
        <v>13</v>
      </c>
      <c r="N28" s="1" t="s">
        <v>14</v>
      </c>
      <c r="O28" s="4" t="s">
        <v>15</v>
      </c>
      <c r="P28" s="4" t="s">
        <v>16</v>
      </c>
      <c r="Q28" s="3" t="s">
        <v>17</v>
      </c>
      <c r="R28" s="3" t="s">
        <v>18</v>
      </c>
    </row>
    <row customHeight="true" ht="23.703703703703702" r="29">
      <c r="A29" s="15">
        <v>45848</v>
      </c>
      <c r="B29" s="6" t="s">
        <v>20</v>
      </c>
      <c r="C29" s="6">
        <v>24</v>
      </c>
      <c r="D29" s="16">
        <v>55.85</v>
      </c>
      <c r="E29" s="8">
        <f t="shared" ref="E29:E34" si="14">C29*D29</f>
      </c>
      <c r="F29" s="19">
        <v>6.5</v>
      </c>
      <c r="G29" s="8">
        <f t="shared" ref="G29:G32" si="2">C29*8</f>
      </c>
      <c r="H29" s="8">
        <v>176.46</v>
      </c>
      <c r="I29" s="8">
        <f t="shared" ref="I29:I33" si="33">E29*0.025</f>
      </c>
      <c r="J29" s="8">
        <f t="shared" ref="J29:J33" si="21">F29*C29+G29-H29-I29</f>
      </c>
      <c r="K29" s="9">
        <f t="shared" ref="K29:K34" si="66">J29/E29</f>
      </c>
      <c r="L29" s="8">
        <f t="shared" ref="L29:L32" si="52">J29*8</f>
      </c>
      <c r="M29" s="8">
        <f t="shared" ref="M29:M32" si="40">E29*8</f>
      </c>
      <c r="N29" s="9">
        <f t="shared" ref="N29:N34" si="9">H29/E29</f>
      </c>
      <c r="O29" s="10">
        <v>14</v>
      </c>
      <c r="P29" s="10">
        <f t="shared" ref="P29:P35" si="28">C29-O29</f>
      </c>
      <c r="Q29" s="11">
        <f t="shared" ref="Q29:Q35" si="59">O29/C29</f>
      </c>
      <c r="R29" s="11">
        <f t="shared" ref="R29:R34" si="47">H29/(E29*Q29)</f>
      </c>
    </row>
    <row customHeight="true" ht="23.703703703703702" r="30">
      <c r="A30" s="17"/>
      <c r="B30" s="6" t="s">
        <v>21</v>
      </c>
      <c r="C30" s="6">
        <v>2</v>
      </c>
      <c r="D30" s="16">
        <v>58</v>
      </c>
      <c r="E30" s="8">
        <f t="shared" si="14"/>
      </c>
      <c r="F30" s="8">
        <v>-1.7</v>
      </c>
      <c r="G30" s="8">
        <f t="shared" si="2"/>
      </c>
      <c r="H30" s="8">
        <v>28.27</v>
      </c>
      <c r="I30" s="8">
        <f t="shared" si="33"/>
      </c>
      <c r="J30" s="8">
        <f t="shared" si="21"/>
      </c>
      <c r="K30" s="9">
        <f t="shared" si="66"/>
      </c>
      <c r="L30" s="8">
        <f t="shared" si="52"/>
      </c>
      <c r="M30" s="8">
        <f t="shared" si="40"/>
      </c>
      <c r="N30" s="9">
        <f t="shared" si="9"/>
      </c>
      <c r="O30" s="10">
        <v>0</v>
      </c>
      <c r="P30" s="10">
        <f t="shared" si="28"/>
      </c>
      <c r="Q30" s="11">
        <f t="shared" si="59"/>
      </c>
      <c r="R30" s="11">
        <f t="shared" si="47"/>
      </c>
    </row>
    <row customHeight="true" ht="23.703703703703702" r="31">
      <c r="A31" s="17"/>
      <c r="B31" s="6" t="s">
        <v>22</v>
      </c>
      <c r="C31" s="6">
        <v>29</v>
      </c>
      <c r="D31" s="16">
        <v>58.8</v>
      </c>
      <c r="E31" s="8">
        <f t="shared" si="14"/>
      </c>
      <c r="F31" s="8">
        <v>6.23</v>
      </c>
      <c r="G31" s="8">
        <f t="shared" si="2"/>
      </c>
      <c r="H31" s="8">
        <v>103.98</v>
      </c>
      <c r="I31" s="8">
        <f t="shared" si="33"/>
      </c>
      <c r="J31" s="8">
        <f t="shared" si="21"/>
      </c>
      <c r="K31" s="9">
        <f t="shared" si="66"/>
      </c>
      <c r="L31" s="8">
        <f t="shared" si="52"/>
      </c>
      <c r="M31" s="8">
        <f t="shared" si="40"/>
      </c>
      <c r="N31" s="9">
        <f t="shared" si="9"/>
      </c>
      <c r="O31" s="10">
        <v>11</v>
      </c>
      <c r="P31" s="10">
        <f t="shared" si="28"/>
      </c>
      <c r="Q31" s="11">
        <f t="shared" si="59"/>
      </c>
      <c r="R31" s="11">
        <f t="shared" si="47"/>
      </c>
    </row>
    <row customHeight="true" ht="23.703703703703702" r="32">
      <c r="A32" s="17"/>
      <c r="B32" s="6" t="s">
        <v>23</v>
      </c>
      <c r="C32" s="6">
        <v>17</v>
      </c>
      <c r="D32" s="16">
        <v>59.35</v>
      </c>
      <c r="E32" s="8">
        <f t="shared" si="14"/>
      </c>
      <c r="F32" s="8">
        <v>6.78</v>
      </c>
      <c r="G32" s="8">
        <f t="shared" si="2"/>
      </c>
      <c r="H32" s="8">
        <v>128.06</v>
      </c>
      <c r="I32" s="8">
        <f t="shared" si="33"/>
      </c>
      <c r="J32" s="8">
        <f t="shared" si="21"/>
      </c>
      <c r="K32" s="9">
        <f t="shared" si="66"/>
      </c>
      <c r="L32" s="8">
        <f t="shared" si="52"/>
      </c>
      <c r="M32" s="8">
        <f t="shared" si="40"/>
      </c>
      <c r="N32" s="9">
        <f t="shared" si="9"/>
      </c>
      <c r="O32" s="10">
        <v>7</v>
      </c>
      <c r="P32" s="10">
        <f t="shared" si="28"/>
      </c>
      <c r="Q32" s="11">
        <f t="shared" si="59"/>
      </c>
      <c r="R32" s="11">
        <f t="shared" si="47"/>
      </c>
    </row>
    <row customHeight="true" ht="23.703703703703702" r="33">
      <c r="A33" s="17"/>
      <c r="B33" s="6" t="s">
        <v>24</v>
      </c>
      <c r="C33" s="6">
        <v>9</v>
      </c>
      <c r="D33" s="16">
        <v>80.61</v>
      </c>
      <c r="E33" s="8">
        <f t="shared" si="14"/>
      </c>
      <c r="F33" s="8">
        <v>21</v>
      </c>
      <c r="G33" s="8">
        <f>C33*10</f>
      </c>
      <c r="H33" s="8">
        <v>64.94</v>
      </c>
      <c r="I33" s="8">
        <f t="shared" si="33"/>
      </c>
      <c r="J33" s="8">
        <f t="shared" si="21"/>
      </c>
      <c r="K33" s="9">
        <f t="shared" si="66"/>
      </c>
      <c r="L33" s="8">
        <f>J33*9</f>
      </c>
      <c r="M33" s="8">
        <f>E33*9</f>
      </c>
      <c r="N33" s="9">
        <f t="shared" si="9"/>
      </c>
      <c r="O33" s="10">
        <v>5</v>
      </c>
      <c r="P33" s="10">
        <f t="shared" si="28"/>
      </c>
      <c r="Q33" s="11">
        <f t="shared" si="59"/>
      </c>
      <c r="R33" s="11">
        <f t="shared" si="47"/>
      </c>
    </row>
    <row customHeight="true" ht="23.703703703703702" r="34">
      <c r="A34" s="17"/>
      <c r="B34" s="6" t="s">
        <v>25</v>
      </c>
      <c r="C34" s="6">
        <v>15</v>
      </c>
      <c r="D34" s="16">
        <v>49.99</v>
      </c>
      <c r="E34" s="8">
        <f t="shared" si="14"/>
      </c>
      <c r="F34" s="8">
        <v>6.43</v>
      </c>
      <c r="G34" s="8"/>
      <c r="H34" s="8">
        <v>122.35</v>
      </c>
      <c r="I34" s="8">
        <v>25</v>
      </c>
      <c r="J34" s="8">
        <f>C34*F34-H34-I34</f>
      </c>
      <c r="K34" s="9">
        <f t="shared" si="66"/>
      </c>
      <c r="L34" s="8">
        <f>J34*7</f>
      </c>
      <c r="M34" s="8">
        <f>E34*7</f>
      </c>
      <c r="N34" s="9">
        <f t="shared" si="9"/>
      </c>
      <c r="O34" s="10">
        <v>3</v>
      </c>
      <c r="P34" s="10">
        <f t="shared" si="28"/>
      </c>
      <c r="Q34" s="11">
        <f t="shared" si="59"/>
      </c>
      <c r="R34" s="11">
        <f t="shared" si="47"/>
      </c>
    </row>
    <row customHeight="true" ht="23.703703703703702" r="35">
      <c r="A35" s="18"/>
      <c r="B35" s="6" t="s">
        <v>26</v>
      </c>
      <c r="C35" s="6">
        <f>SUM(C29:C34)</f>
      </c>
      <c r="D35" s="14"/>
      <c r="E35" s="8"/>
      <c r="F35" s="8"/>
      <c r="G35" s="8"/>
      <c r="H35" s="8"/>
      <c r="I35" s="8"/>
      <c r="J35" s="8"/>
      <c r="K35" s="9">
        <f>L35/M35</f>
      </c>
      <c r="L35" s="8">
        <f>SUM(L29:L34)</f>
      </c>
      <c r="M35" s="8">
        <f>SUM(M29:M34)</f>
      </c>
      <c r="N35" s="9"/>
      <c r="O35" s="10">
        <f>SUM(O29:O34)</f>
      </c>
      <c r="P35" s="10">
        <f t="shared" si="28"/>
      </c>
      <c r="Q35" s="11">
        <f t="shared" si="59"/>
      </c>
      <c r="R35" s="11"/>
    </row>
    <row customHeight="true" ht="23.703703703703702" r="36"/>
    <row customHeight="true" ht="23.703703703703702" r="37">
      <c r="A37" s="1" t="s">
        <v>1</v>
      </c>
      <c r="B37" s="1" t="s">
        <v>2</v>
      </c>
      <c r="C37" s="1" t="s">
        <v>3</v>
      </c>
      <c r="D37" s="1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2" t="s">
        <v>9</v>
      </c>
      <c r="J37" s="2" t="s">
        <v>10</v>
      </c>
      <c r="K37" s="3" t="s">
        <v>11</v>
      </c>
      <c r="L37" s="2" t="s">
        <v>12</v>
      </c>
      <c r="M37" s="2" t="s">
        <v>13</v>
      </c>
      <c r="N37" s="1" t="s">
        <v>14</v>
      </c>
      <c r="O37" s="4" t="s">
        <v>15</v>
      </c>
      <c r="P37" s="4" t="s">
        <v>16</v>
      </c>
      <c r="Q37" s="3" t="s">
        <v>17</v>
      </c>
      <c r="R37" s="3" t="s">
        <v>18</v>
      </c>
    </row>
    <row customHeight="true" ht="23.703703703703702" r="38">
      <c r="A38" s="15">
        <v>45849</v>
      </c>
      <c r="B38" s="6" t="s">
        <v>20</v>
      </c>
      <c r="C38" s="6">
        <v>29</v>
      </c>
      <c r="D38" s="16">
        <v>55.85</v>
      </c>
      <c r="E38" s="8">
        <f t="shared" ref="E38:E43" si="15">C38*D38</f>
      </c>
      <c r="F38" s="19">
        <f>(6.5*12+10.5*17)/29</f>
      </c>
      <c r="G38" s="8">
        <f t="shared" ref="G38:G41" si="3">C38*8</f>
      </c>
      <c r="H38" s="8">
        <v>147.15</v>
      </c>
      <c r="I38" s="8">
        <f t="shared" ref="I38:I42" si="34">E38*0.025</f>
      </c>
      <c r="J38" s="8">
        <f t="shared" ref="J38:J42" si="22">F38*C38+G38-H38-I38</f>
      </c>
      <c r="K38" s="9">
        <f t="shared" ref="K38:K43" si="67">J38/E38</f>
      </c>
      <c r="L38" s="8">
        <f t="shared" ref="L38:L41" si="53">J38*8</f>
      </c>
      <c r="M38" s="8">
        <f t="shared" ref="M38:M41" si="41">E38*8</f>
      </c>
      <c r="N38" s="9">
        <f t="shared" ref="N38:N43" si="10">H38/E38</f>
      </c>
      <c r="O38" s="10">
        <v>15</v>
      </c>
      <c r="P38" s="10">
        <f t="shared" ref="P38:P44" si="29">C38-O38</f>
      </c>
      <c r="Q38" s="11">
        <f t="shared" ref="Q38:Q44" si="60">O38/C38</f>
      </c>
      <c r="R38" s="11">
        <f t="shared" ref="R38:R43" si="48">H38/(E38*Q38)</f>
      </c>
    </row>
    <row customHeight="true" ht="23.703703703703702" r="39">
      <c r="A39" s="17"/>
      <c r="B39" s="6" t="s">
        <v>21</v>
      </c>
      <c r="C39" s="6">
        <v>1</v>
      </c>
      <c r="D39" s="16">
        <v>58</v>
      </c>
      <c r="E39" s="8">
        <f t="shared" si="15"/>
      </c>
      <c r="F39" s="8">
        <v>-1.7</v>
      </c>
      <c r="G39" s="8">
        <f t="shared" si="3"/>
      </c>
      <c r="H39" s="8">
        <v>19.33</v>
      </c>
      <c r="I39" s="8">
        <f t="shared" si="34"/>
      </c>
      <c r="J39" s="8">
        <f t="shared" si="22"/>
      </c>
      <c r="K39" s="9">
        <f t="shared" si="67"/>
      </c>
      <c r="L39" s="8">
        <f t="shared" si="53"/>
      </c>
      <c r="M39" s="8">
        <f t="shared" si="41"/>
      </c>
      <c r="N39" s="9">
        <f t="shared" si="10"/>
      </c>
      <c r="O39" s="10">
        <v>1</v>
      </c>
      <c r="P39" s="10">
        <f t="shared" si="29"/>
      </c>
      <c r="Q39" s="11">
        <f t="shared" si="60"/>
      </c>
      <c r="R39" s="11">
        <f t="shared" si="48"/>
      </c>
    </row>
    <row customHeight="true" ht="23.703703703703702" r="40">
      <c r="A40" s="17"/>
      <c r="B40" s="6" t="s">
        <v>22</v>
      </c>
      <c r="C40" s="6">
        <v>19</v>
      </c>
      <c r="D40" s="16">
        <v>58.8</v>
      </c>
      <c r="E40" s="8">
        <f t="shared" si="15"/>
      </c>
      <c r="F40" s="8">
        <f>(6*6.23+10.48*13)/C40</f>
      </c>
      <c r="G40" s="8">
        <f t="shared" si="3"/>
      </c>
      <c r="H40" s="8">
        <v>79.98</v>
      </c>
      <c r="I40" s="8">
        <f t="shared" si="34"/>
      </c>
      <c r="J40" s="8">
        <f t="shared" si="22"/>
      </c>
      <c r="K40" s="9">
        <f t="shared" si="67"/>
      </c>
      <c r="L40" s="8">
        <f t="shared" si="53"/>
      </c>
      <c r="M40" s="8">
        <f t="shared" si="41"/>
      </c>
      <c r="N40" s="9">
        <f t="shared" si="10"/>
      </c>
      <c r="O40" s="10">
        <v>5</v>
      </c>
      <c r="P40" s="10">
        <f t="shared" si="29"/>
      </c>
      <c r="Q40" s="11">
        <f t="shared" si="60"/>
      </c>
      <c r="R40" s="11">
        <f t="shared" si="48"/>
      </c>
    </row>
    <row customHeight="true" ht="23.703703703703702" r="41">
      <c r="A41" s="17"/>
      <c r="B41" s="6" t="s">
        <v>23</v>
      </c>
      <c r="C41" s="6">
        <v>16</v>
      </c>
      <c r="D41" s="16">
        <v>59.35</v>
      </c>
      <c r="E41" s="8">
        <f t="shared" si="15"/>
      </c>
      <c r="F41" s="8">
        <f>(6*6.78+11.3*10)/C41</f>
      </c>
      <c r="G41" s="8">
        <f t="shared" si="3"/>
      </c>
      <c r="H41" s="8">
        <v>96.84</v>
      </c>
      <c r="I41" s="8">
        <f t="shared" si="34"/>
      </c>
      <c r="J41" s="8">
        <f t="shared" si="22"/>
      </c>
      <c r="K41" s="9">
        <f t="shared" si="67"/>
      </c>
      <c r="L41" s="8">
        <f t="shared" si="53"/>
      </c>
      <c r="M41" s="8">
        <f t="shared" si="41"/>
      </c>
      <c r="N41" s="9">
        <f t="shared" si="10"/>
      </c>
      <c r="O41" s="10">
        <v>4</v>
      </c>
      <c r="P41" s="10">
        <f t="shared" si="29"/>
      </c>
      <c r="Q41" s="11">
        <f t="shared" si="60"/>
      </c>
      <c r="R41" s="11">
        <f t="shared" si="48"/>
      </c>
    </row>
    <row customHeight="true" ht="23.703703703703702" r="42">
      <c r="A42" s="17"/>
      <c r="B42" s="6" t="s">
        <v>24</v>
      </c>
      <c r="C42" s="6">
        <v>7</v>
      </c>
      <c r="D42" s="16">
        <v>80.61</v>
      </c>
      <c r="E42" s="8">
        <f t="shared" si="15"/>
      </c>
      <c r="F42" s="8">
        <v>21</v>
      </c>
      <c r="G42" s="8">
        <f>C42*10</f>
      </c>
      <c r="H42" s="8">
        <v>39.46</v>
      </c>
      <c r="I42" s="8">
        <f t="shared" si="34"/>
      </c>
      <c r="J42" s="8">
        <f t="shared" si="22"/>
      </c>
      <c r="K42" s="9">
        <f t="shared" si="67"/>
      </c>
      <c r="L42" s="8">
        <f>J42*9</f>
      </c>
      <c r="M42" s="8">
        <f>E42*9</f>
      </c>
      <c r="N42" s="9">
        <f t="shared" si="10"/>
      </c>
      <c r="O42" s="10">
        <v>2</v>
      </c>
      <c r="P42" s="10">
        <f t="shared" si="29"/>
      </c>
      <c r="Q42" s="11">
        <f t="shared" si="60"/>
      </c>
      <c r="R42" s="11">
        <f t="shared" si="48"/>
      </c>
    </row>
    <row customHeight="true" ht="23.703703703703702" r="43">
      <c r="A43" s="17"/>
      <c r="B43" s="6" t="s">
        <v>25</v>
      </c>
      <c r="C43" s="6">
        <v>25</v>
      </c>
      <c r="D43" s="16">
        <v>49.99</v>
      </c>
      <c r="E43" s="8">
        <f t="shared" si="15"/>
      </c>
      <c r="F43" s="8">
        <v>6.43</v>
      </c>
      <c r="G43" s="8"/>
      <c r="H43" s="8">
        <v>132.78</v>
      </c>
      <c r="I43" s="8">
        <v>25</v>
      </c>
      <c r="J43" s="8">
        <f>C43*F43-H43-I43</f>
      </c>
      <c r="K43" s="9">
        <f t="shared" si="67"/>
      </c>
      <c r="L43" s="8">
        <f>J43*7</f>
      </c>
      <c r="M43" s="8">
        <f>E43*7</f>
      </c>
      <c r="N43" s="9">
        <f t="shared" si="10"/>
      </c>
      <c r="O43" s="10">
        <v>14</v>
      </c>
      <c r="P43" s="10">
        <f t="shared" si="29"/>
      </c>
      <c r="Q43" s="11">
        <f t="shared" si="60"/>
      </c>
      <c r="R43" s="11">
        <f t="shared" si="48"/>
      </c>
    </row>
    <row customHeight="true" ht="23.703703703703702" r="44">
      <c r="A44" s="18"/>
      <c r="B44" s="6" t="s">
        <v>26</v>
      </c>
      <c r="C44" s="6">
        <f>SUM(C38:C43)</f>
      </c>
      <c r="D44" s="14"/>
      <c r="E44" s="8"/>
      <c r="F44" s="8"/>
      <c r="G44" s="8"/>
      <c r="H44" s="8"/>
      <c r="I44" s="8"/>
      <c r="J44" s="8"/>
      <c r="K44" s="9">
        <f>L44/M44</f>
      </c>
      <c r="L44" s="8">
        <f>SUM(L38:L43)</f>
      </c>
      <c r="M44" s="8">
        <f>SUM(M38:M43)</f>
      </c>
      <c r="N44" s="9"/>
      <c r="O44" s="10">
        <f>SUM(O38:O43)</f>
      </c>
      <c r="P44" s="10">
        <f t="shared" si="29"/>
      </c>
      <c r="Q44" s="11">
        <f t="shared" si="60"/>
      </c>
      <c r="R44" s="11"/>
    </row>
    <row customHeight="true" ht="23.703703703703702" r="45"/>
    <row customHeight="true" ht="23.703703703703702" r="46">
      <c r="A46" s="1" t="s">
        <v>1</v>
      </c>
      <c r="B46" s="1" t="s">
        <v>2</v>
      </c>
      <c r="C46" s="1" t="s">
        <v>3</v>
      </c>
      <c r="D46" s="1" t="s">
        <v>4</v>
      </c>
      <c r="E46" s="2" t="s">
        <v>5</v>
      </c>
      <c r="F46" s="2" t="s">
        <v>6</v>
      </c>
      <c r="G46" s="2" t="s">
        <v>7</v>
      </c>
      <c r="H46" s="2" t="s">
        <v>8</v>
      </c>
      <c r="I46" s="2" t="s">
        <v>9</v>
      </c>
      <c r="J46" s="2" t="s">
        <v>10</v>
      </c>
      <c r="K46" s="3" t="s">
        <v>11</v>
      </c>
      <c r="L46" s="2" t="s">
        <v>12</v>
      </c>
      <c r="M46" s="2" t="s">
        <v>13</v>
      </c>
      <c r="N46" s="1" t="s">
        <v>14</v>
      </c>
      <c r="O46" s="4" t="s">
        <v>15</v>
      </c>
      <c r="P46" s="4" t="s">
        <v>16</v>
      </c>
      <c r="Q46" s="3" t="s">
        <v>17</v>
      </c>
      <c r="R46" s="3" t="s">
        <v>18</v>
      </c>
    </row>
    <row customHeight="true" ht="23.703703703703702" r="47">
      <c r="A47" s="15">
        <v>45850</v>
      </c>
      <c r="B47" s="6" t="s">
        <v>20</v>
      </c>
      <c r="C47" s="6"/>
      <c r="D47" s="16">
        <v>55.85</v>
      </c>
      <c r="E47" s="8">
        <f t="shared" ref="E47:E52" si="16">C47*D47</f>
      </c>
      <c r="F47" s="19">
        <v>10.5</v>
      </c>
      <c r="G47" s="8">
        <f t="shared" ref="G47:G51" si="4">C47*8</f>
      </c>
      <c r="H47" s="8"/>
      <c r="I47" s="8">
        <f t="shared" ref="I47:I50" si="35">E47*0.025</f>
      </c>
      <c r="J47" s="8">
        <f t="shared" ref="J47:J51" si="23">F47*C47+G47-H47-I47</f>
      </c>
      <c r="K47" s="9">
        <f t="shared" ref="K47:K52" si="68">J47/E47</f>
      </c>
      <c r="L47" s="8">
        <f t="shared" ref="L47:L50" si="54">J47*8</f>
      </c>
      <c r="M47" s="8">
        <f t="shared" ref="M47:M50" si="42">E47*8</f>
      </c>
      <c r="N47" s="9">
        <f t="shared" ref="N47:N52" si="11">H47/E47</f>
      </c>
      <c r="O47" s="10"/>
      <c r="P47" s="10">
        <f t="shared" ref="P47:P53" si="30">C47-O47</f>
      </c>
      <c r="Q47" s="11">
        <f t="shared" ref="Q47:Q53" si="61">O47/C47</f>
      </c>
      <c r="R47" s="11">
        <f t="shared" ref="R47:R52" si="49">H47/(E47*Q47)</f>
      </c>
    </row>
    <row customHeight="true" ht="23.703703703703702" r="48">
      <c r="A48" s="17"/>
      <c r="B48" s="6" t="s">
        <v>21</v>
      </c>
      <c r="C48" s="6"/>
      <c r="D48" s="16">
        <v>58</v>
      </c>
      <c r="E48" s="8">
        <f t="shared" si="16"/>
      </c>
      <c r="F48" s="8">
        <v>-1.7</v>
      </c>
      <c r="G48" s="8">
        <f t="shared" si="4"/>
      </c>
      <c r="H48" s="8"/>
      <c r="I48" s="8">
        <f t="shared" si="35"/>
      </c>
      <c r="J48" s="8">
        <f t="shared" si="23"/>
      </c>
      <c r="K48" s="9">
        <f t="shared" si="68"/>
      </c>
      <c r="L48" s="8">
        <f t="shared" si="54"/>
      </c>
      <c r="M48" s="8">
        <f t="shared" si="42"/>
      </c>
      <c r="N48" s="9">
        <f t="shared" si="11"/>
      </c>
      <c r="O48" s="10"/>
      <c r="P48" s="10">
        <f t="shared" si="30"/>
      </c>
      <c r="Q48" s="11">
        <f t="shared" si="61"/>
      </c>
      <c r="R48" s="11">
        <f t="shared" si="49"/>
      </c>
    </row>
    <row customHeight="true" ht="23.703703703703702" r="49">
      <c r="A49" s="17"/>
      <c r="B49" s="6" t="s">
        <v>22</v>
      </c>
      <c r="C49" s="6"/>
      <c r="D49" s="16">
        <v>58.8</v>
      </c>
      <c r="E49" s="8">
        <f t="shared" si="16"/>
      </c>
      <c r="F49" s="8">
        <v>10.48</v>
      </c>
      <c r="G49" s="8">
        <f t="shared" si="4"/>
      </c>
      <c r="H49" s="8"/>
      <c r="I49" s="8">
        <f t="shared" si="35"/>
      </c>
      <c r="J49" s="8">
        <f t="shared" si="23"/>
      </c>
      <c r="K49" s="9">
        <f t="shared" si="68"/>
      </c>
      <c r="L49" s="8">
        <f t="shared" si="54"/>
      </c>
      <c r="M49" s="8">
        <f t="shared" si="42"/>
      </c>
      <c r="N49" s="9">
        <f t="shared" si="11"/>
      </c>
      <c r="O49" s="10"/>
      <c r="P49" s="10">
        <f t="shared" si="30"/>
      </c>
      <c r="Q49" s="11">
        <f t="shared" si="61"/>
      </c>
      <c r="R49" s="11">
        <f t="shared" si="49"/>
      </c>
    </row>
    <row customHeight="true" ht="23.703703703703702" r="50">
      <c r="A50" s="17"/>
      <c r="B50" s="6" t="s">
        <v>23</v>
      </c>
      <c r="C50" s="6"/>
      <c r="D50" s="16">
        <v>59.35</v>
      </c>
      <c r="E50" s="8">
        <f t="shared" si="16"/>
      </c>
      <c r="F50" s="8">
        <v>11.3</v>
      </c>
      <c r="G50" s="8">
        <f t="shared" si="4"/>
      </c>
      <c r="H50" s="8"/>
      <c r="I50" s="8">
        <f t="shared" si="35"/>
      </c>
      <c r="J50" s="8">
        <f t="shared" si="23"/>
      </c>
      <c r="K50" s="9">
        <f t="shared" si="68"/>
      </c>
      <c r="L50" s="8">
        <f t="shared" si="54"/>
      </c>
      <c r="M50" s="8">
        <f t="shared" si="42"/>
      </c>
      <c r="N50" s="9">
        <f t="shared" si="11"/>
      </c>
      <c r="O50" s="10"/>
      <c r="P50" s="10">
        <f t="shared" si="30"/>
      </c>
      <c r="Q50" s="11">
        <f t="shared" si="61"/>
      </c>
      <c r="R50" s="11">
        <f t="shared" si="49"/>
      </c>
    </row>
    <row customHeight="true" ht="23.703703703703702" r="51">
      <c r="A51" s="17"/>
      <c r="B51" s="6" t="s">
        <v>24</v>
      </c>
      <c r="C51" s="6"/>
      <c r="D51" s="16">
        <v>55.3</v>
      </c>
      <c r="E51" s="8">
        <f t="shared" si="16"/>
      </c>
      <c r="F51" s="8">
        <v>17.8</v>
      </c>
      <c r="G51" s="8">
        <f t="shared" si="4"/>
      </c>
      <c r="H51" s="8"/>
      <c r="I51" s="8"/>
      <c r="J51" s="8">
        <f t="shared" si="23"/>
      </c>
      <c r="K51" s="9">
        <f t="shared" si="68"/>
      </c>
      <c r="L51" s="8">
        <f>J51*9</f>
      </c>
      <c r="M51" s="8">
        <f>E51*9</f>
      </c>
      <c r="N51" s="9">
        <f t="shared" si="11"/>
      </c>
      <c r="O51" s="10"/>
      <c r="P51" s="10">
        <f t="shared" si="30"/>
      </c>
      <c r="Q51" s="11">
        <f t="shared" si="61"/>
      </c>
      <c r="R51" s="11">
        <f t="shared" si="49"/>
      </c>
    </row>
    <row customHeight="true" ht="23.703703703703702" r="52">
      <c r="A52" s="17"/>
      <c r="B52" s="6" t="s">
        <v>25</v>
      </c>
      <c r="C52" s="6"/>
      <c r="D52" s="16">
        <v>49.99</v>
      </c>
      <c r="E52" s="8">
        <f t="shared" si="16"/>
      </c>
      <c r="F52" s="8">
        <v>6.43</v>
      </c>
      <c r="G52" s="8"/>
      <c r="H52" s="8"/>
      <c r="I52" s="8"/>
      <c r="J52" s="8">
        <f>C52*F52-H52-I52</f>
      </c>
      <c r="K52" s="9">
        <f t="shared" si="68"/>
      </c>
      <c r="L52" s="8">
        <f>J52*7</f>
      </c>
      <c r="M52" s="8">
        <f>E52*7</f>
      </c>
      <c r="N52" s="9">
        <f t="shared" si="11"/>
      </c>
      <c r="O52" s="10"/>
      <c r="P52" s="10">
        <f t="shared" si="30"/>
      </c>
      <c r="Q52" s="11">
        <f t="shared" si="61"/>
      </c>
      <c r="R52" s="11">
        <f t="shared" si="49"/>
      </c>
    </row>
    <row customHeight="true" ht="23.703703703703702" r="53">
      <c r="A53" s="18"/>
      <c r="B53" s="6" t="s">
        <v>26</v>
      </c>
      <c r="C53" s="6">
        <f>SUM(C47:C52)</f>
      </c>
      <c r="D53" s="14"/>
      <c r="E53" s="8"/>
      <c r="F53" s="8"/>
      <c r="G53" s="8"/>
      <c r="H53" s="8"/>
      <c r="I53" s="8"/>
      <c r="J53" s="8"/>
      <c r="K53" s="9">
        <f>L53/M53</f>
      </c>
      <c r="L53" s="8">
        <f>SUM(L47:L52)</f>
      </c>
      <c r="M53" s="8">
        <f>SUM(M47:M52)</f>
      </c>
      <c r="N53" s="9"/>
      <c r="O53" s="10">
        <f>SUM(O47:O52)</f>
      </c>
      <c r="P53" s="10">
        <f t="shared" si="30"/>
      </c>
      <c r="Q53" s="11">
        <f t="shared" si="61"/>
      </c>
      <c r="R53" s="11"/>
    </row>
  </sheetData>
  <mergeCells>
    <mergeCell ref="A2:A8"/>
    <mergeCell ref="A11:A17"/>
    <mergeCell ref="A20:A26"/>
    <mergeCell ref="A29:A35"/>
    <mergeCell ref="A38:A44"/>
    <mergeCell ref="A47:A5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5BD42"/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17" min="17" style="0" width="15.133333333333333"/>
    <col collapsed="false" customWidth="true" hidden="false" max="1" min="1" style="0" width="11.533333333333333"/>
    <col collapsed="false" customWidth="true" hidden="false" max="5" min="5" style="0" width="12.466666666666667"/>
    <col collapsed="false" customWidth="true" hidden="false" max="9" min="9" style="0" width="11.266666666666667"/>
    <col collapsed="false" customWidth="true" hidden="false" max="13" min="13" style="0" width="14.466666666666667"/>
    <col collapsed="false" customWidth="true" hidden="false" max="20" min="20" style="0" width="29.933333333333334"/>
    <col collapsed="false" customWidth="true" hidden="false" max="4" min="4" style="0" width="9"/>
    <col collapsed="false" customWidth="true" hidden="false" max="8" min="8" style="0" width="10.466666666666667"/>
    <col collapsed="false" customWidth="true" hidden="false" max="12" min="12" style="0" width="13.533333333333333"/>
    <col collapsed="false" customWidth="true" hidden="false" max="16" min="16" style="0" width="10.466666666666667"/>
    <col collapsed="false" customWidth="true" hidden="false" max="19" min="19" style="0" width="14.2"/>
    <col collapsed="false" customWidth="true" hidden="false" max="3" min="3" style="0" width="6.066666666666666"/>
    <col collapsed="false" customWidth="true" hidden="false" max="7" min="7" style="0" width="10.466666666666667"/>
    <col collapsed="false" customWidth="true" hidden="false" max="11" min="11" style="0" width="8.2"/>
    <col collapsed="false" customWidth="true" hidden="false" max="15" min="15" style="0" width="10.466666666666667"/>
    <col collapsed="false" customWidth="true" hidden="false" max="18" min="18" style="0" width="9"/>
    <col collapsed="false" customWidth="true" hidden="false" max="2" min="2" style="0" width="6.066666666666666"/>
    <col collapsed="false" customWidth="true" hidden="false" max="6" min="6" style="0" width="9.666666666666666"/>
    <col collapsed="false" customWidth="true" hidden="false" max="10" min="10" style="0" width="11.266666666666667"/>
    <col collapsed="false" customWidth="true" hidden="false" max="14" min="14" style="0" width="10.466666666666667"/>
  </cols>
  <sheetData>
    <row customHeight="true" ht="23.703703703703702" r="1">
      <c r="A1" s="20" t="s">
        <v>27</v>
      </c>
      <c r="B1" s="21" t="s">
        <v>28</v>
      </c>
      <c r="C1" s="21" t="s">
        <v>29</v>
      </c>
      <c r="D1" s="21" t="s">
        <v>30</v>
      </c>
      <c r="E1" s="22" t="s">
        <v>31</v>
      </c>
      <c r="F1" s="23" t="s">
        <v>32</v>
      </c>
      <c r="G1" s="22" t="s">
        <v>33</v>
      </c>
      <c r="H1" s="22" t="s">
        <v>34</v>
      </c>
      <c r="I1" s="22" t="s">
        <v>35</v>
      </c>
      <c r="J1" s="22" t="s">
        <v>32</v>
      </c>
      <c r="K1" s="24" t="s">
        <v>36</v>
      </c>
      <c r="L1" s="22" t="s">
        <v>37</v>
      </c>
      <c r="M1" s="22" t="s">
        <v>38</v>
      </c>
      <c r="N1" s="21" t="s">
        <v>39</v>
      </c>
      <c r="O1" s="25" t="s">
        <v>40</v>
      </c>
      <c r="P1" s="25" t="s">
        <v>41</v>
      </c>
      <c r="Q1" s="24" t="s">
        <v>42</v>
      </c>
      <c r="R1" s="24" t="s">
        <v>43</v>
      </c>
      <c r="S1" s="26" t="s">
        <v>44</v>
      </c>
    </row>
    <row customHeight="true" ht="23.703703703703702" r="2">
      <c r="A2" s="27" t="s">
        <v>45</v>
      </c>
      <c r="B2" s="28" t="s">
        <v>46</v>
      </c>
      <c r="C2" s="28">
        <f t="shared" ref="C2:C7" si="92">SUMIFS($C$10:$C$3498,$B$10:$B$3498,B2,$A$10:$A$3498,"&gt;="&amp;$A$3,$A$10:$A$3498,"&lt;="&amp;$A$5)</f>
      </c>
      <c r="D2" s="29">
        <v>55.85</v>
      </c>
      <c r="E2" s="30">
        <f t="shared" ref="E2:E7" si="82">SUMIFS($E$10:$E$3498,$B$10:$B$3498,B2,$A$10:$A$3498,"&gt;="&amp;$A$3,$A$10:$A$3498,"&lt;="&amp;$A$5)</f>
      </c>
      <c r="F2" s="31"/>
      <c r="G2" s="30">
        <f t="shared" ref="G2:G7" si="64">SUMIFS($G$10:$G$3498,$B$10:$B$3498,B2,$A$10:$A$3498,"&gt;="&amp;$A$3,$A$10:$A$3498,"&lt;="&amp;$A$5)</f>
      </c>
      <c r="H2" s="30">
        <f t="shared" ref="H2:H7" si="46">SUMIFS($H$10:$H$3498,$B$10:$B$3498,B2,$A$10:$A$3498,"&gt;="&amp;$A$3,$A$10:$A$3498,"&lt;="&amp;$A$5)</f>
      </c>
      <c r="I2" s="30">
        <f t="shared" ref="I2:I7" si="28">SUMIFS($I$10:$I$3498,$B$10:$B$3498,B2,$A$10:$A$3498,"&gt;="&amp;$A$3,$A$10:$A$3498,"&lt;="&amp;$A$5)</f>
      </c>
      <c r="J2" s="30">
        <f t="shared" ref="J2:J7" si="18">SUMIFS($J$10:$J$3498,$B$10:$B$3498,B2,$A$10:$A$3498,"&gt;="&amp;$A$3,$A$10:$A$3498,"&lt;="&amp;$A$5)</f>
      </c>
      <c r="K2" s="32">
        <f t="shared" ref="K2:K7" si="9">J2/E2</f>
      </c>
      <c r="L2" s="30">
        <f t="shared" ref="L2:L7" si="0">SUMIFS($L$10:$L$3498,$B$10:$B$3498,B2,$A$10:$A$3498,"&gt;="&amp;$A$3,$A$10:$A$3498,"&lt;="&amp;$A$5)</f>
      </c>
      <c r="M2" s="30">
        <f t="shared" ref="M2:M7" si="93">SUMIFS($M$10:$M$3498,$B$10:$B$3498,B2,$A$10:$A$3498,"&gt;="&amp;$A$3,$A$10:$A$3498,"&lt;="&amp;$A$5)</f>
      </c>
      <c r="N2" s="32">
        <f t="shared" ref="N2:N7" si="83">H2/E2</f>
      </c>
      <c r="O2" s="33">
        <f t="shared" ref="O2:O7" si="65">SUMIFS($O$10:$O$3498,$B$10:$B$3498,B2,$A$10:$A$3498,"&gt;="&amp;$A$3,$A$10:$A$3498,"&lt;="&amp;$A$5)</f>
      </c>
      <c r="P2" s="33">
        <f t="shared" ref="P2:P8" si="47">C2-O2</f>
      </c>
      <c r="Q2" s="34">
        <f t="shared" ref="Q2:Q8" si="29">O2/C2</f>
      </c>
      <c r="R2" s="34">
        <f t="shared" ref="R2:R7" si="19">H2/(E2*Q2)</f>
      </c>
    </row>
    <row customHeight="true" ht="23.703703703703702" r="3">
      <c r="A3" s="35">
        <v>46082</v>
      </c>
      <c r="B3" s="28" t="s">
        <v>47</v>
      </c>
      <c r="C3" s="28">
        <f t="shared" si="92"/>
      </c>
      <c r="D3" s="29">
        <v>58</v>
      </c>
      <c r="E3" s="30">
        <f t="shared" si="82"/>
      </c>
      <c r="F3" s="31"/>
      <c r="G3" s="30">
        <f t="shared" si="64"/>
      </c>
      <c r="H3" s="30">
        <f t="shared" si="46"/>
      </c>
      <c r="I3" s="30">
        <f t="shared" si="28"/>
      </c>
      <c r="J3" s="30">
        <f t="shared" si="18"/>
      </c>
      <c r="K3" s="32">
        <f t="shared" si="9"/>
      </c>
      <c r="L3" s="30">
        <f t="shared" si="0"/>
      </c>
      <c r="M3" s="30">
        <f t="shared" si="93"/>
      </c>
      <c r="N3" s="32">
        <f t="shared" si="83"/>
      </c>
      <c r="O3" s="33">
        <f t="shared" si="65"/>
      </c>
      <c r="P3" s="33">
        <f t="shared" si="47"/>
      </c>
      <c r="Q3" s="34">
        <f t="shared" si="29"/>
      </c>
      <c r="R3" s="34">
        <f t="shared" si="19"/>
      </c>
    </row>
    <row customHeight="true" ht="23.703703703703702" r="4">
      <c r="A4" s="27" t="s">
        <v>48</v>
      </c>
      <c r="B4" s="28" t="s">
        <v>49</v>
      </c>
      <c r="C4" s="28">
        <f t="shared" si="92"/>
      </c>
      <c r="D4" s="29">
        <v>58.8</v>
      </c>
      <c r="E4" s="30">
        <f t="shared" si="82"/>
      </c>
      <c r="F4" s="31"/>
      <c r="G4" s="30">
        <f t="shared" si="64"/>
      </c>
      <c r="H4" s="30">
        <f t="shared" si="46"/>
      </c>
      <c r="I4" s="30">
        <f t="shared" si="28"/>
      </c>
      <c r="J4" s="30">
        <f t="shared" si="18"/>
      </c>
      <c r="K4" s="32">
        <f t="shared" si="9"/>
      </c>
      <c r="L4" s="30">
        <f t="shared" si="0"/>
      </c>
      <c r="M4" s="30">
        <f t="shared" si="93"/>
      </c>
      <c r="N4" s="32">
        <f t="shared" si="83"/>
      </c>
      <c r="O4" s="33">
        <f t="shared" si="65"/>
      </c>
      <c r="P4" s="33">
        <f t="shared" si="47"/>
      </c>
      <c r="Q4" s="34">
        <f t="shared" si="29"/>
      </c>
      <c r="R4" s="34">
        <f t="shared" si="19"/>
      </c>
    </row>
    <row customHeight="true" ht="23.703703703703702" r="5">
      <c r="A5" s="35">
        <v>46112</v>
      </c>
      <c r="B5" s="28" t="s">
        <v>50</v>
      </c>
      <c r="C5" s="28">
        <f t="shared" si="92"/>
      </c>
      <c r="D5" s="29">
        <v>59.35</v>
      </c>
      <c r="E5" s="30">
        <f t="shared" si="82"/>
      </c>
      <c r="F5" s="31"/>
      <c r="G5" s="30">
        <f t="shared" si="64"/>
      </c>
      <c r="H5" s="30">
        <f t="shared" si="46"/>
      </c>
      <c r="I5" s="30">
        <f t="shared" si="28"/>
      </c>
      <c r="J5" s="30">
        <f t="shared" si="18"/>
      </c>
      <c r="K5" s="32">
        <f t="shared" si="9"/>
      </c>
      <c r="L5" s="30">
        <f t="shared" si="0"/>
      </c>
      <c r="M5" s="30">
        <f t="shared" si="93"/>
      </c>
      <c r="N5" s="32">
        <f t="shared" si="83"/>
      </c>
      <c r="O5" s="33">
        <f t="shared" si="65"/>
      </c>
      <c r="P5" s="33">
        <f t="shared" si="47"/>
      </c>
      <c r="Q5" s="34">
        <f t="shared" si="29"/>
      </c>
      <c r="R5" s="34">
        <f t="shared" si="19"/>
      </c>
    </row>
    <row customHeight="true" ht="23.703703703703702" r="6">
      <c r="A6" s="27" t="s">
        <v>51</v>
      </c>
      <c r="B6" s="28" t="s">
        <v>52</v>
      </c>
      <c r="C6" s="28">
        <f t="shared" si="92"/>
      </c>
      <c r="D6" s="29">
        <v>55.3</v>
      </c>
      <c r="E6" s="30">
        <f t="shared" si="82"/>
      </c>
      <c r="F6" s="31"/>
      <c r="G6" s="30">
        <f t="shared" si="64"/>
      </c>
      <c r="H6" s="30">
        <f t="shared" si="46"/>
      </c>
      <c r="I6" s="30">
        <f t="shared" si="28"/>
      </c>
      <c r="J6" s="30">
        <f t="shared" si="18"/>
      </c>
      <c r="K6" s="32">
        <f t="shared" si="9"/>
      </c>
      <c r="L6" s="30">
        <f t="shared" si="0"/>
      </c>
      <c r="M6" s="30">
        <f t="shared" si="93"/>
      </c>
      <c r="N6" s="32">
        <f t="shared" si="83"/>
      </c>
      <c r="O6" s="33">
        <f t="shared" si="65"/>
      </c>
      <c r="P6" s="33">
        <f t="shared" si="47"/>
      </c>
      <c r="Q6" s="34">
        <f t="shared" si="29"/>
      </c>
      <c r="R6" s="34">
        <f t="shared" si="19"/>
      </c>
    </row>
    <row customHeight="true" ht="23.703703703703702" r="7">
      <c r="A7" s="36">
        <f>NOW()</f>
      </c>
      <c r="B7" s="28" t="s">
        <v>53</v>
      </c>
      <c r="C7" s="28">
        <f t="shared" si="92"/>
      </c>
      <c r="D7" s="29">
        <v>49.99</v>
      </c>
      <c r="E7" s="30">
        <f t="shared" si="82"/>
      </c>
      <c r="F7" s="31"/>
      <c r="G7" s="30">
        <f t="shared" si="64"/>
      </c>
      <c r="H7" s="30">
        <f t="shared" si="46"/>
      </c>
      <c r="I7" s="30">
        <f t="shared" si="28"/>
      </c>
      <c r="J7" s="30">
        <f t="shared" si="18"/>
      </c>
      <c r="K7" s="32">
        <f t="shared" si="9"/>
      </c>
      <c r="L7" s="30">
        <f t="shared" si="0"/>
      </c>
      <c r="M7" s="30">
        <f t="shared" si="93"/>
      </c>
      <c r="N7" s="32">
        <f t="shared" si="83"/>
      </c>
      <c r="O7" s="33">
        <f t="shared" si="65"/>
      </c>
      <c r="P7" s="33">
        <f t="shared" si="47"/>
      </c>
      <c r="Q7" s="34">
        <f t="shared" si="29"/>
      </c>
      <c r="R7" s="34">
        <f t="shared" si="19"/>
      </c>
    </row>
    <row customHeight="true" ht="23.703703703703702" r="8">
      <c r="A8" s="37"/>
      <c r="B8" s="28" t="s">
        <v>27</v>
      </c>
      <c r="C8" s="28">
        <f>SUM(C2:C7)</f>
      </c>
      <c r="D8" s="38"/>
      <c r="E8" s="30"/>
      <c r="F8" s="31"/>
      <c r="G8" s="30"/>
      <c r="H8" s="30"/>
      <c r="I8" s="30"/>
      <c r="J8" s="30"/>
      <c r="K8" s="32">
        <f>L8/M8</f>
      </c>
      <c r="L8" s="30">
        <f>SUM(L2:L7)</f>
      </c>
      <c r="M8" s="30">
        <f>SUM(M2:M7)</f>
      </c>
      <c r="N8" s="32"/>
      <c r="O8" s="33">
        <f>SUM(O2:O7)</f>
      </c>
      <c r="P8" s="33">
        <f t="shared" si="47"/>
      </c>
      <c r="Q8" s="34">
        <f t="shared" si="29"/>
      </c>
      <c r="R8" s="34"/>
    </row>
    <row customHeight="true" ht="23.703703703703702" r="9">
      <c r="B9" s="26" t="s">
        <v>54</v>
      </c>
    </row>
    <row customHeight="true" ht="23.703703703703702" r="10">
      <c r="A10" s="20" t="s">
        <v>55</v>
      </c>
      <c r="B10" s="21" t="s">
        <v>28</v>
      </c>
      <c r="C10" s="39" t="s">
        <v>29</v>
      </c>
      <c r="D10" s="21" t="s">
        <v>30</v>
      </c>
      <c r="E10" s="22" t="s">
        <v>31</v>
      </c>
      <c r="F10" s="23" t="s">
        <v>32</v>
      </c>
      <c r="G10" s="22" t="s">
        <v>33</v>
      </c>
      <c r="H10" s="40" t="s">
        <v>34</v>
      </c>
      <c r="I10" s="22" t="s">
        <v>35</v>
      </c>
      <c r="J10" s="22" t="s">
        <v>32</v>
      </c>
      <c r="K10" s="24" t="s">
        <v>36</v>
      </c>
      <c r="L10" s="22" t="s">
        <v>37</v>
      </c>
      <c r="M10" s="22" t="s">
        <v>38</v>
      </c>
      <c r="N10" s="21" t="s">
        <v>39</v>
      </c>
      <c r="O10" s="41" t="s">
        <v>40</v>
      </c>
      <c r="P10" s="25" t="s">
        <v>41</v>
      </c>
      <c r="Q10" s="24" t="s">
        <v>42</v>
      </c>
      <c r="R10" s="24" t="s">
        <v>43</v>
      </c>
      <c r="S10" s="24" t="s">
        <v>56</v>
      </c>
    </row>
    <row customHeight="true" ht="23.703703703703702" r="11">
      <c r="A11" s="42">
        <v>46019</v>
      </c>
      <c r="B11" s="28" t="s">
        <v>46</v>
      </c>
      <c r="C11" s="28"/>
      <c r="D11" s="43">
        <v>55.85</v>
      </c>
      <c r="E11" s="30">
        <v>0</v>
      </c>
      <c r="F11" s="29">
        <v>15.78</v>
      </c>
      <c r="G11" s="30">
        <v>0</v>
      </c>
      <c r="H11" s="30"/>
      <c r="I11" s="30">
        <v>0</v>
      </c>
      <c r="J11" s="30">
        <v>0</v>
      </c>
      <c r="K11" s="32">
        <v>0</v>
      </c>
      <c r="L11" s="30">
        <v>0</v>
      </c>
      <c r="M11" s="30">
        <v>0</v>
      </c>
      <c r="N11" s="32">
        <v>0</v>
      </c>
      <c r="O11" s="44"/>
      <c r="P11" s="44">
        <v>0</v>
      </c>
      <c r="Q11" s="34">
        <v>0</v>
      </c>
      <c r="R11" s="34">
        <v>0</v>
      </c>
      <c r="S11" s="38" t="s">
        <v>57</v>
      </c>
    </row>
    <row customHeight="true" ht="23.703703703703702" r="12">
      <c r="A12" s="42">
        <v>46019</v>
      </c>
      <c r="B12" s="28" t="s">
        <v>47</v>
      </c>
      <c r="C12" s="28"/>
      <c r="D12" s="43">
        <v>58</v>
      </c>
      <c r="E12" s="30">
        <v>0</v>
      </c>
      <c r="F12" s="29">
        <v>15.88</v>
      </c>
      <c r="G12" s="30">
        <v>0</v>
      </c>
      <c r="H12" s="30"/>
      <c r="I12" s="30">
        <v>0</v>
      </c>
      <c r="J12" s="30">
        <v>0</v>
      </c>
      <c r="K12" s="32">
        <v>0</v>
      </c>
      <c r="L12" s="30">
        <v>0</v>
      </c>
      <c r="M12" s="30">
        <v>0</v>
      </c>
      <c r="N12" s="32">
        <v>0</v>
      </c>
      <c r="O12" s="44"/>
      <c r="P12" s="44">
        <v>0</v>
      </c>
      <c r="Q12" s="34">
        <v>0</v>
      </c>
      <c r="R12" s="34">
        <v>0</v>
      </c>
      <c r="S12" s="38" t="s">
        <v>57</v>
      </c>
    </row>
    <row customHeight="true" ht="23.703703703703702" r="13">
      <c r="A13" s="42">
        <v>46019</v>
      </c>
      <c r="B13" s="28" t="s">
        <v>49</v>
      </c>
      <c r="C13" s="28">
        <v>1</v>
      </c>
      <c r="D13" s="43">
        <v>58.8</v>
      </c>
      <c r="E13" s="30">
        <v>58.8</v>
      </c>
      <c r="F13" s="29">
        <v>16.27</v>
      </c>
      <c r="G13" s="30">
        <v>8</v>
      </c>
      <c r="H13" s="30"/>
      <c r="I13" s="30">
        <v>1.47</v>
      </c>
      <c r="J13" s="30">
        <v>22.8</v>
      </c>
      <c r="K13" s="32">
        <v>0.387755102040816</v>
      </c>
      <c r="L13" s="30">
        <v>182.4</v>
      </c>
      <c r="M13" s="30">
        <v>470.4</v>
      </c>
      <c r="N13" s="32">
        <v>0</v>
      </c>
      <c r="O13" s="44"/>
      <c r="P13" s="44">
        <v>1</v>
      </c>
      <c r="Q13" s="34">
        <v>0</v>
      </c>
      <c r="R13" s="34">
        <v>0</v>
      </c>
      <c r="S13" s="38" t="s">
        <v>57</v>
      </c>
    </row>
    <row customHeight="true" ht="23.703703703703702" r="14">
      <c r="A14" s="42">
        <v>46019</v>
      </c>
      <c r="B14" s="28" t="s">
        <v>50</v>
      </c>
      <c r="C14" s="28"/>
      <c r="D14" s="43">
        <v>59.35</v>
      </c>
      <c r="E14" s="30">
        <v>0</v>
      </c>
      <c r="F14" s="29">
        <v>15.72</v>
      </c>
      <c r="G14" s="30">
        <v>0</v>
      </c>
      <c r="H14" s="30"/>
      <c r="I14" s="30">
        <v>0</v>
      </c>
      <c r="J14" s="30">
        <v>0</v>
      </c>
      <c r="K14" s="32">
        <v>0</v>
      </c>
      <c r="L14" s="30">
        <v>0</v>
      </c>
      <c r="M14" s="30">
        <v>0</v>
      </c>
      <c r="N14" s="32">
        <v>0</v>
      </c>
      <c r="O14" s="44"/>
      <c r="P14" s="44">
        <v>0</v>
      </c>
      <c r="Q14" s="34">
        <v>0</v>
      </c>
      <c r="R14" s="34">
        <v>0</v>
      </c>
      <c r="S14" s="38" t="s">
        <v>57</v>
      </c>
    </row>
    <row customHeight="true" ht="23.703703703703702" r="15">
      <c r="A15" s="42">
        <v>46019</v>
      </c>
      <c r="B15" s="28" t="s">
        <v>52</v>
      </c>
      <c r="C15" s="28">
        <v>1</v>
      </c>
      <c r="D15" s="43">
        <v>52.3</v>
      </c>
      <c r="E15" s="30">
        <v>52.3</v>
      </c>
      <c r="F15" s="29">
        <v>14.72</v>
      </c>
      <c r="G15" s="30">
        <v>8</v>
      </c>
      <c r="H15" s="30">
        <v>14.18</v>
      </c>
      <c r="I15" s="30">
        <v>1.3075</v>
      </c>
      <c r="J15" s="30">
        <v>7.2325</v>
      </c>
      <c r="K15" s="32">
        <v>0.138288718929254</v>
      </c>
      <c r="L15" s="30">
        <v>65.0925</v>
      </c>
      <c r="M15" s="30">
        <v>470.7</v>
      </c>
      <c r="N15" s="32">
        <v>0.27112810707457</v>
      </c>
      <c r="O15" s="44">
        <v>0</v>
      </c>
      <c r="P15" s="44">
        <v>1</v>
      </c>
      <c r="Q15" s="34">
        <v>0</v>
      </c>
      <c r="R15" s="34">
        <v>0</v>
      </c>
      <c r="S15" s="38" t="s">
        <v>57</v>
      </c>
    </row>
    <row customHeight="true" ht="23.703703703703702" r="16">
      <c r="A16" s="42">
        <v>46019</v>
      </c>
      <c r="B16" s="28" t="s">
        <v>27</v>
      </c>
      <c r="C16" s="28">
        <v>2</v>
      </c>
      <c r="D16" s="38"/>
      <c r="E16" s="30">
        <v>111.1</v>
      </c>
      <c r="F16" s="31">
        <v>78.37</v>
      </c>
      <c r="G16" s="30"/>
      <c r="H16" s="30"/>
      <c r="I16" s="30"/>
      <c r="J16" s="30">
        <v>30.0325</v>
      </c>
      <c r="K16" s="32">
        <v>0.270319531953195</v>
      </c>
      <c r="L16" s="30">
        <v>247.4925</v>
      </c>
      <c r="M16" s="30">
        <v>941.1</v>
      </c>
      <c r="N16" s="32"/>
      <c r="O16" s="44">
        <v>0</v>
      </c>
      <c r="P16" s="44">
        <v>2</v>
      </c>
      <c r="Q16" s="34">
        <v>0</v>
      </c>
      <c r="R16" s="34"/>
      <c r="S16" s="38"/>
    </row>
    <row customHeight="true" ht="23.703703703703702" r="17">
      <c r="B17" s="26" t="s">
        <v>54</v>
      </c>
    </row>
    <row customHeight="true" ht="23.703703703703702" r="18">
      <c r="A18" s="20" t="s">
        <v>55</v>
      </c>
      <c r="B18" s="21" t="s">
        <v>28</v>
      </c>
      <c r="C18" s="39" t="s">
        <v>29</v>
      </c>
      <c r="D18" s="21" t="s">
        <v>30</v>
      </c>
      <c r="E18" s="22" t="s">
        <v>31</v>
      </c>
      <c r="F18" s="23" t="s">
        <v>32</v>
      </c>
      <c r="G18" s="22" t="s">
        <v>33</v>
      </c>
      <c r="H18" s="40" t="s">
        <v>34</v>
      </c>
      <c r="I18" s="22" t="s">
        <v>35</v>
      </c>
      <c r="J18" s="22" t="s">
        <v>32</v>
      </c>
      <c r="K18" s="24" t="s">
        <v>36</v>
      </c>
      <c r="L18" s="22" t="s">
        <v>37</v>
      </c>
      <c r="M18" s="22" t="s">
        <v>38</v>
      </c>
      <c r="N18" s="21" t="s">
        <v>39</v>
      </c>
      <c r="O18" s="41" t="s">
        <v>40</v>
      </c>
      <c r="P18" s="25" t="s">
        <v>41</v>
      </c>
      <c r="Q18" s="24" t="s">
        <v>42</v>
      </c>
      <c r="R18" s="24" t="s">
        <v>43</v>
      </c>
      <c r="S18" s="24" t="s">
        <v>56</v>
      </c>
    </row>
    <row customHeight="true" ht="23.703703703703702" r="19">
      <c r="A19" s="42">
        <v>46020</v>
      </c>
      <c r="B19" s="28" t="s">
        <v>46</v>
      </c>
      <c r="C19" s="28"/>
      <c r="D19" s="43">
        <v>55.85</v>
      </c>
      <c r="E19" s="30">
        <v>0</v>
      </c>
      <c r="F19" s="29">
        <v>15.78</v>
      </c>
      <c r="G19" s="30">
        <v>0</v>
      </c>
      <c r="H19" s="30"/>
      <c r="I19" s="30">
        <v>0</v>
      </c>
      <c r="J19" s="30">
        <v>0</v>
      </c>
      <c r="K19" s="32">
        <v>0</v>
      </c>
      <c r="L19" s="30">
        <v>0</v>
      </c>
      <c r="M19" s="30">
        <v>0</v>
      </c>
      <c r="N19" s="32">
        <v>0</v>
      </c>
      <c r="O19" s="44"/>
      <c r="P19" s="44">
        <v>0</v>
      </c>
      <c r="Q19" s="34">
        <v>0</v>
      </c>
      <c r="R19" s="34">
        <v>0</v>
      </c>
      <c r="S19" s="38" t="s">
        <v>57</v>
      </c>
    </row>
    <row customHeight="true" ht="23.703703703703702" r="20">
      <c r="A20" s="42">
        <v>46020</v>
      </c>
      <c r="B20" s="28" t="s">
        <v>47</v>
      </c>
      <c r="C20" s="28"/>
      <c r="D20" s="43">
        <v>58</v>
      </c>
      <c r="E20" s="30">
        <v>0</v>
      </c>
      <c r="F20" s="29">
        <v>15.88</v>
      </c>
      <c r="G20" s="30">
        <v>0</v>
      </c>
      <c r="H20" s="30"/>
      <c r="I20" s="30">
        <v>0</v>
      </c>
      <c r="J20" s="30">
        <v>0</v>
      </c>
      <c r="K20" s="32">
        <v>0</v>
      </c>
      <c r="L20" s="30">
        <v>0</v>
      </c>
      <c r="M20" s="30">
        <v>0</v>
      </c>
      <c r="N20" s="32">
        <v>0</v>
      </c>
      <c r="O20" s="44"/>
      <c r="P20" s="44">
        <v>0</v>
      </c>
      <c r="Q20" s="34">
        <v>0</v>
      </c>
      <c r="R20" s="34">
        <v>0</v>
      </c>
      <c r="S20" s="38" t="s">
        <v>57</v>
      </c>
    </row>
    <row customHeight="true" ht="23.703703703703702" r="21">
      <c r="A21" s="42">
        <v>46020</v>
      </c>
      <c r="B21" s="28" t="s">
        <v>49</v>
      </c>
      <c r="C21" s="28"/>
      <c r="D21" s="43">
        <v>58.8</v>
      </c>
      <c r="E21" s="30">
        <v>0</v>
      </c>
      <c r="F21" s="29">
        <v>16.27</v>
      </c>
      <c r="G21" s="30">
        <v>0</v>
      </c>
      <c r="H21" s="30"/>
      <c r="I21" s="30">
        <v>0</v>
      </c>
      <c r="J21" s="30">
        <v>0</v>
      </c>
      <c r="K21" s="32">
        <v>0</v>
      </c>
      <c r="L21" s="30">
        <v>0</v>
      </c>
      <c r="M21" s="30">
        <v>0</v>
      </c>
      <c r="N21" s="32">
        <v>0</v>
      </c>
      <c r="O21" s="44"/>
      <c r="P21" s="44">
        <v>0</v>
      </c>
      <c r="Q21" s="34">
        <v>0</v>
      </c>
      <c r="R21" s="34">
        <v>0</v>
      </c>
      <c r="S21" s="38" t="s">
        <v>57</v>
      </c>
    </row>
    <row customHeight="true" ht="23.703703703703702" r="22">
      <c r="A22" s="42">
        <v>46020</v>
      </c>
      <c r="B22" s="28" t="s">
        <v>50</v>
      </c>
      <c r="C22" s="28"/>
      <c r="D22" s="43">
        <v>59.35</v>
      </c>
      <c r="E22" s="30">
        <v>0</v>
      </c>
      <c r="F22" s="29">
        <v>15.72</v>
      </c>
      <c r="G22" s="30">
        <v>0</v>
      </c>
      <c r="H22" s="30"/>
      <c r="I22" s="30">
        <v>0</v>
      </c>
      <c r="J22" s="30">
        <v>0</v>
      </c>
      <c r="K22" s="32">
        <v>0</v>
      </c>
      <c r="L22" s="30">
        <v>0</v>
      </c>
      <c r="M22" s="30">
        <v>0</v>
      </c>
      <c r="N22" s="32">
        <v>0</v>
      </c>
      <c r="O22" s="44"/>
      <c r="P22" s="44">
        <v>0</v>
      </c>
      <c r="Q22" s="34">
        <v>0</v>
      </c>
      <c r="R22" s="34">
        <v>0</v>
      </c>
      <c r="S22" s="38" t="s">
        <v>57</v>
      </c>
    </row>
    <row customHeight="true" ht="23.703703703703702" r="23">
      <c r="A23" s="42">
        <v>46020</v>
      </c>
      <c r="B23" s="28" t="s">
        <v>52</v>
      </c>
      <c r="C23" s="28">
        <v>3</v>
      </c>
      <c r="D23" s="43">
        <v>52.3</v>
      </c>
      <c r="E23" s="30">
        <v>156.9</v>
      </c>
      <c r="F23" s="29">
        <v>5.6</v>
      </c>
      <c r="G23" s="30">
        <v>24</v>
      </c>
      <c r="H23" s="30">
        <v>15.72</v>
      </c>
      <c r="I23" s="30">
        <v>3.9225</v>
      </c>
      <c r="J23" s="30">
        <v>21.1575</v>
      </c>
      <c r="K23" s="32">
        <v>0.134847036328872</v>
      </c>
      <c r="L23" s="30">
        <v>190.4175</v>
      </c>
      <c r="M23" s="30">
        <v>1412.1</v>
      </c>
      <c r="N23" s="32">
        <v>0.10019120458891</v>
      </c>
      <c r="O23" s="44">
        <v>0</v>
      </c>
      <c r="P23" s="44">
        <v>3</v>
      </c>
      <c r="Q23" s="34">
        <v>0</v>
      </c>
      <c r="R23" s="34">
        <v>0</v>
      </c>
      <c r="S23" s="45" t="s">
        <v>58</v>
      </c>
    </row>
    <row customHeight="true" ht="23.703703703703702" r="24">
      <c r="A24" s="42">
        <v>46020</v>
      </c>
      <c r="B24" s="28" t="s">
        <v>27</v>
      </c>
      <c r="C24" s="28">
        <v>3</v>
      </c>
      <c r="D24" s="38"/>
      <c r="E24" s="30">
        <v>156.9</v>
      </c>
      <c r="F24" s="31">
        <v>69.25</v>
      </c>
      <c r="G24" s="30"/>
      <c r="H24" s="30"/>
      <c r="I24" s="30"/>
      <c r="J24" s="30">
        <v>21.1575</v>
      </c>
      <c r="K24" s="32">
        <v>0.134847036328872</v>
      </c>
      <c r="L24" s="30">
        <v>190.4175</v>
      </c>
      <c r="M24" s="30">
        <v>1412.1</v>
      </c>
      <c r="N24" s="32"/>
      <c r="O24" s="44">
        <v>0</v>
      </c>
      <c r="P24" s="44">
        <v>3</v>
      </c>
      <c r="Q24" s="34">
        <v>0</v>
      </c>
      <c r="R24" s="34"/>
      <c r="S24" s="38"/>
    </row>
    <row customHeight="true" ht="23.703703703703702" r="25">
      <c r="B25" s="26" t="s">
        <v>54</v>
      </c>
    </row>
    <row customHeight="true" ht="23.703703703703702" r="26">
      <c r="A26" s="20" t="s">
        <v>55</v>
      </c>
      <c r="B26" s="21" t="s">
        <v>28</v>
      </c>
      <c r="C26" s="39" t="s">
        <v>29</v>
      </c>
      <c r="D26" s="21" t="s">
        <v>30</v>
      </c>
      <c r="E26" s="22" t="s">
        <v>31</v>
      </c>
      <c r="F26" s="23" t="s">
        <v>32</v>
      </c>
      <c r="G26" s="22" t="s">
        <v>33</v>
      </c>
      <c r="H26" s="40" t="s">
        <v>34</v>
      </c>
      <c r="I26" s="22" t="s">
        <v>35</v>
      </c>
      <c r="J26" s="22" t="s">
        <v>32</v>
      </c>
      <c r="K26" s="24" t="s">
        <v>36</v>
      </c>
      <c r="L26" s="22" t="s">
        <v>37</v>
      </c>
      <c r="M26" s="22" t="s">
        <v>38</v>
      </c>
      <c r="N26" s="21" t="s">
        <v>39</v>
      </c>
      <c r="O26" s="41" t="s">
        <v>40</v>
      </c>
      <c r="P26" s="25" t="s">
        <v>41</v>
      </c>
      <c r="Q26" s="24" t="s">
        <v>42</v>
      </c>
      <c r="R26" s="24" t="s">
        <v>43</v>
      </c>
      <c r="S26" s="24" t="s">
        <v>56</v>
      </c>
    </row>
    <row customHeight="true" ht="23.703703703703702" r="27">
      <c r="A27" s="42">
        <v>46021</v>
      </c>
      <c r="B27" s="28" t="s">
        <v>46</v>
      </c>
      <c r="C27" s="28">
        <v>2</v>
      </c>
      <c r="D27" s="43">
        <v>55.85</v>
      </c>
      <c r="E27" s="30">
        <v>111.7</v>
      </c>
      <c r="F27" s="29">
        <v>15.78</v>
      </c>
      <c r="G27" s="30">
        <v>16</v>
      </c>
      <c r="H27" s="30"/>
      <c r="I27" s="30">
        <v>2.7925</v>
      </c>
      <c r="J27" s="30">
        <v>44.7675</v>
      </c>
      <c r="K27" s="32">
        <v>0.400783348254252</v>
      </c>
      <c r="L27" s="30">
        <v>358.14</v>
      </c>
      <c r="M27" s="30">
        <v>893.6</v>
      </c>
      <c r="N27" s="32">
        <v>0</v>
      </c>
      <c r="O27" s="44"/>
      <c r="P27" s="44">
        <v>2</v>
      </c>
      <c r="Q27" s="34">
        <v>0</v>
      </c>
      <c r="R27" s="34">
        <v>0</v>
      </c>
      <c r="S27" s="38" t="s">
        <v>57</v>
      </c>
    </row>
    <row customHeight="true" ht="23.703703703703702" r="28">
      <c r="A28" s="42">
        <v>46021</v>
      </c>
      <c r="B28" s="28" t="s">
        <v>47</v>
      </c>
      <c r="C28" s="28"/>
      <c r="D28" s="43">
        <v>58</v>
      </c>
      <c r="E28" s="30">
        <v>0</v>
      </c>
      <c r="F28" s="29">
        <v>15.88</v>
      </c>
      <c r="G28" s="30">
        <v>0</v>
      </c>
      <c r="H28" s="30"/>
      <c r="I28" s="30">
        <v>0</v>
      </c>
      <c r="J28" s="30">
        <v>0</v>
      </c>
      <c r="K28" s="32">
        <v>0</v>
      </c>
      <c r="L28" s="30">
        <v>0</v>
      </c>
      <c r="M28" s="30">
        <v>0</v>
      </c>
      <c r="N28" s="32">
        <v>0</v>
      </c>
      <c r="O28" s="44"/>
      <c r="P28" s="44">
        <v>0</v>
      </c>
      <c r="Q28" s="34">
        <v>0</v>
      </c>
      <c r="R28" s="34">
        <v>0</v>
      </c>
      <c r="S28" s="38" t="s">
        <v>57</v>
      </c>
    </row>
    <row customHeight="true" ht="23.703703703703702" r="29">
      <c r="A29" s="42">
        <v>46021</v>
      </c>
      <c r="B29" s="28" t="s">
        <v>49</v>
      </c>
      <c r="C29" s="28"/>
      <c r="D29" s="43">
        <v>58.8</v>
      </c>
      <c r="E29" s="30">
        <v>0</v>
      </c>
      <c r="F29" s="29">
        <v>16.27</v>
      </c>
      <c r="G29" s="30">
        <v>0</v>
      </c>
      <c r="H29" s="30"/>
      <c r="I29" s="30">
        <v>0</v>
      </c>
      <c r="J29" s="30">
        <v>0</v>
      </c>
      <c r="K29" s="32">
        <v>0</v>
      </c>
      <c r="L29" s="30">
        <v>0</v>
      </c>
      <c r="M29" s="30">
        <v>0</v>
      </c>
      <c r="N29" s="32">
        <v>0</v>
      </c>
      <c r="O29" s="44"/>
      <c r="P29" s="44">
        <v>0</v>
      </c>
      <c r="Q29" s="34">
        <v>0</v>
      </c>
      <c r="R29" s="34">
        <v>0</v>
      </c>
      <c r="S29" s="38" t="s">
        <v>57</v>
      </c>
    </row>
    <row customHeight="true" ht="23.703703703703702" r="30">
      <c r="A30" s="42">
        <v>46021</v>
      </c>
      <c r="B30" s="28" t="s">
        <v>50</v>
      </c>
      <c r="C30" s="28"/>
      <c r="D30" s="43">
        <v>59.35</v>
      </c>
      <c r="E30" s="30">
        <v>0</v>
      </c>
      <c r="F30" s="29">
        <v>15.72</v>
      </c>
      <c r="G30" s="30">
        <v>0</v>
      </c>
      <c r="H30" s="30"/>
      <c r="I30" s="30">
        <v>0</v>
      </c>
      <c r="J30" s="30">
        <v>0</v>
      </c>
      <c r="K30" s="32">
        <v>0</v>
      </c>
      <c r="L30" s="30">
        <v>0</v>
      </c>
      <c r="M30" s="30">
        <v>0</v>
      </c>
      <c r="N30" s="32">
        <v>0</v>
      </c>
      <c r="O30" s="44"/>
      <c r="P30" s="44">
        <v>0</v>
      </c>
      <c r="Q30" s="34">
        <v>0</v>
      </c>
      <c r="R30" s="34">
        <v>0</v>
      </c>
      <c r="S30" s="38" t="s">
        <v>57</v>
      </c>
    </row>
    <row customHeight="true" ht="23.703703703703702" r="31">
      <c r="A31" s="42">
        <v>46021</v>
      </c>
      <c r="B31" s="28" t="s">
        <v>52</v>
      </c>
      <c r="C31" s="28">
        <v>3</v>
      </c>
      <c r="D31" s="43">
        <v>52.3</v>
      </c>
      <c r="E31" s="30">
        <v>156.9</v>
      </c>
      <c r="F31" s="29">
        <v>5.6</v>
      </c>
      <c r="G31" s="30">
        <v>24</v>
      </c>
      <c r="H31" s="30">
        <v>10.36</v>
      </c>
      <c r="I31" s="30">
        <v>3.9225</v>
      </c>
      <c r="J31" s="30">
        <v>26.5175</v>
      </c>
      <c r="K31" s="32">
        <v>0.169008922880816</v>
      </c>
      <c r="L31" s="30">
        <v>238.6575</v>
      </c>
      <c r="M31" s="30">
        <v>1412.1</v>
      </c>
      <c r="N31" s="32">
        <v>0.0660293180369662</v>
      </c>
      <c r="O31" s="44">
        <v>2</v>
      </c>
      <c r="P31" s="44">
        <v>1</v>
      </c>
      <c r="Q31" s="34">
        <v>0.666666666666667</v>
      </c>
      <c r="R31" s="34">
        <v>0.0990439770554493</v>
      </c>
      <c r="S31" s="45" t="s">
        <v>58</v>
      </c>
    </row>
    <row customHeight="true" ht="23.703703703703702" r="32">
      <c r="A32" s="42">
        <v>46021</v>
      </c>
      <c r="B32" s="28" t="s">
        <v>27</v>
      </c>
      <c r="C32" s="28">
        <v>5</v>
      </c>
      <c r="D32" s="38"/>
      <c r="E32" s="30">
        <v>268.6</v>
      </c>
      <c r="F32" s="31">
        <v>69.25</v>
      </c>
      <c r="G32" s="30"/>
      <c r="H32" s="30"/>
      <c r="I32" s="30"/>
      <c r="J32" s="30">
        <v>71.285</v>
      </c>
      <c r="K32" s="32">
        <v>0.265394638868206</v>
      </c>
      <c r="L32" s="30">
        <v>596.7975</v>
      </c>
      <c r="M32" s="30">
        <v>2305.7</v>
      </c>
      <c r="N32" s="32"/>
      <c r="O32" s="44">
        <v>2</v>
      </c>
      <c r="P32" s="44">
        <v>3</v>
      </c>
      <c r="Q32" s="34">
        <v>0.4</v>
      </c>
      <c r="R32" s="34"/>
      <c r="S32" s="38"/>
    </row>
    <row customHeight="true" ht="23.703703703703702" r="33">
      <c r="B33" s="26" t="s">
        <v>54</v>
      </c>
    </row>
    <row customHeight="true" ht="23.703703703703702" r="34">
      <c r="A34" s="20" t="s">
        <v>55</v>
      </c>
      <c r="B34" s="21" t="s">
        <v>28</v>
      </c>
      <c r="C34" s="39" t="s">
        <v>29</v>
      </c>
      <c r="D34" s="21" t="s">
        <v>30</v>
      </c>
      <c r="E34" s="22" t="s">
        <v>31</v>
      </c>
      <c r="F34" s="23" t="s">
        <v>32</v>
      </c>
      <c r="G34" s="22" t="s">
        <v>33</v>
      </c>
      <c r="H34" s="40" t="s">
        <v>34</v>
      </c>
      <c r="I34" s="22" t="s">
        <v>35</v>
      </c>
      <c r="J34" s="22" t="s">
        <v>32</v>
      </c>
      <c r="K34" s="24" t="s">
        <v>36</v>
      </c>
      <c r="L34" s="22" t="s">
        <v>37</v>
      </c>
      <c r="M34" s="22" t="s">
        <v>38</v>
      </c>
      <c r="N34" s="21" t="s">
        <v>39</v>
      </c>
      <c r="O34" s="41" t="s">
        <v>40</v>
      </c>
      <c r="P34" s="25" t="s">
        <v>41</v>
      </c>
      <c r="Q34" s="24" t="s">
        <v>42</v>
      </c>
      <c r="R34" s="24" t="s">
        <v>43</v>
      </c>
      <c r="S34" s="24" t="s">
        <v>56</v>
      </c>
    </row>
    <row customHeight="true" ht="23.703703703703702" r="35">
      <c r="A35" s="42">
        <v>46022</v>
      </c>
      <c r="B35" s="28" t="s">
        <v>46</v>
      </c>
      <c r="C35" s="28"/>
      <c r="D35" s="43">
        <v>55.85</v>
      </c>
      <c r="E35" s="30">
        <v>0</v>
      </c>
      <c r="F35" s="29">
        <v>15.78</v>
      </c>
      <c r="G35" s="30">
        <v>0</v>
      </c>
      <c r="H35" s="30">
        <v>0</v>
      </c>
      <c r="I35" s="30">
        <v>0</v>
      </c>
      <c r="J35" s="30">
        <v>0</v>
      </c>
      <c r="K35" s="32">
        <v>0</v>
      </c>
      <c r="L35" s="30">
        <v>0</v>
      </c>
      <c r="M35" s="30">
        <v>0</v>
      </c>
      <c r="N35" s="32">
        <v>0</v>
      </c>
      <c r="O35" s="44">
        <v>0</v>
      </c>
      <c r="P35" s="44">
        <v>0</v>
      </c>
      <c r="Q35" s="34">
        <v>0</v>
      </c>
      <c r="R35" s="34">
        <v>0</v>
      </c>
      <c r="S35" s="38" t="s">
        <v>57</v>
      </c>
    </row>
    <row customHeight="true" ht="23.703703703703702" r="36">
      <c r="A36" s="42">
        <v>46022</v>
      </c>
      <c r="B36" s="28" t="s">
        <v>47</v>
      </c>
      <c r="C36" s="28"/>
      <c r="D36" s="43">
        <v>58</v>
      </c>
      <c r="E36" s="30">
        <v>0</v>
      </c>
      <c r="F36" s="29">
        <v>15.88</v>
      </c>
      <c r="G36" s="30">
        <v>0</v>
      </c>
      <c r="H36" s="30"/>
      <c r="I36" s="30">
        <v>0</v>
      </c>
      <c r="J36" s="30">
        <v>0</v>
      </c>
      <c r="K36" s="32">
        <v>0</v>
      </c>
      <c r="L36" s="30">
        <v>0</v>
      </c>
      <c r="M36" s="30">
        <v>0</v>
      </c>
      <c r="N36" s="32">
        <v>0</v>
      </c>
      <c r="O36" s="44"/>
      <c r="P36" s="44">
        <v>0</v>
      </c>
      <c r="Q36" s="34">
        <v>0</v>
      </c>
      <c r="R36" s="34">
        <v>0</v>
      </c>
      <c r="S36" s="38" t="s">
        <v>57</v>
      </c>
    </row>
    <row customHeight="true" ht="23.703703703703702" r="37">
      <c r="A37" s="42">
        <v>46022</v>
      </c>
      <c r="B37" s="28" t="s">
        <v>49</v>
      </c>
      <c r="C37" s="28">
        <v>1</v>
      </c>
      <c r="D37" s="43">
        <v>58.8</v>
      </c>
      <c r="E37" s="30">
        <v>58.8</v>
      </c>
      <c r="F37" s="29">
        <v>16.27</v>
      </c>
      <c r="G37" s="30">
        <v>8</v>
      </c>
      <c r="H37" s="30"/>
      <c r="I37" s="30">
        <v>1.47</v>
      </c>
      <c r="J37" s="30">
        <v>22.8</v>
      </c>
      <c r="K37" s="32">
        <v>0.387755102040816</v>
      </c>
      <c r="L37" s="30">
        <v>182.4</v>
      </c>
      <c r="M37" s="30">
        <v>470.4</v>
      </c>
      <c r="N37" s="32">
        <v>0</v>
      </c>
      <c r="O37" s="44"/>
      <c r="P37" s="44">
        <v>1</v>
      </c>
      <c r="Q37" s="34">
        <v>0</v>
      </c>
      <c r="R37" s="34">
        <v>0</v>
      </c>
      <c r="S37" s="38" t="s">
        <v>57</v>
      </c>
    </row>
    <row customHeight="true" ht="23.703703703703702" r="38">
      <c r="A38" s="42">
        <v>46022</v>
      </c>
      <c r="B38" s="28" t="s">
        <v>50</v>
      </c>
      <c r="C38" s="28">
        <v>1</v>
      </c>
      <c r="D38" s="43">
        <v>59.35</v>
      </c>
      <c r="E38" s="30">
        <v>59.35</v>
      </c>
      <c r="F38" s="29">
        <v>15.72</v>
      </c>
      <c r="G38" s="30">
        <v>8</v>
      </c>
      <c r="H38" s="30">
        <v>0.27</v>
      </c>
      <c r="I38" s="30">
        <v>1.48375</v>
      </c>
      <c r="J38" s="30">
        <v>21.96625</v>
      </c>
      <c r="K38" s="32">
        <v>0.370113732097725</v>
      </c>
      <c r="L38" s="30">
        <v>175.73</v>
      </c>
      <c r="M38" s="30">
        <v>474.8</v>
      </c>
      <c r="N38" s="32">
        <v>0.00454928390901432</v>
      </c>
      <c r="O38" s="44">
        <v>0</v>
      </c>
      <c r="P38" s="44">
        <v>1</v>
      </c>
      <c r="Q38" s="34">
        <v>0</v>
      </c>
      <c r="R38" s="34">
        <v>0</v>
      </c>
      <c r="S38" s="38" t="s">
        <v>57</v>
      </c>
    </row>
    <row customHeight="true" ht="23.703703703703702" r="39">
      <c r="A39" s="42">
        <v>46022</v>
      </c>
      <c r="B39" s="28" t="s">
        <v>52</v>
      </c>
      <c r="C39" s="28">
        <v>1</v>
      </c>
      <c r="D39" s="43">
        <v>52.3</v>
      </c>
      <c r="E39" s="30">
        <v>52.3</v>
      </c>
      <c r="F39" s="29">
        <v>14.72</v>
      </c>
      <c r="G39" s="30">
        <v>8</v>
      </c>
      <c r="H39" s="30">
        <v>12.88</v>
      </c>
      <c r="I39" s="30">
        <v>1.3075</v>
      </c>
      <c r="J39" s="30">
        <v>8.5325</v>
      </c>
      <c r="K39" s="32">
        <v>0.163145315487572</v>
      </c>
      <c r="L39" s="30">
        <v>76.7925</v>
      </c>
      <c r="M39" s="30">
        <v>470.7</v>
      </c>
      <c r="N39" s="32">
        <v>0.246271510516252</v>
      </c>
      <c r="O39" s="44">
        <v>0</v>
      </c>
      <c r="P39" s="44">
        <v>1</v>
      </c>
      <c r="Q39" s="34">
        <v>0</v>
      </c>
      <c r="R39" s="34">
        <v>0</v>
      </c>
      <c r="S39" s="38" t="s">
        <v>57</v>
      </c>
    </row>
    <row customHeight="true" ht="23.703703703703702" r="40">
      <c r="A40" s="42">
        <v>46022</v>
      </c>
      <c r="B40" s="28" t="s">
        <v>27</v>
      </c>
      <c r="C40" s="28">
        <v>3</v>
      </c>
      <c r="D40" s="38"/>
      <c r="E40" s="30">
        <v>170.45</v>
      </c>
      <c r="F40" s="31">
        <v>78.37</v>
      </c>
      <c r="G40" s="30"/>
      <c r="H40" s="30"/>
      <c r="I40" s="30"/>
      <c r="J40" s="30">
        <v>53.29875</v>
      </c>
      <c r="K40" s="32">
        <v>0.312694338515694</v>
      </c>
      <c r="L40" s="30">
        <v>434.9225</v>
      </c>
      <c r="M40" s="30">
        <v>1415.9</v>
      </c>
      <c r="N40" s="32"/>
      <c r="O40" s="44">
        <v>0</v>
      </c>
      <c r="P40" s="44">
        <v>3</v>
      </c>
      <c r="Q40" s="34">
        <v>0</v>
      </c>
      <c r="R40" s="34"/>
      <c r="S40" s="38"/>
    </row>
    <row customHeight="true" ht="23.703703703703702" r="41">
      <c r="B41" s="26" t="s">
        <v>54</v>
      </c>
    </row>
    <row customHeight="true" ht="23.703703703703702" r="42">
      <c r="A42" s="20" t="s">
        <v>55</v>
      </c>
      <c r="B42" s="21" t="s">
        <v>28</v>
      </c>
      <c r="C42" s="39" t="s">
        <v>29</v>
      </c>
      <c r="D42" s="21" t="s">
        <v>30</v>
      </c>
      <c r="E42" s="22" t="s">
        <v>31</v>
      </c>
      <c r="F42" s="23" t="s">
        <v>32</v>
      </c>
      <c r="G42" s="22" t="s">
        <v>33</v>
      </c>
      <c r="H42" s="40" t="s">
        <v>34</v>
      </c>
      <c r="I42" s="22" t="s">
        <v>35</v>
      </c>
      <c r="J42" s="22" t="s">
        <v>32</v>
      </c>
      <c r="K42" s="24" t="s">
        <v>36</v>
      </c>
      <c r="L42" s="22" t="s">
        <v>37</v>
      </c>
      <c r="M42" s="22" t="s">
        <v>38</v>
      </c>
      <c r="N42" s="21" t="s">
        <v>39</v>
      </c>
      <c r="O42" s="41" t="s">
        <v>40</v>
      </c>
      <c r="P42" s="25" t="s">
        <v>41</v>
      </c>
      <c r="Q42" s="24" t="s">
        <v>42</v>
      </c>
      <c r="R42" s="24" t="s">
        <v>43</v>
      </c>
      <c r="S42" s="24" t="s">
        <v>56</v>
      </c>
    </row>
    <row customHeight="true" ht="23.703703703703702" r="43">
      <c r="A43" s="42">
        <v>46023</v>
      </c>
      <c r="B43" s="28" t="s">
        <v>46</v>
      </c>
      <c r="C43" s="28">
        <v>1</v>
      </c>
      <c r="D43" s="43">
        <v>55.85</v>
      </c>
      <c r="E43" s="30">
        <v>55.85</v>
      </c>
      <c r="F43" s="29">
        <v>15.78</v>
      </c>
      <c r="G43" s="30">
        <v>8</v>
      </c>
      <c r="H43" s="30">
        <v>0</v>
      </c>
      <c r="I43" s="30">
        <v>1.39625</v>
      </c>
      <c r="J43" s="30">
        <v>22.38375</v>
      </c>
      <c r="K43" s="32">
        <v>0.400783348254252</v>
      </c>
      <c r="L43" s="30">
        <v>179.07</v>
      </c>
      <c r="M43" s="30">
        <v>446.8</v>
      </c>
      <c r="N43" s="32">
        <v>0</v>
      </c>
      <c r="O43" s="44">
        <v>0</v>
      </c>
      <c r="P43" s="44">
        <v>1</v>
      </c>
      <c r="Q43" s="34">
        <v>0</v>
      </c>
      <c r="R43" s="34">
        <v>0</v>
      </c>
      <c r="S43" s="38" t="s">
        <v>57</v>
      </c>
    </row>
    <row customHeight="true" ht="23.703703703703702" r="44">
      <c r="A44" s="42">
        <v>46023</v>
      </c>
      <c r="B44" s="28" t="s">
        <v>47</v>
      </c>
      <c r="C44" s="28">
        <v>0</v>
      </c>
      <c r="D44" s="43">
        <v>58</v>
      </c>
      <c r="E44" s="30">
        <v>0</v>
      </c>
      <c r="F44" s="29">
        <v>15.88</v>
      </c>
      <c r="G44" s="30">
        <v>0</v>
      </c>
      <c r="H44" s="30"/>
      <c r="I44" s="30">
        <v>0</v>
      </c>
      <c r="J44" s="30">
        <v>0</v>
      </c>
      <c r="K44" s="32">
        <v>0</v>
      </c>
      <c r="L44" s="30">
        <v>0</v>
      </c>
      <c r="M44" s="30">
        <v>0</v>
      </c>
      <c r="N44" s="32">
        <v>0</v>
      </c>
      <c r="O44" s="44"/>
      <c r="P44" s="44">
        <v>0</v>
      </c>
      <c r="Q44" s="34">
        <v>0</v>
      </c>
      <c r="R44" s="34">
        <v>0</v>
      </c>
      <c r="S44" s="38" t="s">
        <v>57</v>
      </c>
    </row>
    <row customHeight="true" ht="23.703703703703702" r="45">
      <c r="A45" s="42">
        <v>46023</v>
      </c>
      <c r="B45" s="28" t="s">
        <v>49</v>
      </c>
      <c r="C45" s="28">
        <v>1</v>
      </c>
      <c r="D45" s="43">
        <v>58.8</v>
      </c>
      <c r="E45" s="30">
        <v>58.8</v>
      </c>
      <c r="F45" s="29">
        <v>16.27</v>
      </c>
      <c r="G45" s="30">
        <v>8</v>
      </c>
      <c r="H45" s="30">
        <v>0</v>
      </c>
      <c r="I45" s="30">
        <v>1.47</v>
      </c>
      <c r="J45" s="30">
        <v>22.8</v>
      </c>
      <c r="K45" s="32">
        <v>0.387755102040816</v>
      </c>
      <c r="L45" s="30">
        <v>182.4</v>
      </c>
      <c r="M45" s="30">
        <v>470.4</v>
      </c>
      <c r="N45" s="32">
        <v>0</v>
      </c>
      <c r="O45" s="44">
        <v>0</v>
      </c>
      <c r="P45" s="44">
        <v>1</v>
      </c>
      <c r="Q45" s="34">
        <v>0</v>
      </c>
      <c r="R45" s="34">
        <v>0</v>
      </c>
      <c r="S45" s="38" t="s">
        <v>57</v>
      </c>
    </row>
    <row customHeight="true" ht="23.703703703703702" r="46">
      <c r="A46" s="42">
        <v>46023</v>
      </c>
      <c r="B46" s="28" t="s">
        <v>50</v>
      </c>
      <c r="C46" s="28">
        <v>1</v>
      </c>
      <c r="D46" s="43">
        <v>59.35</v>
      </c>
      <c r="E46" s="30">
        <v>59.35</v>
      </c>
      <c r="F46" s="29">
        <v>15.72</v>
      </c>
      <c r="G46" s="30">
        <v>8</v>
      </c>
      <c r="H46" s="30">
        <v>0</v>
      </c>
      <c r="I46" s="30">
        <v>1.48375</v>
      </c>
      <c r="J46" s="30">
        <v>22.23625</v>
      </c>
      <c r="K46" s="32">
        <v>0.37466301600674</v>
      </c>
      <c r="L46" s="30">
        <v>177.89</v>
      </c>
      <c r="M46" s="30">
        <v>474.8</v>
      </c>
      <c r="N46" s="32">
        <v>0</v>
      </c>
      <c r="O46" s="44">
        <v>0</v>
      </c>
      <c r="P46" s="44">
        <v>1</v>
      </c>
      <c r="Q46" s="34">
        <v>0</v>
      </c>
      <c r="R46" s="34">
        <v>0</v>
      </c>
      <c r="S46" s="38" t="s">
        <v>57</v>
      </c>
    </row>
    <row customHeight="true" ht="23.703703703703702" r="47">
      <c r="A47" s="42">
        <v>46023</v>
      </c>
      <c r="B47" s="28" t="s">
        <v>52</v>
      </c>
      <c r="C47" s="28">
        <v>2</v>
      </c>
      <c r="D47" s="43">
        <v>52.3</v>
      </c>
      <c r="E47" s="30">
        <v>104.6</v>
      </c>
      <c r="F47" s="29">
        <v>14.72</v>
      </c>
      <c r="G47" s="30">
        <v>16</v>
      </c>
      <c r="H47" s="30">
        <v>14.28</v>
      </c>
      <c r="I47" s="30">
        <v>2.615</v>
      </c>
      <c r="J47" s="30">
        <v>28.545</v>
      </c>
      <c r="K47" s="32">
        <v>0.272896749521989</v>
      </c>
      <c r="L47" s="30">
        <v>256.905</v>
      </c>
      <c r="M47" s="30">
        <v>941.4</v>
      </c>
      <c r="N47" s="32">
        <v>0.136520076481836</v>
      </c>
      <c r="O47" s="44">
        <v>3</v>
      </c>
      <c r="P47" s="44">
        <v>-1</v>
      </c>
      <c r="Q47" s="34">
        <v>1.5</v>
      </c>
      <c r="R47" s="34">
        <v>0.0910133843212237</v>
      </c>
      <c r="S47" s="38" t="s">
        <v>57</v>
      </c>
    </row>
    <row customHeight="true" ht="23.703703703703702" r="48">
      <c r="A48" s="42">
        <v>46023</v>
      </c>
      <c r="B48" s="28" t="s">
        <v>27</v>
      </c>
      <c r="C48" s="28">
        <v>5</v>
      </c>
      <c r="D48" s="38"/>
      <c r="E48" s="30">
        <v>278.6</v>
      </c>
      <c r="F48" s="31">
        <v>78.37</v>
      </c>
      <c r="G48" s="30"/>
      <c r="H48" s="30"/>
      <c r="I48" s="30"/>
      <c r="J48" s="30">
        <v>95.965</v>
      </c>
      <c r="K48" s="32">
        <v>0.344454414931802</v>
      </c>
      <c r="L48" s="30">
        <v>796.265</v>
      </c>
      <c r="M48" s="30">
        <v>2333.4</v>
      </c>
      <c r="N48" s="32"/>
      <c r="O48" s="44">
        <v>3</v>
      </c>
      <c r="P48" s="44">
        <v>2</v>
      </c>
      <c r="Q48" s="34">
        <v>0.6</v>
      </c>
      <c r="R48" s="34"/>
      <c r="S48" s="38"/>
    </row>
    <row customHeight="true" ht="23.703703703703702" r="49">
      <c r="B49" s="26" t="s">
        <v>54</v>
      </c>
    </row>
    <row customHeight="true" ht="23.703703703703702" r="50">
      <c r="A50" s="20" t="s">
        <v>55</v>
      </c>
      <c r="B50" s="21" t="s">
        <v>28</v>
      </c>
      <c r="C50" s="39" t="s">
        <v>29</v>
      </c>
      <c r="D50" s="21" t="s">
        <v>30</v>
      </c>
      <c r="E50" s="22" t="s">
        <v>31</v>
      </c>
      <c r="F50" s="23" t="s">
        <v>32</v>
      </c>
      <c r="G50" s="22" t="s">
        <v>33</v>
      </c>
      <c r="H50" s="40" t="s">
        <v>34</v>
      </c>
      <c r="I50" s="22" t="s">
        <v>35</v>
      </c>
      <c r="J50" s="22" t="s">
        <v>32</v>
      </c>
      <c r="K50" s="24" t="s">
        <v>36</v>
      </c>
      <c r="L50" s="22" t="s">
        <v>37</v>
      </c>
      <c r="M50" s="22" t="s">
        <v>38</v>
      </c>
      <c r="N50" s="21" t="s">
        <v>39</v>
      </c>
      <c r="O50" s="41" t="s">
        <v>40</v>
      </c>
      <c r="P50" s="25" t="s">
        <v>41</v>
      </c>
      <c r="Q50" s="24" t="s">
        <v>42</v>
      </c>
      <c r="R50" s="24" t="s">
        <v>43</v>
      </c>
      <c r="S50" s="24" t="s">
        <v>56</v>
      </c>
    </row>
    <row customHeight="true" ht="23.703703703703702" r="51">
      <c r="A51" s="42">
        <v>46024</v>
      </c>
      <c r="B51" s="28" t="s">
        <v>46</v>
      </c>
      <c r="C51" s="28">
        <v>1</v>
      </c>
      <c r="D51" s="43">
        <v>55.85</v>
      </c>
      <c r="E51" s="30">
        <v>55.85</v>
      </c>
      <c r="F51" s="29">
        <v>15.78</v>
      </c>
      <c r="G51" s="30">
        <v>8</v>
      </c>
      <c r="H51" s="30">
        <v>0</v>
      </c>
      <c r="I51" s="30">
        <v>1.39625</v>
      </c>
      <c r="J51" s="30">
        <v>22.38375</v>
      </c>
      <c r="K51" s="32">
        <v>0.400783348254252</v>
      </c>
      <c r="L51" s="30">
        <v>179.07</v>
      </c>
      <c r="M51" s="30">
        <v>446.8</v>
      </c>
      <c r="N51" s="32">
        <v>0</v>
      </c>
      <c r="O51" s="44">
        <v>0</v>
      </c>
      <c r="P51" s="44">
        <v>1</v>
      </c>
      <c r="Q51" s="34">
        <v>0</v>
      </c>
      <c r="R51" s="34">
        <v>0</v>
      </c>
      <c r="S51" s="38" t="s">
        <v>57</v>
      </c>
    </row>
    <row customHeight="true" ht="23.703703703703702" r="52">
      <c r="A52" s="42">
        <v>46024</v>
      </c>
      <c r="B52" s="28" t="s">
        <v>47</v>
      </c>
      <c r="C52" s="28">
        <v>0</v>
      </c>
      <c r="D52" s="43">
        <v>58</v>
      </c>
      <c r="E52" s="30">
        <v>0</v>
      </c>
      <c r="F52" s="29">
        <v>15.88</v>
      </c>
      <c r="G52" s="30">
        <v>0</v>
      </c>
      <c r="H52" s="30"/>
      <c r="I52" s="30">
        <v>0</v>
      </c>
      <c r="J52" s="30">
        <v>0</v>
      </c>
      <c r="K52" s="32">
        <v>0</v>
      </c>
      <c r="L52" s="30">
        <v>0</v>
      </c>
      <c r="M52" s="30">
        <v>0</v>
      </c>
      <c r="N52" s="32">
        <v>0</v>
      </c>
      <c r="O52" s="44"/>
      <c r="P52" s="44">
        <v>0</v>
      </c>
      <c r="Q52" s="34">
        <v>0</v>
      </c>
      <c r="R52" s="34">
        <v>0</v>
      </c>
      <c r="S52" s="38" t="s">
        <v>57</v>
      </c>
    </row>
    <row customHeight="true" ht="23.703703703703702" r="53">
      <c r="A53" s="42">
        <v>46024</v>
      </c>
      <c r="B53" s="28" t="s">
        <v>49</v>
      </c>
      <c r="C53" s="28">
        <v>0</v>
      </c>
      <c r="D53" s="43">
        <v>58.8</v>
      </c>
      <c r="E53" s="30">
        <v>0</v>
      </c>
      <c r="F53" s="29">
        <v>16.27</v>
      </c>
      <c r="G53" s="30">
        <v>0</v>
      </c>
      <c r="H53" s="30">
        <v>0</v>
      </c>
      <c r="I53" s="30">
        <v>0</v>
      </c>
      <c r="J53" s="30">
        <v>0</v>
      </c>
      <c r="K53" s="32">
        <v>0</v>
      </c>
      <c r="L53" s="30">
        <v>0</v>
      </c>
      <c r="M53" s="30">
        <v>0</v>
      </c>
      <c r="N53" s="32">
        <v>0</v>
      </c>
      <c r="O53" s="44">
        <v>0</v>
      </c>
      <c r="P53" s="44">
        <v>0</v>
      </c>
      <c r="Q53" s="34">
        <v>0</v>
      </c>
      <c r="R53" s="34">
        <v>0</v>
      </c>
      <c r="S53" s="38" t="s">
        <v>57</v>
      </c>
    </row>
    <row customHeight="true" ht="23.703703703703702" r="54">
      <c r="A54" s="42">
        <v>46024</v>
      </c>
      <c r="B54" s="28" t="s">
        <v>50</v>
      </c>
      <c r="C54" s="28">
        <v>1</v>
      </c>
      <c r="D54" s="43">
        <v>59.35</v>
      </c>
      <c r="E54" s="30">
        <v>59.35</v>
      </c>
      <c r="F54" s="29">
        <v>15.72</v>
      </c>
      <c r="G54" s="30">
        <v>8</v>
      </c>
      <c r="H54" s="30">
        <v>0.51</v>
      </c>
      <c r="I54" s="30">
        <v>1.48375</v>
      </c>
      <c r="J54" s="30">
        <v>21.72625</v>
      </c>
      <c r="K54" s="32">
        <v>0.366069924178601</v>
      </c>
      <c r="L54" s="30">
        <v>173.81</v>
      </c>
      <c r="M54" s="30">
        <v>474.8</v>
      </c>
      <c r="N54" s="32">
        <v>0.00859309182813816</v>
      </c>
      <c r="O54" s="44">
        <v>0</v>
      </c>
      <c r="P54" s="44">
        <v>1</v>
      </c>
      <c r="Q54" s="34">
        <v>0</v>
      </c>
      <c r="R54" s="34">
        <v>0</v>
      </c>
      <c r="S54" s="38" t="s">
        <v>57</v>
      </c>
    </row>
    <row customHeight="true" ht="23.703703703703702" r="55">
      <c r="A55" s="42">
        <v>46024</v>
      </c>
      <c r="B55" s="28" t="s">
        <v>52</v>
      </c>
      <c r="C55" s="28">
        <v>3</v>
      </c>
      <c r="D55" s="43">
        <v>52.3</v>
      </c>
      <c r="E55" s="30">
        <v>156.9</v>
      </c>
      <c r="F55" s="29">
        <v>14.72</v>
      </c>
      <c r="G55" s="30">
        <v>24</v>
      </c>
      <c r="H55" s="30">
        <v>17.64</v>
      </c>
      <c r="I55" s="30">
        <v>3.9225</v>
      </c>
      <c r="J55" s="30">
        <v>46.5975</v>
      </c>
      <c r="K55" s="32">
        <v>0.296988527724665</v>
      </c>
      <c r="L55" s="30">
        <v>419.3775</v>
      </c>
      <c r="M55" s="30">
        <v>1412.1</v>
      </c>
      <c r="N55" s="32">
        <v>0.112428298279159</v>
      </c>
      <c r="O55" s="44">
        <v>1</v>
      </c>
      <c r="P55" s="44">
        <v>2</v>
      </c>
      <c r="Q55" s="34">
        <v>0.333333333333333</v>
      </c>
      <c r="R55" s="34">
        <v>0.337284894837476</v>
      </c>
      <c r="S55" s="38" t="s">
        <v>57</v>
      </c>
    </row>
    <row customHeight="true" ht="23.703703703703702" r="56">
      <c r="A56" s="42">
        <v>46024</v>
      </c>
      <c r="B56" s="28" t="s">
        <v>27</v>
      </c>
      <c r="C56" s="28">
        <v>5</v>
      </c>
      <c r="D56" s="38"/>
      <c r="E56" s="30">
        <v>272.1</v>
      </c>
      <c r="F56" s="31">
        <v>78.37</v>
      </c>
      <c r="G56" s="30"/>
      <c r="H56" s="30"/>
      <c r="I56" s="30"/>
      <c r="J56" s="30">
        <v>90.7075</v>
      </c>
      <c r="K56" s="32">
        <v>0.333360896729144</v>
      </c>
      <c r="L56" s="30">
        <v>772.2575</v>
      </c>
      <c r="M56" s="30">
        <v>2333.7</v>
      </c>
      <c r="N56" s="32"/>
      <c r="O56" s="44">
        <v>1</v>
      </c>
      <c r="P56" s="44">
        <v>4</v>
      </c>
      <c r="Q56" s="34">
        <v>0.2</v>
      </c>
      <c r="R56" s="34"/>
      <c r="S56" s="38"/>
    </row>
    <row customHeight="true" ht="23.703703703703702" r="57">
      <c r="B57" s="26" t="s">
        <v>54</v>
      </c>
    </row>
    <row customHeight="true" ht="23.703703703703702" r="58">
      <c r="A58" s="20" t="s">
        <v>55</v>
      </c>
      <c r="B58" s="21" t="s">
        <v>28</v>
      </c>
      <c r="C58" s="39" t="s">
        <v>29</v>
      </c>
      <c r="D58" s="21" t="s">
        <v>30</v>
      </c>
      <c r="E58" s="22" t="s">
        <v>31</v>
      </c>
      <c r="F58" s="23" t="s">
        <v>32</v>
      </c>
      <c r="G58" s="22" t="s">
        <v>33</v>
      </c>
      <c r="H58" s="40" t="s">
        <v>34</v>
      </c>
      <c r="I58" s="22" t="s">
        <v>35</v>
      </c>
      <c r="J58" s="22" t="s">
        <v>32</v>
      </c>
      <c r="K58" s="24" t="s">
        <v>36</v>
      </c>
      <c r="L58" s="22" t="s">
        <v>37</v>
      </c>
      <c r="M58" s="22" t="s">
        <v>38</v>
      </c>
      <c r="N58" s="21" t="s">
        <v>39</v>
      </c>
      <c r="O58" s="41" t="s">
        <v>40</v>
      </c>
      <c r="P58" s="25" t="s">
        <v>41</v>
      </c>
      <c r="Q58" s="24" t="s">
        <v>42</v>
      </c>
      <c r="R58" s="24" t="s">
        <v>43</v>
      </c>
      <c r="S58" s="24" t="s">
        <v>56</v>
      </c>
    </row>
    <row customHeight="true" ht="23.703703703703702" r="59">
      <c r="A59" s="42">
        <v>46025</v>
      </c>
      <c r="B59" s="28" t="s">
        <v>46</v>
      </c>
      <c r="C59" s="28">
        <v>4</v>
      </c>
      <c r="D59" s="43">
        <v>55.85</v>
      </c>
      <c r="E59" s="30">
        <v>223.4</v>
      </c>
      <c r="F59" s="29">
        <v>15.78</v>
      </c>
      <c r="G59" s="30">
        <v>32</v>
      </c>
      <c r="H59" s="30">
        <v>63.98</v>
      </c>
      <c r="I59" s="30">
        <v>5.585</v>
      </c>
      <c r="J59" s="30">
        <v>25.555</v>
      </c>
      <c r="K59" s="32">
        <v>0.114391226499552</v>
      </c>
      <c r="L59" s="30">
        <v>204.44</v>
      </c>
      <c r="M59" s="30">
        <v>1787.2</v>
      </c>
      <c r="N59" s="32">
        <v>0.2863921217547</v>
      </c>
      <c r="O59" s="44">
        <v>3</v>
      </c>
      <c r="P59" s="44">
        <v>1</v>
      </c>
      <c r="Q59" s="34">
        <v>0.75</v>
      </c>
      <c r="R59" s="34">
        <v>0.3818561623396</v>
      </c>
      <c r="S59" s="38" t="s">
        <v>57</v>
      </c>
    </row>
    <row customHeight="true" ht="23.703703703703702" r="60">
      <c r="A60" s="42">
        <v>46025</v>
      </c>
      <c r="B60" s="28" t="s">
        <v>47</v>
      </c>
      <c r="C60" s="28">
        <v>0</v>
      </c>
      <c r="D60" s="43">
        <v>58</v>
      </c>
      <c r="E60" s="30">
        <v>0</v>
      </c>
      <c r="F60" s="29">
        <v>15.88</v>
      </c>
      <c r="G60" s="30">
        <v>0</v>
      </c>
      <c r="H60" s="30"/>
      <c r="I60" s="30">
        <v>0</v>
      </c>
      <c r="J60" s="30">
        <v>0</v>
      </c>
      <c r="K60" s="32">
        <v>0</v>
      </c>
      <c r="L60" s="30">
        <v>0</v>
      </c>
      <c r="M60" s="30">
        <v>0</v>
      </c>
      <c r="N60" s="32">
        <v>0</v>
      </c>
      <c r="O60" s="44"/>
      <c r="P60" s="44">
        <v>0</v>
      </c>
      <c r="Q60" s="34">
        <v>0</v>
      </c>
      <c r="R60" s="34">
        <v>0</v>
      </c>
      <c r="S60" s="38" t="s">
        <v>57</v>
      </c>
    </row>
    <row customHeight="true" ht="23.703703703703702" r="61">
      <c r="A61" s="42">
        <v>46025</v>
      </c>
      <c r="B61" s="28" t="s">
        <v>49</v>
      </c>
      <c r="C61" s="28">
        <v>0</v>
      </c>
      <c r="D61" s="43">
        <v>58.8</v>
      </c>
      <c r="E61" s="30">
        <v>0</v>
      </c>
      <c r="F61" s="29">
        <v>16.27</v>
      </c>
      <c r="G61" s="30">
        <v>0</v>
      </c>
      <c r="H61" s="30">
        <v>0</v>
      </c>
      <c r="I61" s="30">
        <v>0</v>
      </c>
      <c r="J61" s="30">
        <v>0</v>
      </c>
      <c r="K61" s="32">
        <v>0</v>
      </c>
      <c r="L61" s="30">
        <v>0</v>
      </c>
      <c r="M61" s="30">
        <v>0</v>
      </c>
      <c r="N61" s="32">
        <v>0</v>
      </c>
      <c r="O61" s="44">
        <v>0</v>
      </c>
      <c r="P61" s="44">
        <v>0</v>
      </c>
      <c r="Q61" s="34">
        <v>0</v>
      </c>
      <c r="R61" s="34">
        <v>0</v>
      </c>
      <c r="S61" s="38" t="s">
        <v>57</v>
      </c>
    </row>
    <row customHeight="true" ht="23.703703703703702" r="62">
      <c r="A62" s="42">
        <v>46025</v>
      </c>
      <c r="B62" s="28" t="s">
        <v>50</v>
      </c>
      <c r="C62" s="28">
        <v>1</v>
      </c>
      <c r="D62" s="43">
        <v>59.35</v>
      </c>
      <c r="E62" s="30">
        <v>59.35</v>
      </c>
      <c r="F62" s="29">
        <v>15.72</v>
      </c>
      <c r="G62" s="30">
        <v>8</v>
      </c>
      <c r="H62" s="30">
        <v>0.49</v>
      </c>
      <c r="I62" s="30">
        <v>1.48375</v>
      </c>
      <c r="J62" s="30">
        <v>21.74625</v>
      </c>
      <c r="K62" s="32">
        <v>0.366406908171862</v>
      </c>
      <c r="L62" s="30">
        <v>173.97</v>
      </c>
      <c r="M62" s="30">
        <v>474.8</v>
      </c>
      <c r="N62" s="32">
        <v>0.00825610783487784</v>
      </c>
      <c r="O62" s="44">
        <v>0</v>
      </c>
      <c r="P62" s="44">
        <v>1</v>
      </c>
      <c r="Q62" s="34">
        <v>0</v>
      </c>
      <c r="R62" s="34">
        <v>0</v>
      </c>
      <c r="S62" s="38" t="s">
        <v>57</v>
      </c>
    </row>
    <row customHeight="true" ht="23.703703703703702" r="63">
      <c r="A63" s="42">
        <v>46025</v>
      </c>
      <c r="B63" s="28" t="s">
        <v>52</v>
      </c>
      <c r="C63" s="28">
        <v>0</v>
      </c>
      <c r="D63" s="43">
        <v>52.3</v>
      </c>
      <c r="E63" s="30">
        <v>0</v>
      </c>
      <c r="F63" s="29">
        <v>14.72</v>
      </c>
      <c r="G63" s="30">
        <v>0</v>
      </c>
      <c r="H63" s="30">
        <v>11.92</v>
      </c>
      <c r="I63" s="30">
        <v>0</v>
      </c>
      <c r="J63" s="30">
        <v>-11.92</v>
      </c>
      <c r="K63" s="32">
        <v>0</v>
      </c>
      <c r="L63" s="30">
        <v>-107.28</v>
      </c>
      <c r="M63" s="30">
        <v>0</v>
      </c>
      <c r="N63" s="32">
        <v>0</v>
      </c>
      <c r="O63" s="44">
        <v>0</v>
      </c>
      <c r="P63" s="44">
        <v>0</v>
      </c>
      <c r="Q63" s="34">
        <v>0</v>
      </c>
      <c r="R63" s="34">
        <v>0</v>
      </c>
      <c r="S63" s="38" t="s">
        <v>57</v>
      </c>
    </row>
    <row customHeight="true" ht="23.703703703703702" r="64">
      <c r="A64" s="42">
        <v>46025</v>
      </c>
      <c r="B64" s="28" t="s">
        <v>27</v>
      </c>
      <c r="C64" s="28">
        <v>5</v>
      </c>
      <c r="D64" s="38"/>
      <c r="E64" s="30">
        <v>282.75</v>
      </c>
      <c r="F64" s="31">
        <v>63.65</v>
      </c>
      <c r="G64" s="30"/>
      <c r="H64" s="30"/>
      <c r="I64" s="30"/>
      <c r="J64" s="30">
        <v>47.30125</v>
      </c>
      <c r="K64" s="32">
        <v>0.167290008841733</v>
      </c>
      <c r="L64" s="30">
        <v>378.41</v>
      </c>
      <c r="M64" s="30">
        <v>2262</v>
      </c>
      <c r="N64" s="32"/>
      <c r="O64" s="44">
        <v>3</v>
      </c>
      <c r="P64" s="44">
        <v>2</v>
      </c>
      <c r="Q64" s="34">
        <v>0.6</v>
      </c>
      <c r="R64" s="34"/>
      <c r="S64" s="38"/>
    </row>
    <row customHeight="true" ht="23.703703703703702" r="65">
      <c r="B65" s="26" t="s">
        <v>54</v>
      </c>
    </row>
    <row customHeight="true" ht="23.703703703703702" r="66">
      <c r="A66" s="20" t="s">
        <v>55</v>
      </c>
      <c r="B66" s="21" t="s">
        <v>28</v>
      </c>
      <c r="C66" s="39" t="s">
        <v>29</v>
      </c>
      <c r="D66" s="21" t="s">
        <v>30</v>
      </c>
      <c r="E66" s="22" t="s">
        <v>31</v>
      </c>
      <c r="F66" s="23" t="s">
        <v>32</v>
      </c>
      <c r="G66" s="22" t="s">
        <v>33</v>
      </c>
      <c r="H66" s="40" t="s">
        <v>34</v>
      </c>
      <c r="I66" s="22" t="s">
        <v>35</v>
      </c>
      <c r="J66" s="22" t="s">
        <v>32</v>
      </c>
      <c r="K66" s="24" t="s">
        <v>36</v>
      </c>
      <c r="L66" s="22" t="s">
        <v>37</v>
      </c>
      <c r="M66" s="22" t="s">
        <v>38</v>
      </c>
      <c r="N66" s="21" t="s">
        <v>39</v>
      </c>
      <c r="O66" s="41" t="s">
        <v>40</v>
      </c>
      <c r="P66" s="25" t="s">
        <v>41</v>
      </c>
      <c r="Q66" s="24" t="s">
        <v>42</v>
      </c>
      <c r="R66" s="24" t="s">
        <v>43</v>
      </c>
      <c r="S66" s="24" t="s">
        <v>56</v>
      </c>
    </row>
    <row customHeight="true" ht="23.703703703703702" r="67">
      <c r="A67" s="42">
        <v>46026</v>
      </c>
      <c r="B67" s="28" t="s">
        <v>46</v>
      </c>
      <c r="C67" s="28">
        <v>6</v>
      </c>
      <c r="D67" s="43">
        <v>55.85</v>
      </c>
      <c r="E67" s="30">
        <v>335.1</v>
      </c>
      <c r="F67" s="29">
        <v>15.78</v>
      </c>
      <c r="G67" s="30">
        <v>48</v>
      </c>
      <c r="H67" s="30">
        <v>82.26</v>
      </c>
      <c r="I67" s="30">
        <v>8.3775</v>
      </c>
      <c r="J67" s="30">
        <v>52.0425</v>
      </c>
      <c r="K67" s="32">
        <v>0.155304386750224</v>
      </c>
      <c r="L67" s="30">
        <v>416.34</v>
      </c>
      <c r="M67" s="30">
        <v>2680.8</v>
      </c>
      <c r="N67" s="32">
        <v>0.245478961504029</v>
      </c>
      <c r="O67" s="44">
        <v>4</v>
      </c>
      <c r="P67" s="44">
        <v>2</v>
      </c>
      <c r="Q67" s="34">
        <v>0.666666666666667</v>
      </c>
      <c r="R67" s="34">
        <v>0.368218442256043</v>
      </c>
      <c r="S67" s="38" t="s">
        <v>57</v>
      </c>
    </row>
    <row customHeight="true" ht="23.703703703703702" r="68">
      <c r="A68" s="42">
        <v>46026</v>
      </c>
      <c r="B68" s="28" t="s">
        <v>47</v>
      </c>
      <c r="C68" s="28">
        <v>2</v>
      </c>
      <c r="D68" s="43">
        <v>58</v>
      </c>
      <c r="E68" s="30">
        <v>116</v>
      </c>
      <c r="F68" s="29">
        <v>3.13</v>
      </c>
      <c r="G68" s="30">
        <v>16</v>
      </c>
      <c r="H68" s="30">
        <v>2.25</v>
      </c>
      <c r="I68" s="30">
        <v>2.9</v>
      </c>
      <c r="J68" s="30">
        <v>17.11</v>
      </c>
      <c r="K68" s="32">
        <v>0.1475</v>
      </c>
      <c r="L68" s="30">
        <v>136.88</v>
      </c>
      <c r="M68" s="30">
        <v>928</v>
      </c>
      <c r="N68" s="32">
        <v>0.0193965517241379</v>
      </c>
      <c r="O68" s="44">
        <v>2</v>
      </c>
      <c r="P68" s="44">
        <v>0</v>
      </c>
      <c r="Q68" s="34">
        <v>1</v>
      </c>
      <c r="R68" s="34">
        <v>0.0193965517241379</v>
      </c>
      <c r="S68" s="38" t="s">
        <v>59</v>
      </c>
    </row>
    <row customHeight="true" ht="23.703703703703702" r="69">
      <c r="A69" s="42">
        <v>46026</v>
      </c>
      <c r="B69" s="28" t="s">
        <v>49</v>
      </c>
      <c r="C69" s="28">
        <v>0</v>
      </c>
      <c r="D69" s="43">
        <v>58.8</v>
      </c>
      <c r="E69" s="30">
        <v>0</v>
      </c>
      <c r="F69" s="29">
        <v>16.27</v>
      </c>
      <c r="G69" s="30">
        <v>0</v>
      </c>
      <c r="H69" s="30">
        <v>50.73</v>
      </c>
      <c r="I69" s="30">
        <v>0</v>
      </c>
      <c r="J69" s="30">
        <v>-50.73</v>
      </c>
      <c r="K69" s="32">
        <v>0</v>
      </c>
      <c r="L69" s="30">
        <v>-405.84</v>
      </c>
      <c r="M69" s="30">
        <v>0</v>
      </c>
      <c r="N69" s="32">
        <v>0</v>
      </c>
      <c r="O69" s="44">
        <v>1</v>
      </c>
      <c r="P69" s="44">
        <v>-1</v>
      </c>
      <c r="Q69" s="34">
        <v>0</v>
      </c>
      <c r="R69" s="34">
        <v>0</v>
      </c>
      <c r="S69" s="38" t="s">
        <v>57</v>
      </c>
    </row>
    <row customHeight="true" ht="23.703703703703702" r="70">
      <c r="A70" s="42">
        <v>46026</v>
      </c>
      <c r="B70" s="28" t="s">
        <v>50</v>
      </c>
      <c r="C70" s="28">
        <v>1</v>
      </c>
      <c r="D70" s="43">
        <v>59.35</v>
      </c>
      <c r="E70" s="30">
        <v>59.35</v>
      </c>
      <c r="F70" s="29">
        <v>15.72</v>
      </c>
      <c r="G70" s="30">
        <v>8</v>
      </c>
      <c r="H70" s="30">
        <v>0</v>
      </c>
      <c r="I70" s="30">
        <v>1.48375</v>
      </c>
      <c r="J70" s="30">
        <v>22.23625</v>
      </c>
      <c r="K70" s="32">
        <v>0.37466301600674</v>
      </c>
      <c r="L70" s="30">
        <v>177.89</v>
      </c>
      <c r="M70" s="30">
        <v>474.8</v>
      </c>
      <c r="N70" s="32">
        <v>0</v>
      </c>
      <c r="O70" s="44">
        <v>0</v>
      </c>
      <c r="P70" s="44">
        <v>1</v>
      </c>
      <c r="Q70" s="34">
        <v>0</v>
      </c>
      <c r="R70" s="34">
        <v>0</v>
      </c>
      <c r="S70" s="38" t="s">
        <v>57</v>
      </c>
    </row>
    <row customHeight="true" ht="23.703703703703702" r="71">
      <c r="A71" s="42">
        <v>46026</v>
      </c>
      <c r="B71" s="28" t="s">
        <v>52</v>
      </c>
      <c r="C71" s="28">
        <v>2</v>
      </c>
      <c r="D71" s="43">
        <v>52.3</v>
      </c>
      <c r="E71" s="30">
        <v>104.6</v>
      </c>
      <c r="F71" s="29">
        <v>14.72</v>
      </c>
      <c r="G71" s="30">
        <v>16</v>
      </c>
      <c r="H71" s="30">
        <v>14.88</v>
      </c>
      <c r="I71" s="30">
        <v>2.615</v>
      </c>
      <c r="J71" s="30">
        <v>27.945</v>
      </c>
      <c r="K71" s="32">
        <v>0.267160611854684</v>
      </c>
      <c r="L71" s="30">
        <v>251.505</v>
      </c>
      <c r="M71" s="30">
        <v>941.4</v>
      </c>
      <c r="N71" s="32">
        <v>0.14225621414914</v>
      </c>
      <c r="O71" s="44">
        <v>1</v>
      </c>
      <c r="P71" s="44">
        <v>1</v>
      </c>
      <c r="Q71" s="34">
        <v>0.5</v>
      </c>
      <c r="R71" s="34">
        <v>0.284512428298279</v>
      </c>
      <c r="S71" s="38" t="s">
        <v>57</v>
      </c>
    </row>
    <row customHeight="true" ht="23.703703703703702" r="72">
      <c r="A72" s="42">
        <v>46026</v>
      </c>
      <c r="B72" s="28" t="s">
        <v>27</v>
      </c>
      <c r="C72" s="28">
        <v>11</v>
      </c>
      <c r="D72" s="38"/>
      <c r="E72" s="30">
        <v>279.95</v>
      </c>
      <c r="F72" s="31">
        <v>49.84</v>
      </c>
      <c r="G72" s="30"/>
      <c r="H72" s="30"/>
      <c r="I72" s="30"/>
      <c r="J72" s="30">
        <v>16.56125</v>
      </c>
      <c r="K72" s="32">
        <v>0.0591578853366672</v>
      </c>
      <c r="L72" s="30">
        <v>160.435</v>
      </c>
      <c r="M72" s="30">
        <v>2344.2</v>
      </c>
      <c r="N72" s="32"/>
      <c r="O72" s="44">
        <v>4</v>
      </c>
      <c r="P72" s="44">
        <v>7</v>
      </c>
      <c r="Q72" s="34">
        <v>0.363636363636364</v>
      </c>
      <c r="R72" s="34"/>
      <c r="S72" s="38"/>
    </row>
    <row customHeight="true" ht="23.703703703703702" r="73">
      <c r="B73" s="26" t="s">
        <v>54</v>
      </c>
    </row>
    <row customHeight="true" ht="23.703703703703702" r="74">
      <c r="A74" s="20" t="s">
        <v>55</v>
      </c>
      <c r="B74" s="21" t="s">
        <v>28</v>
      </c>
      <c r="C74" s="39" t="s">
        <v>29</v>
      </c>
      <c r="D74" s="21" t="s">
        <v>30</v>
      </c>
      <c r="E74" s="22" t="s">
        <v>31</v>
      </c>
      <c r="F74" s="23" t="s">
        <v>32</v>
      </c>
      <c r="G74" s="22" t="s">
        <v>33</v>
      </c>
      <c r="H74" s="40" t="s">
        <v>34</v>
      </c>
      <c r="I74" s="22" t="s">
        <v>35</v>
      </c>
      <c r="J74" s="22" t="s">
        <v>32</v>
      </c>
      <c r="K74" s="24" t="s">
        <v>36</v>
      </c>
      <c r="L74" s="22" t="s">
        <v>37</v>
      </c>
      <c r="M74" s="22" t="s">
        <v>38</v>
      </c>
      <c r="N74" s="21" t="s">
        <v>39</v>
      </c>
      <c r="O74" s="41" t="s">
        <v>40</v>
      </c>
      <c r="P74" s="25" t="s">
        <v>41</v>
      </c>
      <c r="Q74" s="24" t="s">
        <v>42</v>
      </c>
      <c r="R74" s="24" t="s">
        <v>43</v>
      </c>
      <c r="S74" s="24" t="s">
        <v>56</v>
      </c>
    </row>
    <row customHeight="true" ht="23.703703703703702" r="75">
      <c r="A75" s="42">
        <v>46027</v>
      </c>
      <c r="B75" s="28" t="s">
        <v>46</v>
      </c>
      <c r="C75" s="28">
        <v>5</v>
      </c>
      <c r="D75" s="43">
        <v>55.85</v>
      </c>
      <c r="E75" s="30">
        <v>279.25</v>
      </c>
      <c r="F75" s="29">
        <v>15.78</v>
      </c>
      <c r="G75" s="30">
        <v>40</v>
      </c>
      <c r="H75" s="30">
        <v>63.98</v>
      </c>
      <c r="I75" s="30">
        <v>6.98125</v>
      </c>
      <c r="J75" s="30">
        <v>47.93875</v>
      </c>
      <c r="K75" s="32">
        <v>0.171669650850492</v>
      </c>
      <c r="L75" s="30">
        <v>383.51</v>
      </c>
      <c r="M75" s="30">
        <v>2234</v>
      </c>
      <c r="N75" s="32">
        <v>0.22911369740376</v>
      </c>
      <c r="O75" s="44">
        <v>6</v>
      </c>
      <c r="P75" s="44">
        <v>-1</v>
      </c>
      <c r="Q75" s="34">
        <v>1.2</v>
      </c>
      <c r="R75" s="34">
        <v>0.1909280811698</v>
      </c>
      <c r="S75" s="38" t="s">
        <v>57</v>
      </c>
    </row>
    <row customHeight="true" ht="23.703703703703702" r="76">
      <c r="A76" s="42">
        <v>46027</v>
      </c>
      <c r="B76" s="28" t="s">
        <v>47</v>
      </c>
      <c r="C76" s="28">
        <v>3</v>
      </c>
      <c r="D76" s="43">
        <v>58</v>
      </c>
      <c r="E76" s="30">
        <v>174</v>
      </c>
      <c r="F76" s="29">
        <v>3.13</v>
      </c>
      <c r="G76" s="30">
        <v>24</v>
      </c>
      <c r="H76" s="30">
        <v>2.93</v>
      </c>
      <c r="I76" s="30">
        <v>4.35</v>
      </c>
      <c r="J76" s="30">
        <v>26.11</v>
      </c>
      <c r="K76" s="32">
        <v>0.150057471264368</v>
      </c>
      <c r="L76" s="30">
        <v>208.88</v>
      </c>
      <c r="M76" s="30">
        <v>1392</v>
      </c>
      <c r="N76" s="32">
        <v>0.0168390804597701</v>
      </c>
      <c r="O76" s="44">
        <v>1</v>
      </c>
      <c r="P76" s="44">
        <v>2</v>
      </c>
      <c r="Q76" s="34">
        <v>0.333333333333333</v>
      </c>
      <c r="R76" s="34">
        <v>0.0505172413793104</v>
      </c>
      <c r="S76" s="38" t="s">
        <v>59</v>
      </c>
    </row>
    <row customHeight="true" ht="23.703703703703702" r="77">
      <c r="A77" s="42">
        <v>46027</v>
      </c>
      <c r="B77" s="28" t="s">
        <v>49</v>
      </c>
      <c r="C77" s="28">
        <v>1</v>
      </c>
      <c r="D77" s="43">
        <v>58.8</v>
      </c>
      <c r="E77" s="30">
        <v>58.8</v>
      </c>
      <c r="F77" s="29">
        <v>16.27</v>
      </c>
      <c r="G77" s="30">
        <v>8</v>
      </c>
      <c r="H77" s="30">
        <v>26.06</v>
      </c>
      <c r="I77" s="30">
        <v>1.47</v>
      </c>
      <c r="J77" s="30">
        <v>-3.26</v>
      </c>
      <c r="K77" s="32">
        <v>-0.0554421768707483</v>
      </c>
      <c r="L77" s="30">
        <v>-26.08</v>
      </c>
      <c r="M77" s="30">
        <v>470.4</v>
      </c>
      <c r="N77" s="32">
        <v>0.443197278911565</v>
      </c>
      <c r="O77" s="44">
        <v>0</v>
      </c>
      <c r="P77" s="44">
        <v>1</v>
      </c>
      <c r="Q77" s="34">
        <v>0</v>
      </c>
      <c r="R77" s="34">
        <v>0</v>
      </c>
      <c r="S77" s="38" t="s">
        <v>57</v>
      </c>
    </row>
    <row customHeight="true" ht="23.703703703703702" r="78">
      <c r="A78" s="42">
        <v>46027</v>
      </c>
      <c r="B78" s="28" t="s">
        <v>50</v>
      </c>
      <c r="C78" s="28">
        <v>1</v>
      </c>
      <c r="D78" s="43">
        <v>59.35</v>
      </c>
      <c r="E78" s="30">
        <v>59.35</v>
      </c>
      <c r="F78" s="29">
        <v>15.72</v>
      </c>
      <c r="G78" s="30">
        <v>8</v>
      </c>
      <c r="H78" s="30">
        <v>11.08</v>
      </c>
      <c r="I78" s="30">
        <v>1.48375</v>
      </c>
      <c r="J78" s="30">
        <v>11.15625</v>
      </c>
      <c r="K78" s="32">
        <v>0.187973883740522</v>
      </c>
      <c r="L78" s="30">
        <v>89.25</v>
      </c>
      <c r="M78" s="30">
        <v>474.8</v>
      </c>
      <c r="N78" s="32">
        <v>0.186689132266217</v>
      </c>
      <c r="O78" s="44">
        <v>1</v>
      </c>
      <c r="P78" s="44">
        <v>0</v>
      </c>
      <c r="Q78" s="34">
        <v>1</v>
      </c>
      <c r="R78" s="34">
        <v>0.186689132266217</v>
      </c>
      <c r="S78" s="38" t="s">
        <v>57</v>
      </c>
    </row>
    <row customHeight="true" ht="23.703703703703702" r="79">
      <c r="A79" s="42">
        <v>46027</v>
      </c>
      <c r="B79" s="28" t="s">
        <v>52</v>
      </c>
      <c r="C79" s="28">
        <v>0</v>
      </c>
      <c r="D79" s="43">
        <v>52.3</v>
      </c>
      <c r="E79" s="30">
        <v>0</v>
      </c>
      <c r="F79" s="29">
        <v>14.72</v>
      </c>
      <c r="G79" s="30">
        <v>0</v>
      </c>
      <c r="H79" s="30">
        <v>13.6</v>
      </c>
      <c r="I79" s="30">
        <v>0</v>
      </c>
      <c r="J79" s="30">
        <v>-13.6</v>
      </c>
      <c r="K79" s="32">
        <v>0</v>
      </c>
      <c r="L79" s="30">
        <v>-122.4</v>
      </c>
      <c r="M79" s="30">
        <v>0</v>
      </c>
      <c r="N79" s="32">
        <v>0</v>
      </c>
      <c r="O79" s="44">
        <v>0</v>
      </c>
      <c r="P79" s="44">
        <v>0</v>
      </c>
      <c r="Q79" s="34">
        <v>0</v>
      </c>
      <c r="R79" s="34">
        <v>0</v>
      </c>
      <c r="S79" s="38" t="s">
        <v>57</v>
      </c>
    </row>
    <row customHeight="true" ht="23.703703703703702" r="80">
      <c r="A80" s="42">
        <v>46027</v>
      </c>
      <c r="B80" s="28" t="s">
        <v>27</v>
      </c>
      <c r="C80" s="28">
        <v>10</v>
      </c>
      <c r="D80" s="38"/>
      <c r="E80" s="30">
        <v>571.4</v>
      </c>
      <c r="F80" s="31">
        <v>65.62</v>
      </c>
      <c r="G80" s="30"/>
      <c r="H80" s="30"/>
      <c r="I80" s="30"/>
      <c r="J80" s="30">
        <v>68.345</v>
      </c>
      <c r="K80" s="32">
        <v>0.119609730486524</v>
      </c>
      <c r="L80" s="30">
        <v>533.16</v>
      </c>
      <c r="M80" s="30">
        <v>4571.2</v>
      </c>
      <c r="N80" s="32"/>
      <c r="O80" s="44">
        <v>8</v>
      </c>
      <c r="P80" s="44">
        <v>2</v>
      </c>
      <c r="Q80" s="34">
        <v>0.8</v>
      </c>
      <c r="R80" s="34"/>
      <c r="S80" s="38"/>
    </row>
    <row customHeight="true" ht="23.703703703703702" r="81">
      <c r="B81" s="26" t="s">
        <v>54</v>
      </c>
    </row>
    <row customHeight="true" ht="23.703703703703702" r="82">
      <c r="A82" s="20" t="s">
        <v>55</v>
      </c>
      <c r="B82" s="21" t="s">
        <v>28</v>
      </c>
      <c r="C82" s="39" t="s">
        <v>29</v>
      </c>
      <c r="D82" s="21" t="s">
        <v>30</v>
      </c>
      <c r="E82" s="22" t="s">
        <v>31</v>
      </c>
      <c r="F82" s="23" t="s">
        <v>32</v>
      </c>
      <c r="G82" s="22" t="s">
        <v>33</v>
      </c>
      <c r="H82" s="40" t="s">
        <v>34</v>
      </c>
      <c r="I82" s="22" t="s">
        <v>35</v>
      </c>
      <c r="J82" s="22" t="s">
        <v>32</v>
      </c>
      <c r="K82" s="24" t="s">
        <v>36</v>
      </c>
      <c r="L82" s="22" t="s">
        <v>37</v>
      </c>
      <c r="M82" s="22" t="s">
        <v>38</v>
      </c>
      <c r="N82" s="21" t="s">
        <v>39</v>
      </c>
      <c r="O82" s="41" t="s">
        <v>40</v>
      </c>
      <c r="P82" s="25" t="s">
        <v>41</v>
      </c>
      <c r="Q82" s="24" t="s">
        <v>42</v>
      </c>
      <c r="R82" s="24" t="s">
        <v>43</v>
      </c>
      <c r="S82" s="24" t="s">
        <v>56</v>
      </c>
    </row>
    <row customHeight="true" ht="23.703703703703702" r="83">
      <c r="A83" s="42">
        <v>46028</v>
      </c>
      <c r="B83" s="28" t="s">
        <v>46</v>
      </c>
      <c r="C83" s="28">
        <v>8</v>
      </c>
      <c r="D83" s="43">
        <v>55.85</v>
      </c>
      <c r="E83" s="30">
        <v>446.8</v>
      </c>
      <c r="F83" s="29">
        <v>15.78</v>
      </c>
      <c r="G83" s="30">
        <v>64</v>
      </c>
      <c r="H83" s="30">
        <v>104.96</v>
      </c>
      <c r="I83" s="30">
        <v>11.17</v>
      </c>
      <c r="J83" s="30">
        <v>74.11</v>
      </c>
      <c r="K83" s="32">
        <v>0.165868397493286</v>
      </c>
      <c r="L83" s="30">
        <v>592.88</v>
      </c>
      <c r="M83" s="30">
        <v>3574.4</v>
      </c>
      <c r="N83" s="32">
        <v>0.234914950760967</v>
      </c>
      <c r="O83" s="44">
        <v>6</v>
      </c>
      <c r="P83" s="44">
        <v>2</v>
      </c>
      <c r="Q83" s="34">
        <v>0.75</v>
      </c>
      <c r="R83" s="34">
        <v>0.313219934347956</v>
      </c>
      <c r="S83" s="38" t="s">
        <v>57</v>
      </c>
    </row>
    <row customHeight="true" ht="23.703703703703702" r="84">
      <c r="A84" s="42">
        <v>46028</v>
      </c>
      <c r="B84" s="28" t="s">
        <v>47</v>
      </c>
      <c r="C84" s="28">
        <v>1</v>
      </c>
      <c r="D84" s="43">
        <v>58</v>
      </c>
      <c r="E84" s="30">
        <v>58</v>
      </c>
      <c r="F84" s="29">
        <v>3.13</v>
      </c>
      <c r="G84" s="30">
        <v>8</v>
      </c>
      <c r="H84" s="30">
        <v>6.69</v>
      </c>
      <c r="I84" s="30">
        <v>1.45</v>
      </c>
      <c r="J84" s="30">
        <v>2.99</v>
      </c>
      <c r="K84" s="32">
        <v>0.051551724137931</v>
      </c>
      <c r="L84" s="30">
        <v>23.92</v>
      </c>
      <c r="M84" s="30">
        <v>464</v>
      </c>
      <c r="N84" s="32">
        <v>0.115344827586207</v>
      </c>
      <c r="O84" s="44">
        <v>0</v>
      </c>
      <c r="P84" s="44">
        <v>1</v>
      </c>
      <c r="Q84" s="34">
        <v>0</v>
      </c>
      <c r="R84" s="34">
        <v>0</v>
      </c>
      <c r="S84" s="38" t="s">
        <v>59</v>
      </c>
    </row>
    <row customHeight="true" ht="23.703703703703702" r="85">
      <c r="A85" s="42">
        <v>46028</v>
      </c>
      <c r="B85" s="28" t="s">
        <v>49</v>
      </c>
      <c r="C85" s="28">
        <v>3</v>
      </c>
      <c r="D85" s="43">
        <v>58.8</v>
      </c>
      <c r="E85" s="30">
        <v>176.4</v>
      </c>
      <c r="F85" s="29">
        <v>16.27</v>
      </c>
      <c r="G85" s="30">
        <v>24</v>
      </c>
      <c r="H85" s="30">
        <v>27.68</v>
      </c>
      <c r="I85" s="30">
        <v>4.41</v>
      </c>
      <c r="J85" s="30">
        <v>40.72</v>
      </c>
      <c r="K85" s="32">
        <v>0.230839002267574</v>
      </c>
      <c r="L85" s="30">
        <v>325.76</v>
      </c>
      <c r="M85" s="30">
        <v>1411.2</v>
      </c>
      <c r="N85" s="32">
        <v>0.156916099773243</v>
      </c>
      <c r="O85" s="44">
        <v>2</v>
      </c>
      <c r="P85" s="44">
        <v>1</v>
      </c>
      <c r="Q85" s="34">
        <v>0.666666666666667</v>
      </c>
      <c r="R85" s="34">
        <v>0.235374149659864</v>
      </c>
      <c r="S85" s="38" t="s">
        <v>57</v>
      </c>
    </row>
    <row customHeight="true" ht="23.703703703703702" r="86">
      <c r="A86" s="42">
        <v>46028</v>
      </c>
      <c r="B86" s="28" t="s">
        <v>50</v>
      </c>
      <c r="C86" s="28">
        <v>2</v>
      </c>
      <c r="D86" s="43">
        <v>59.35</v>
      </c>
      <c r="E86" s="30">
        <v>118.7</v>
      </c>
      <c r="F86" s="29">
        <v>15.72</v>
      </c>
      <c r="G86" s="30">
        <v>16</v>
      </c>
      <c r="H86" s="30">
        <v>41.67</v>
      </c>
      <c r="I86" s="30">
        <v>2.9675</v>
      </c>
      <c r="J86" s="30">
        <v>2.8025</v>
      </c>
      <c r="K86" s="32">
        <v>0.0236099410278011</v>
      </c>
      <c r="L86" s="30">
        <v>22.42</v>
      </c>
      <c r="M86" s="30">
        <v>949.6</v>
      </c>
      <c r="N86" s="32">
        <v>0.351053074978939</v>
      </c>
      <c r="O86" s="44">
        <v>3</v>
      </c>
      <c r="P86" s="44">
        <v>-1</v>
      </c>
      <c r="Q86" s="34">
        <v>1.5</v>
      </c>
      <c r="R86" s="34">
        <v>0.234035383319292</v>
      </c>
      <c r="S86" s="38" t="s">
        <v>57</v>
      </c>
    </row>
    <row customHeight="true" ht="23.703703703703702" r="87">
      <c r="A87" s="42">
        <v>46028</v>
      </c>
      <c r="B87" s="28" t="s">
        <v>52</v>
      </c>
      <c r="C87" s="28">
        <v>1</v>
      </c>
      <c r="D87" s="43">
        <v>52.3</v>
      </c>
      <c r="E87" s="30">
        <v>52.3</v>
      </c>
      <c r="F87" s="29">
        <v>14.72</v>
      </c>
      <c r="G87" s="30">
        <v>8</v>
      </c>
      <c r="H87" s="30">
        <v>10.36</v>
      </c>
      <c r="I87" s="30">
        <v>1.3075</v>
      </c>
      <c r="J87" s="30">
        <v>11.0525</v>
      </c>
      <c r="K87" s="32">
        <v>0.211328871892925</v>
      </c>
      <c r="L87" s="30">
        <v>99.4725</v>
      </c>
      <c r="M87" s="30">
        <v>470.7</v>
      </c>
      <c r="N87" s="32">
        <v>0.198087954110899</v>
      </c>
      <c r="O87" s="44">
        <v>1</v>
      </c>
      <c r="P87" s="44">
        <v>0</v>
      </c>
      <c r="Q87" s="34">
        <v>1</v>
      </c>
      <c r="R87" s="34">
        <v>0.198087954110899</v>
      </c>
      <c r="S87" s="38" t="s">
        <v>57</v>
      </c>
    </row>
    <row customHeight="true" ht="23.703703703703702" r="88">
      <c r="A88" s="42">
        <v>46028</v>
      </c>
      <c r="B88" s="28" t="s">
        <v>27</v>
      </c>
      <c r="C88" s="28">
        <v>15</v>
      </c>
      <c r="D88" s="38"/>
      <c r="E88" s="30">
        <v>852.2</v>
      </c>
      <c r="F88" s="31">
        <v>65.62</v>
      </c>
      <c r="G88" s="30"/>
      <c r="H88" s="30"/>
      <c r="I88" s="30"/>
      <c r="J88" s="30">
        <v>131.675</v>
      </c>
      <c r="K88" s="32">
        <v>0.15451185167801</v>
      </c>
      <c r="L88" s="30">
        <v>1064.4525</v>
      </c>
      <c r="M88" s="30">
        <v>6869.9</v>
      </c>
      <c r="N88" s="32"/>
      <c r="O88" s="44">
        <v>12</v>
      </c>
      <c r="P88" s="44">
        <v>3</v>
      </c>
      <c r="Q88" s="34">
        <v>0.8</v>
      </c>
      <c r="R88" s="34"/>
      <c r="S88" s="38"/>
    </row>
    <row customHeight="true" ht="23.703703703703702" r="89">
      <c r="B89" s="26" t="s">
        <v>54</v>
      </c>
    </row>
    <row customHeight="true" ht="23.703703703703702" r="90">
      <c r="A90" s="20" t="s">
        <v>55</v>
      </c>
      <c r="B90" s="21" t="s">
        <v>28</v>
      </c>
      <c r="C90" s="39" t="s">
        <v>29</v>
      </c>
      <c r="D90" s="21" t="s">
        <v>30</v>
      </c>
      <c r="E90" s="22" t="s">
        <v>31</v>
      </c>
      <c r="F90" s="23" t="s">
        <v>32</v>
      </c>
      <c r="G90" s="22" t="s">
        <v>33</v>
      </c>
      <c r="H90" s="40" t="s">
        <v>34</v>
      </c>
      <c r="I90" s="22" t="s">
        <v>35</v>
      </c>
      <c r="J90" s="22" t="s">
        <v>32</v>
      </c>
      <c r="K90" s="24" t="s">
        <v>36</v>
      </c>
      <c r="L90" s="22" t="s">
        <v>37</v>
      </c>
      <c r="M90" s="22" t="s">
        <v>38</v>
      </c>
      <c r="N90" s="21" t="s">
        <v>39</v>
      </c>
      <c r="O90" s="41" t="s">
        <v>40</v>
      </c>
      <c r="P90" s="25" t="s">
        <v>41</v>
      </c>
      <c r="Q90" s="24" t="s">
        <v>42</v>
      </c>
      <c r="R90" s="24" t="s">
        <v>43</v>
      </c>
      <c r="S90" s="24" t="s">
        <v>56</v>
      </c>
    </row>
    <row customHeight="true" ht="23.703703703703702" r="91">
      <c r="A91" s="42">
        <v>46029</v>
      </c>
      <c r="B91" s="28" t="s">
        <v>46</v>
      </c>
      <c r="C91" s="28">
        <v>16</v>
      </c>
      <c r="D91" s="43">
        <v>55.85</v>
      </c>
      <c r="E91" s="30">
        <v>893.6</v>
      </c>
      <c r="F91" s="29">
        <v>3.78</v>
      </c>
      <c r="G91" s="30">
        <v>128</v>
      </c>
      <c r="H91" s="30">
        <v>195.62</v>
      </c>
      <c r="I91" s="30">
        <v>22.34</v>
      </c>
      <c r="J91" s="30">
        <v>-29.48</v>
      </c>
      <c r="K91" s="32">
        <v>-0.0329901521933751</v>
      </c>
      <c r="L91" s="30">
        <v>-235.84</v>
      </c>
      <c r="M91" s="30">
        <v>7148.8</v>
      </c>
      <c r="N91" s="32">
        <v>0.218912264995524</v>
      </c>
      <c r="O91" s="44">
        <v>15</v>
      </c>
      <c r="P91" s="44">
        <v>1</v>
      </c>
      <c r="Q91" s="34">
        <v>0.9375</v>
      </c>
      <c r="R91" s="34">
        <v>0.233506415995225</v>
      </c>
      <c r="S91" s="38" t="s">
        <v>59</v>
      </c>
    </row>
    <row customHeight="true" ht="23.703703703703702" r="92">
      <c r="A92" s="42">
        <v>46029</v>
      </c>
      <c r="B92" s="28" t="s">
        <v>47</v>
      </c>
      <c r="C92" s="28">
        <v>0</v>
      </c>
      <c r="D92" s="43">
        <v>58</v>
      </c>
      <c r="E92" s="30">
        <v>0</v>
      </c>
      <c r="F92" s="29">
        <v>3.13</v>
      </c>
      <c r="G92" s="30">
        <v>0</v>
      </c>
      <c r="H92" s="30">
        <v>8.79</v>
      </c>
      <c r="I92" s="30">
        <v>0</v>
      </c>
      <c r="J92" s="30">
        <v>-8.79</v>
      </c>
      <c r="K92" s="32">
        <v>0</v>
      </c>
      <c r="L92" s="30">
        <v>-70.32</v>
      </c>
      <c r="M92" s="30">
        <v>0</v>
      </c>
      <c r="N92" s="32">
        <v>0</v>
      </c>
      <c r="O92" s="44">
        <v>0</v>
      </c>
      <c r="P92" s="44">
        <v>0</v>
      </c>
      <c r="Q92" s="34">
        <v>0</v>
      </c>
      <c r="R92" s="34">
        <v>0</v>
      </c>
      <c r="S92" s="38" t="s">
        <v>59</v>
      </c>
    </row>
    <row customHeight="true" ht="23.703703703703702" r="93">
      <c r="A93" s="42">
        <v>46029</v>
      </c>
      <c r="B93" s="28" t="s">
        <v>49</v>
      </c>
      <c r="C93" s="28">
        <v>11</v>
      </c>
      <c r="D93" s="43">
        <v>58.8</v>
      </c>
      <c r="E93" s="30">
        <v>646.8</v>
      </c>
      <c r="F93" s="29">
        <v>6.26</v>
      </c>
      <c r="G93" s="30">
        <v>88</v>
      </c>
      <c r="H93" s="30">
        <v>32.57</v>
      </c>
      <c r="I93" s="30">
        <v>16.17</v>
      </c>
      <c r="J93" s="30">
        <v>108.12</v>
      </c>
      <c r="K93" s="32">
        <v>0.167161410018553</v>
      </c>
      <c r="L93" s="30">
        <v>864.96</v>
      </c>
      <c r="M93" s="30">
        <v>5174.4</v>
      </c>
      <c r="N93" s="32">
        <v>0.0503555967841682</v>
      </c>
      <c r="O93" s="44">
        <v>3</v>
      </c>
      <c r="P93" s="44">
        <v>8</v>
      </c>
      <c r="Q93" s="34">
        <v>0.272727272727273</v>
      </c>
      <c r="R93" s="34">
        <v>0.184637188208617</v>
      </c>
      <c r="S93" s="38" t="s">
        <v>60</v>
      </c>
    </row>
    <row customHeight="true" ht="23.703703703703702" r="94">
      <c r="A94" s="42">
        <v>46029</v>
      </c>
      <c r="B94" s="28" t="s">
        <v>50</v>
      </c>
      <c r="C94" s="28">
        <v>6</v>
      </c>
      <c r="D94" s="43">
        <v>59.35</v>
      </c>
      <c r="E94" s="30">
        <v>356.1</v>
      </c>
      <c r="F94" s="29">
        <v>15.72</v>
      </c>
      <c r="G94" s="30">
        <v>48</v>
      </c>
      <c r="H94" s="30">
        <v>54.82</v>
      </c>
      <c r="I94" s="30">
        <v>8.9025</v>
      </c>
      <c r="J94" s="30">
        <v>78.5975</v>
      </c>
      <c r="K94" s="32">
        <v>0.22071749508565</v>
      </c>
      <c r="L94" s="30">
        <v>628.78</v>
      </c>
      <c r="M94" s="30">
        <v>2848.8</v>
      </c>
      <c r="N94" s="32">
        <v>0.15394552092109</v>
      </c>
      <c r="O94" s="44">
        <v>1</v>
      </c>
      <c r="P94" s="44">
        <v>5</v>
      </c>
      <c r="Q94" s="34">
        <v>0.166666666666667</v>
      </c>
      <c r="R94" s="34">
        <v>0.923673125526536</v>
      </c>
      <c r="S94" s="38" t="s">
        <v>57</v>
      </c>
    </row>
    <row customHeight="true" ht="23.703703703703702" r="95">
      <c r="A95" s="42">
        <v>46029</v>
      </c>
      <c r="B95" s="28" t="s">
        <v>52</v>
      </c>
      <c r="C95" s="28">
        <v>3</v>
      </c>
      <c r="D95" s="43">
        <v>52.3</v>
      </c>
      <c r="E95" s="30">
        <v>156.9</v>
      </c>
      <c r="F95" s="29">
        <v>14.72</v>
      </c>
      <c r="G95" s="30">
        <v>24</v>
      </c>
      <c r="H95" s="30">
        <v>17.2</v>
      </c>
      <c r="I95" s="30">
        <v>3.9225</v>
      </c>
      <c r="J95" s="30">
        <v>47.0375</v>
      </c>
      <c r="K95" s="32">
        <v>0.299792861695347</v>
      </c>
      <c r="L95" s="30">
        <v>423.3375</v>
      </c>
      <c r="M95" s="30">
        <v>1412.1</v>
      </c>
      <c r="N95" s="32">
        <v>0.109623964308477</v>
      </c>
      <c r="O95" s="44">
        <v>1</v>
      </c>
      <c r="P95" s="44">
        <v>2</v>
      </c>
      <c r="Q95" s="34">
        <v>0.333333333333333</v>
      </c>
      <c r="R95" s="34">
        <v>0.328871892925431</v>
      </c>
      <c r="S95" s="38" t="s">
        <v>57</v>
      </c>
    </row>
    <row customHeight="true" ht="23.703703703703702" r="96">
      <c r="A96" s="42">
        <v>46029</v>
      </c>
      <c r="B96" s="28" t="s">
        <v>27</v>
      </c>
      <c r="C96" s="28">
        <v>36</v>
      </c>
      <c r="D96" s="38"/>
      <c r="E96" s="30">
        <v>2053.4</v>
      </c>
      <c r="F96" s="31">
        <v>43.61</v>
      </c>
      <c r="G96" s="30"/>
      <c r="H96" s="30"/>
      <c r="I96" s="30"/>
      <c r="J96" s="30">
        <v>195.485</v>
      </c>
      <c r="K96" s="32">
        <v>0.0952006428362715</v>
      </c>
      <c r="L96" s="30">
        <v>1610.9175</v>
      </c>
      <c r="M96" s="30">
        <v>16584.1</v>
      </c>
      <c r="N96" s="32"/>
      <c r="O96" s="44">
        <v>20</v>
      </c>
      <c r="P96" s="44">
        <v>16</v>
      </c>
      <c r="Q96" s="34">
        <v>0.555555555555556</v>
      </c>
      <c r="R96" s="34"/>
      <c r="S96" s="38"/>
    </row>
    <row customHeight="true" ht="23.703703703703702" r="97">
      <c r="B97" s="26" t="s">
        <v>54</v>
      </c>
    </row>
    <row customHeight="true" ht="23.703703703703702" r="98">
      <c r="A98" s="20" t="s">
        <v>55</v>
      </c>
      <c r="B98" s="21" t="s">
        <v>28</v>
      </c>
      <c r="C98" s="39" t="s">
        <v>29</v>
      </c>
      <c r="D98" s="21" t="s">
        <v>30</v>
      </c>
      <c r="E98" s="22" t="s">
        <v>31</v>
      </c>
      <c r="F98" s="23" t="s">
        <v>32</v>
      </c>
      <c r="G98" s="22" t="s">
        <v>33</v>
      </c>
      <c r="H98" s="40" t="s">
        <v>34</v>
      </c>
      <c r="I98" s="22" t="s">
        <v>35</v>
      </c>
      <c r="J98" s="22" t="s">
        <v>32</v>
      </c>
      <c r="K98" s="24" t="s">
        <v>36</v>
      </c>
      <c r="L98" s="22" t="s">
        <v>37</v>
      </c>
      <c r="M98" s="22" t="s">
        <v>38</v>
      </c>
      <c r="N98" s="21" t="s">
        <v>39</v>
      </c>
      <c r="O98" s="41" t="s">
        <v>40</v>
      </c>
      <c r="P98" s="25" t="s">
        <v>41</v>
      </c>
      <c r="Q98" s="24" t="s">
        <v>42</v>
      </c>
      <c r="R98" s="24" t="s">
        <v>43</v>
      </c>
      <c r="S98" s="24" t="s">
        <v>56</v>
      </c>
    </row>
    <row customHeight="true" ht="23.703703703703702" r="99">
      <c r="A99" s="42">
        <v>46030</v>
      </c>
      <c r="B99" s="28" t="s">
        <v>46</v>
      </c>
      <c r="C99" s="28">
        <v>22</v>
      </c>
      <c r="D99" s="43">
        <v>55.85</v>
      </c>
      <c r="E99" s="30">
        <v>1228.7</v>
      </c>
      <c r="F99" s="29">
        <v>3.78</v>
      </c>
      <c r="G99" s="30">
        <v>176</v>
      </c>
      <c r="H99" s="30">
        <v>198.13</v>
      </c>
      <c r="I99" s="30">
        <v>30.7175</v>
      </c>
      <c r="J99" s="30">
        <v>30.3125</v>
      </c>
      <c r="K99" s="32">
        <v>0.0246703833319769</v>
      </c>
      <c r="L99" s="30">
        <v>242.5</v>
      </c>
      <c r="M99" s="30">
        <v>9829.6</v>
      </c>
      <c r="N99" s="32">
        <v>0.161251729470172</v>
      </c>
      <c r="O99" s="44">
        <v>15</v>
      </c>
      <c r="P99" s="44">
        <v>7</v>
      </c>
      <c r="Q99" s="34">
        <v>0.681818181818182</v>
      </c>
      <c r="R99" s="34">
        <v>0.236502536556252</v>
      </c>
      <c r="S99" s="38" t="s">
        <v>59</v>
      </c>
    </row>
    <row customHeight="true" ht="23.703703703703702" r="100">
      <c r="A100" s="42">
        <v>46030</v>
      </c>
      <c r="B100" s="28" t="s">
        <v>47</v>
      </c>
      <c r="C100" s="28">
        <v>2</v>
      </c>
      <c r="D100" s="43">
        <v>58</v>
      </c>
      <c r="E100" s="30">
        <v>116</v>
      </c>
      <c r="F100" s="29">
        <v>3.13</v>
      </c>
      <c r="G100" s="30">
        <v>16</v>
      </c>
      <c r="H100" s="30">
        <v>8.79</v>
      </c>
      <c r="I100" s="30">
        <v>2.9</v>
      </c>
      <c r="J100" s="30">
        <v>10.57</v>
      </c>
      <c r="K100" s="32">
        <v>0.0911206896551724</v>
      </c>
      <c r="L100" s="30">
        <v>84.56</v>
      </c>
      <c r="M100" s="30">
        <v>928</v>
      </c>
      <c r="N100" s="32">
        <v>0.0757758620689655</v>
      </c>
      <c r="O100" s="44">
        <v>1</v>
      </c>
      <c r="P100" s="44">
        <v>1</v>
      </c>
      <c r="Q100" s="34">
        <v>0.5</v>
      </c>
      <c r="R100" s="34">
        <v>0.151551724137931</v>
      </c>
      <c r="S100" s="38" t="s">
        <v>59</v>
      </c>
    </row>
    <row customHeight="true" ht="23.703703703703702" r="101">
      <c r="A101" s="42">
        <v>46030</v>
      </c>
      <c r="B101" s="28" t="s">
        <v>49</v>
      </c>
      <c r="C101" s="28">
        <v>13</v>
      </c>
      <c r="D101" s="43">
        <v>58.8</v>
      </c>
      <c r="E101" s="30">
        <v>764.4</v>
      </c>
      <c r="F101" s="29">
        <v>6.26</v>
      </c>
      <c r="G101" s="30">
        <v>104</v>
      </c>
      <c r="H101" s="30">
        <v>40.67</v>
      </c>
      <c r="I101" s="30">
        <v>19.11</v>
      </c>
      <c r="J101" s="30">
        <v>125.6</v>
      </c>
      <c r="K101" s="32">
        <v>0.164311878597593</v>
      </c>
      <c r="L101" s="30">
        <v>1004.8</v>
      </c>
      <c r="M101" s="30">
        <v>6115.2</v>
      </c>
      <c r="N101" s="32">
        <v>0.0532051282051282</v>
      </c>
      <c r="O101" s="44">
        <v>3</v>
      </c>
      <c r="P101" s="44">
        <v>10</v>
      </c>
      <c r="Q101" s="34">
        <v>0.230769230769231</v>
      </c>
      <c r="R101" s="34">
        <v>0.230555555555555</v>
      </c>
      <c r="S101" s="38" t="s">
        <v>60</v>
      </c>
    </row>
    <row customHeight="true" ht="23.703703703703702" r="102">
      <c r="A102" s="42">
        <v>46030</v>
      </c>
      <c r="B102" s="28" t="s">
        <v>50</v>
      </c>
      <c r="C102" s="28">
        <v>4</v>
      </c>
      <c r="D102" s="43">
        <v>59.35</v>
      </c>
      <c r="E102" s="30">
        <v>237.4</v>
      </c>
      <c r="F102" s="29">
        <v>15.72</v>
      </c>
      <c r="G102" s="30">
        <v>32</v>
      </c>
      <c r="H102" s="30">
        <v>44.95</v>
      </c>
      <c r="I102" s="30">
        <v>5.935</v>
      </c>
      <c r="J102" s="30">
        <v>43.995</v>
      </c>
      <c r="K102" s="32">
        <v>0.185320134793597</v>
      </c>
      <c r="L102" s="30">
        <v>351.96</v>
      </c>
      <c r="M102" s="30">
        <v>1899.2</v>
      </c>
      <c r="N102" s="32">
        <v>0.189342881213142</v>
      </c>
      <c r="O102" s="44">
        <v>2</v>
      </c>
      <c r="P102" s="44">
        <v>2</v>
      </c>
      <c r="Q102" s="34">
        <v>0.5</v>
      </c>
      <c r="R102" s="34">
        <v>0.378685762426285</v>
      </c>
      <c r="S102" s="38" t="s">
        <v>57</v>
      </c>
    </row>
    <row customHeight="true" ht="23.703703703703702" r="103">
      <c r="A103" s="42">
        <v>46030</v>
      </c>
      <c r="B103" s="28" t="s">
        <v>52</v>
      </c>
      <c r="C103" s="28">
        <v>3</v>
      </c>
      <c r="D103" s="43">
        <v>52.3</v>
      </c>
      <c r="E103" s="30">
        <v>156.9</v>
      </c>
      <c r="F103" s="29">
        <v>14.72</v>
      </c>
      <c r="G103" s="30">
        <v>24</v>
      </c>
      <c r="H103" s="30">
        <v>18.02</v>
      </c>
      <c r="I103" s="30">
        <v>3.9225</v>
      </c>
      <c r="J103" s="30">
        <v>46.2175</v>
      </c>
      <c r="K103" s="32">
        <v>0.294566602931804</v>
      </c>
      <c r="L103" s="30">
        <v>415.9575</v>
      </c>
      <c r="M103" s="30">
        <v>1412.1</v>
      </c>
      <c r="N103" s="32">
        <v>0.11485022307202</v>
      </c>
      <c r="O103" s="44">
        <v>2</v>
      </c>
      <c r="P103" s="44">
        <v>1</v>
      </c>
      <c r="Q103" s="34">
        <v>0.666666666666667</v>
      </c>
      <c r="R103" s="34">
        <v>0.172275334608031</v>
      </c>
      <c r="S103" s="38" t="s">
        <v>57</v>
      </c>
    </row>
    <row customHeight="true" ht="23.703703703703702" r="104">
      <c r="A104" s="42">
        <v>46030</v>
      </c>
      <c r="B104" s="28" t="s">
        <v>27</v>
      </c>
      <c r="C104" s="28">
        <v>44</v>
      </c>
      <c r="D104" s="38"/>
      <c r="E104" s="30">
        <v>2503.4</v>
      </c>
      <c r="F104" s="31">
        <v>43.61</v>
      </c>
      <c r="G104" s="30"/>
      <c r="H104" s="30"/>
      <c r="I104" s="30"/>
      <c r="J104" s="30">
        <v>256.695</v>
      </c>
      <c r="K104" s="32">
        <v>0.102538547575298</v>
      </c>
      <c r="L104" s="30">
        <v>2099.7775</v>
      </c>
      <c r="M104" s="30">
        <v>20184.1</v>
      </c>
      <c r="N104" s="32"/>
      <c r="O104" s="44">
        <v>23</v>
      </c>
      <c r="P104" s="44">
        <v>21</v>
      </c>
      <c r="Q104" s="34">
        <v>0.522727272727273</v>
      </c>
      <c r="R104" s="34"/>
      <c r="S104" s="38"/>
    </row>
    <row customHeight="true" ht="23.703703703703702" r="105">
      <c r="B105" s="26" t="s">
        <v>54</v>
      </c>
    </row>
    <row customHeight="true" ht="23.703703703703702" r="106">
      <c r="A106" s="20" t="s">
        <v>55</v>
      </c>
      <c r="B106" s="21" t="s">
        <v>28</v>
      </c>
      <c r="C106" s="39" t="s">
        <v>29</v>
      </c>
      <c r="D106" s="21" t="s">
        <v>30</v>
      </c>
      <c r="E106" s="22" t="s">
        <v>31</v>
      </c>
      <c r="F106" s="23" t="s">
        <v>32</v>
      </c>
      <c r="G106" s="22" t="s">
        <v>33</v>
      </c>
      <c r="H106" s="40" t="s">
        <v>34</v>
      </c>
      <c r="I106" s="22" t="s">
        <v>35</v>
      </c>
      <c r="J106" s="22" t="s">
        <v>32</v>
      </c>
      <c r="K106" s="24" t="s">
        <v>36</v>
      </c>
      <c r="L106" s="22" t="s">
        <v>37</v>
      </c>
      <c r="M106" s="22" t="s">
        <v>38</v>
      </c>
      <c r="N106" s="21" t="s">
        <v>39</v>
      </c>
      <c r="O106" s="41" t="s">
        <v>40</v>
      </c>
      <c r="P106" s="25" t="s">
        <v>41</v>
      </c>
      <c r="Q106" s="24" t="s">
        <v>42</v>
      </c>
      <c r="R106" s="24" t="s">
        <v>43</v>
      </c>
      <c r="S106" s="24" t="s">
        <v>56</v>
      </c>
    </row>
    <row customHeight="true" ht="23.703703703703702" r="107">
      <c r="A107" s="42">
        <v>46031</v>
      </c>
      <c r="B107" s="28" t="s">
        <v>46</v>
      </c>
      <c r="C107" s="28">
        <v>18</v>
      </c>
      <c r="D107" s="43">
        <v>55.85</v>
      </c>
      <c r="E107" s="30">
        <v>1005.3</v>
      </c>
      <c r="F107" s="29">
        <v>5.69</v>
      </c>
      <c r="G107" s="30">
        <v>144</v>
      </c>
      <c r="H107" s="30">
        <v>145.31</v>
      </c>
      <c r="I107" s="30">
        <v>25.1325</v>
      </c>
      <c r="J107" s="30">
        <v>75.9775</v>
      </c>
      <c r="K107" s="32">
        <v>0.0755769422063066</v>
      </c>
      <c r="L107" s="30">
        <v>607.82</v>
      </c>
      <c r="M107" s="30">
        <v>8042.4</v>
      </c>
      <c r="N107" s="32">
        <v>0.144543917238635</v>
      </c>
      <c r="O107" s="44">
        <v>11</v>
      </c>
      <c r="P107" s="44">
        <v>7</v>
      </c>
      <c r="Q107" s="34">
        <v>0.611111111111111</v>
      </c>
      <c r="R107" s="34">
        <v>0.236526410026858</v>
      </c>
      <c r="S107" s="45" t="s">
        <v>61</v>
      </c>
    </row>
    <row customHeight="true" ht="23.703703703703702" r="108">
      <c r="A108" s="42">
        <v>46031</v>
      </c>
      <c r="B108" s="28" t="s">
        <v>47</v>
      </c>
      <c r="C108" s="28">
        <v>3</v>
      </c>
      <c r="D108" s="43">
        <v>58</v>
      </c>
      <c r="E108" s="30">
        <v>174</v>
      </c>
      <c r="F108" s="29">
        <v>3.13</v>
      </c>
      <c r="G108" s="30">
        <v>24</v>
      </c>
      <c r="H108" s="30">
        <v>8.08</v>
      </c>
      <c r="I108" s="30">
        <v>4.35</v>
      </c>
      <c r="J108" s="30">
        <v>20.96</v>
      </c>
      <c r="K108" s="32">
        <v>0.120459770114943</v>
      </c>
      <c r="L108" s="30">
        <v>167.68</v>
      </c>
      <c r="M108" s="30">
        <v>1392</v>
      </c>
      <c r="N108" s="32">
        <v>0.0464367816091954</v>
      </c>
      <c r="O108" s="44">
        <v>1</v>
      </c>
      <c r="P108" s="44">
        <v>2</v>
      </c>
      <c r="Q108" s="34">
        <v>0.333333333333333</v>
      </c>
      <c r="R108" s="34">
        <v>0.139310344827586</v>
      </c>
      <c r="S108" s="38" t="s">
        <v>59</v>
      </c>
    </row>
    <row customHeight="true" ht="23.703703703703702" r="109">
      <c r="A109" s="42">
        <v>46031</v>
      </c>
      <c r="B109" s="28" t="s">
        <v>49</v>
      </c>
      <c r="C109" s="28">
        <v>10</v>
      </c>
      <c r="D109" s="43">
        <v>58.8</v>
      </c>
      <c r="E109" s="30">
        <v>588</v>
      </c>
      <c r="F109" s="29">
        <v>6.26</v>
      </c>
      <c r="G109" s="30">
        <v>80</v>
      </c>
      <c r="H109" s="30">
        <v>40.67</v>
      </c>
      <c r="I109" s="30">
        <v>14.7</v>
      </c>
      <c r="J109" s="30">
        <v>87.23</v>
      </c>
      <c r="K109" s="32">
        <v>0.148350340136054</v>
      </c>
      <c r="L109" s="30">
        <v>697.84</v>
      </c>
      <c r="M109" s="30">
        <v>4704</v>
      </c>
      <c r="N109" s="32">
        <v>0.0691666666666667</v>
      </c>
      <c r="O109" s="44">
        <v>4</v>
      </c>
      <c r="P109" s="44">
        <v>6</v>
      </c>
      <c r="Q109" s="34">
        <v>0.4</v>
      </c>
      <c r="R109" s="34">
        <v>0.172916666666667</v>
      </c>
      <c r="S109" s="38" t="s">
        <v>60</v>
      </c>
    </row>
    <row customHeight="true" ht="23.703703703703702" r="110">
      <c r="A110" s="42">
        <v>46031</v>
      </c>
      <c r="B110" s="28" t="s">
        <v>50</v>
      </c>
      <c r="C110" s="28">
        <v>1</v>
      </c>
      <c r="D110" s="43">
        <v>59.35</v>
      </c>
      <c r="E110" s="30">
        <v>59.35</v>
      </c>
      <c r="F110" s="29">
        <v>15.72</v>
      </c>
      <c r="G110" s="30">
        <v>8</v>
      </c>
      <c r="H110" s="30">
        <v>35.38</v>
      </c>
      <c r="I110" s="30">
        <v>1.48375</v>
      </c>
      <c r="J110" s="30">
        <v>-13.14375</v>
      </c>
      <c r="K110" s="32">
        <v>-0.221461668070767</v>
      </c>
      <c r="L110" s="30">
        <v>-105.15</v>
      </c>
      <c r="M110" s="30">
        <v>474.8</v>
      </c>
      <c r="N110" s="32">
        <v>0.596124684077506</v>
      </c>
      <c r="O110" s="44">
        <v>1</v>
      </c>
      <c r="P110" s="44">
        <v>0</v>
      </c>
      <c r="Q110" s="34">
        <v>1</v>
      </c>
      <c r="R110" s="34">
        <v>0.596124684077506</v>
      </c>
      <c r="S110" s="38" t="s">
        <v>57</v>
      </c>
    </row>
    <row customHeight="true" ht="23.703703703703702" r="111">
      <c r="A111" s="42">
        <v>46031</v>
      </c>
      <c r="B111" s="28" t="s">
        <v>52</v>
      </c>
      <c r="C111" s="28">
        <v>2</v>
      </c>
      <c r="D111" s="43">
        <v>52.3</v>
      </c>
      <c r="E111" s="30">
        <v>104.6</v>
      </c>
      <c r="F111" s="29">
        <v>14.72</v>
      </c>
      <c r="G111" s="30">
        <v>16</v>
      </c>
      <c r="H111" s="30">
        <v>23.07</v>
      </c>
      <c r="I111" s="30">
        <v>2.615</v>
      </c>
      <c r="J111" s="30">
        <v>19.755</v>
      </c>
      <c r="K111" s="32">
        <v>0.188862332695985</v>
      </c>
      <c r="L111" s="30">
        <v>177.795</v>
      </c>
      <c r="M111" s="30">
        <v>941.4</v>
      </c>
      <c r="N111" s="32">
        <v>0.220554493307839</v>
      </c>
      <c r="O111" s="44">
        <v>1</v>
      </c>
      <c r="P111" s="44">
        <v>1</v>
      </c>
      <c r="Q111" s="34">
        <v>0.5</v>
      </c>
      <c r="R111" s="34">
        <v>0.441108986615679</v>
      </c>
      <c r="S111" s="38" t="s">
        <v>57</v>
      </c>
    </row>
    <row customHeight="true" ht="23.703703703703702" r="112">
      <c r="A112" s="42">
        <v>46031</v>
      </c>
      <c r="B112" s="28" t="s">
        <v>27</v>
      </c>
      <c r="C112" s="28">
        <v>34</v>
      </c>
      <c r="D112" s="38"/>
      <c r="E112" s="30">
        <v>1931.25</v>
      </c>
      <c r="F112" s="31">
        <v>45.52</v>
      </c>
      <c r="G112" s="30"/>
      <c r="H112" s="30"/>
      <c r="I112" s="30"/>
      <c r="J112" s="30">
        <v>190.77875</v>
      </c>
      <c r="K112" s="32">
        <v>0.0987851132686084</v>
      </c>
      <c r="L112" s="30">
        <v>1545.985</v>
      </c>
      <c r="M112" s="30">
        <v>15554.6</v>
      </c>
      <c r="N112" s="32"/>
      <c r="O112" s="44">
        <v>18</v>
      </c>
      <c r="P112" s="44">
        <v>16</v>
      </c>
      <c r="Q112" s="34">
        <v>0.529411764705882</v>
      </c>
      <c r="R112" s="34"/>
      <c r="S112" s="38"/>
    </row>
    <row customHeight="true" ht="23.703703703703702" r="113">
      <c r="B113" s="26" t="s">
        <v>54</v>
      </c>
    </row>
    <row customHeight="true" ht="23.703703703703702" r="114">
      <c r="A114" s="20" t="s">
        <v>55</v>
      </c>
      <c r="B114" s="21" t="s">
        <v>28</v>
      </c>
      <c r="C114" s="39" t="s">
        <v>29</v>
      </c>
      <c r="D114" s="21" t="s">
        <v>30</v>
      </c>
      <c r="E114" s="22" t="s">
        <v>31</v>
      </c>
      <c r="F114" s="23" t="s">
        <v>32</v>
      </c>
      <c r="G114" s="22" t="s">
        <v>33</v>
      </c>
      <c r="H114" s="40" t="s">
        <v>34</v>
      </c>
      <c r="I114" s="22" t="s">
        <v>35</v>
      </c>
      <c r="J114" s="22" t="s">
        <v>32</v>
      </c>
      <c r="K114" s="24" t="s">
        <v>36</v>
      </c>
      <c r="L114" s="22" t="s">
        <v>37</v>
      </c>
      <c r="M114" s="22" t="s">
        <v>38</v>
      </c>
      <c r="N114" s="21" t="s">
        <v>39</v>
      </c>
      <c r="O114" s="41" t="s">
        <v>40</v>
      </c>
      <c r="P114" s="25" t="s">
        <v>41</v>
      </c>
      <c r="Q114" s="24" t="s">
        <v>42</v>
      </c>
      <c r="R114" s="24" t="s">
        <v>43</v>
      </c>
      <c r="S114" s="24" t="s">
        <v>56</v>
      </c>
    </row>
    <row customHeight="true" ht="23.703703703703702" r="115">
      <c r="A115" s="42">
        <v>46032</v>
      </c>
      <c r="B115" s="28" t="s">
        <v>46</v>
      </c>
      <c r="C115" s="28">
        <v>19</v>
      </c>
      <c r="D115" s="43">
        <v>55.85</v>
      </c>
      <c r="E115" s="30">
        <v>1061.15</v>
      </c>
      <c r="F115" s="29">
        <v>5.69</v>
      </c>
      <c r="G115" s="30">
        <v>152</v>
      </c>
      <c r="H115" s="30">
        <v>142.78</v>
      </c>
      <c r="I115" s="30">
        <v>26.52875</v>
      </c>
      <c r="J115" s="30">
        <v>90.80125</v>
      </c>
      <c r="K115" s="32">
        <v>0.0855687226122603</v>
      </c>
      <c r="L115" s="30">
        <v>726.41</v>
      </c>
      <c r="M115" s="30">
        <v>8489.2</v>
      </c>
      <c r="N115" s="32">
        <v>0.134552136832682</v>
      </c>
      <c r="O115" s="44">
        <v>12</v>
      </c>
      <c r="P115" s="44">
        <v>7</v>
      </c>
      <c r="Q115" s="34">
        <v>0.631578947368421</v>
      </c>
      <c r="R115" s="34">
        <v>0.213040883318412</v>
      </c>
      <c r="S115" s="45" t="s">
        <v>61</v>
      </c>
    </row>
    <row customHeight="true" ht="23.703703703703702" r="116">
      <c r="A116" s="42">
        <v>46032</v>
      </c>
      <c r="B116" s="28" t="s">
        <v>47</v>
      </c>
      <c r="C116" s="28">
        <v>0</v>
      </c>
      <c r="D116" s="43">
        <v>58</v>
      </c>
      <c r="E116" s="30">
        <v>0</v>
      </c>
      <c r="F116" s="29">
        <v>3.13</v>
      </c>
      <c r="G116" s="30">
        <v>0</v>
      </c>
      <c r="H116" s="30">
        <v>6.42</v>
      </c>
      <c r="I116" s="30">
        <v>0</v>
      </c>
      <c r="J116" s="30">
        <v>-6.42</v>
      </c>
      <c r="K116" s="32">
        <v>0</v>
      </c>
      <c r="L116" s="30">
        <v>-51.36</v>
      </c>
      <c r="M116" s="30">
        <v>0</v>
      </c>
      <c r="N116" s="32">
        <v>0</v>
      </c>
      <c r="O116" s="44">
        <v>0</v>
      </c>
      <c r="P116" s="44">
        <v>0</v>
      </c>
      <c r="Q116" s="34">
        <v>0</v>
      </c>
      <c r="R116" s="34">
        <v>0</v>
      </c>
      <c r="S116" s="38" t="s">
        <v>59</v>
      </c>
    </row>
    <row customHeight="true" ht="23.703703703703702" r="117">
      <c r="A117" s="42">
        <v>46032</v>
      </c>
      <c r="B117" s="28" t="s">
        <v>49</v>
      </c>
      <c r="C117" s="28">
        <v>25</v>
      </c>
      <c r="D117" s="43">
        <v>58.8</v>
      </c>
      <c r="E117" s="30">
        <v>1470</v>
      </c>
      <c r="F117" s="29">
        <v>6.26</v>
      </c>
      <c r="G117" s="30">
        <v>200</v>
      </c>
      <c r="H117" s="30">
        <v>103.93</v>
      </c>
      <c r="I117" s="30">
        <v>36.75</v>
      </c>
      <c r="J117" s="30">
        <v>215.82</v>
      </c>
      <c r="K117" s="32">
        <v>0.146816326530612</v>
      </c>
      <c r="L117" s="30">
        <v>1726.56</v>
      </c>
      <c r="M117" s="30">
        <v>11760</v>
      </c>
      <c r="N117" s="32">
        <v>0.0707006802721089</v>
      </c>
      <c r="O117" s="44">
        <v>8</v>
      </c>
      <c r="P117" s="44">
        <v>17</v>
      </c>
      <c r="Q117" s="34">
        <v>0.32</v>
      </c>
      <c r="R117" s="34">
        <v>0.22093962585034</v>
      </c>
      <c r="S117" s="38" t="s">
        <v>60</v>
      </c>
    </row>
    <row customHeight="true" ht="23.703703703703702" r="118">
      <c r="A118" s="42">
        <v>46032</v>
      </c>
      <c r="B118" s="28" t="s">
        <v>50</v>
      </c>
      <c r="C118" s="28">
        <v>2</v>
      </c>
      <c r="D118" s="43">
        <v>59.35</v>
      </c>
      <c r="E118" s="30">
        <v>118.7</v>
      </c>
      <c r="F118" s="29">
        <v>15.72</v>
      </c>
      <c r="G118" s="30">
        <v>16</v>
      </c>
      <c r="H118" s="30">
        <v>49.43</v>
      </c>
      <c r="I118" s="30">
        <v>2.9675</v>
      </c>
      <c r="J118" s="30">
        <v>-4.9575</v>
      </c>
      <c r="K118" s="32">
        <v>-0.0417649536647009</v>
      </c>
      <c r="L118" s="30">
        <v>-39.66</v>
      </c>
      <c r="M118" s="30">
        <v>949.6</v>
      </c>
      <c r="N118" s="32">
        <v>0.416427969671441</v>
      </c>
      <c r="O118" s="44">
        <v>1</v>
      </c>
      <c r="P118" s="44">
        <v>1</v>
      </c>
      <c r="Q118" s="34">
        <v>0.5</v>
      </c>
      <c r="R118" s="34">
        <v>0.832855939342881</v>
      </c>
      <c r="S118" s="38" t="s">
        <v>57</v>
      </c>
    </row>
    <row customHeight="true" ht="23.703703703703702" r="119">
      <c r="A119" s="42">
        <v>46032</v>
      </c>
      <c r="B119" s="28" t="s">
        <v>52</v>
      </c>
      <c r="C119" s="28">
        <v>0</v>
      </c>
      <c r="D119" s="43">
        <v>52.3</v>
      </c>
      <c r="E119" s="30">
        <v>0</v>
      </c>
      <c r="F119" s="29">
        <v>14.72</v>
      </c>
      <c r="G119" s="30">
        <v>0</v>
      </c>
      <c r="H119" s="30">
        <v>22.38</v>
      </c>
      <c r="I119" s="30">
        <v>0</v>
      </c>
      <c r="J119" s="30">
        <v>-22.38</v>
      </c>
      <c r="K119" s="32">
        <v>0</v>
      </c>
      <c r="L119" s="30">
        <v>-201.42</v>
      </c>
      <c r="M119" s="30">
        <v>0</v>
      </c>
      <c r="N119" s="32">
        <v>0</v>
      </c>
      <c r="O119" s="44">
        <v>0</v>
      </c>
      <c r="P119" s="44">
        <v>0</v>
      </c>
      <c r="Q119" s="34">
        <v>0</v>
      </c>
      <c r="R119" s="34">
        <v>0</v>
      </c>
      <c r="S119" s="38" t="s">
        <v>57</v>
      </c>
    </row>
    <row customHeight="true" ht="23.703703703703702" r="120">
      <c r="A120" s="42">
        <v>46032</v>
      </c>
      <c r="B120" s="28" t="s">
        <v>27</v>
      </c>
      <c r="C120" s="28">
        <v>46</v>
      </c>
      <c r="D120" s="38"/>
      <c r="E120" s="30">
        <v>2649.85</v>
      </c>
      <c r="F120" s="31">
        <v>45.52</v>
      </c>
      <c r="G120" s="30"/>
      <c r="H120" s="30"/>
      <c r="I120" s="30"/>
      <c r="J120" s="30">
        <v>272.86375</v>
      </c>
      <c r="K120" s="32">
        <v>0.1029732815065</v>
      </c>
      <c r="L120" s="30">
        <v>2160.53</v>
      </c>
      <c r="M120" s="30">
        <v>21198.8</v>
      </c>
      <c r="N120" s="32"/>
      <c r="O120" s="44">
        <v>21</v>
      </c>
      <c r="P120" s="44">
        <v>25</v>
      </c>
      <c r="Q120" s="34">
        <v>0.456521739130435</v>
      </c>
      <c r="R120" s="34"/>
      <c r="S120" s="38"/>
    </row>
    <row customHeight="true" ht="23.703703703703702" r="121">
      <c r="B121" s="26" t="s">
        <v>54</v>
      </c>
    </row>
    <row customHeight="true" ht="23.703703703703702" r="122">
      <c r="A122" s="20" t="s">
        <v>55</v>
      </c>
      <c r="B122" s="21" t="s">
        <v>28</v>
      </c>
      <c r="C122" s="39" t="s">
        <v>29</v>
      </c>
      <c r="D122" s="21" t="s">
        <v>30</v>
      </c>
      <c r="E122" s="22" t="s">
        <v>31</v>
      </c>
      <c r="F122" s="23" t="s">
        <v>32</v>
      </c>
      <c r="G122" s="22" t="s">
        <v>33</v>
      </c>
      <c r="H122" s="40" t="s">
        <v>34</v>
      </c>
      <c r="I122" s="22" t="s">
        <v>35</v>
      </c>
      <c r="J122" s="22" t="s">
        <v>32</v>
      </c>
      <c r="K122" s="24" t="s">
        <v>36</v>
      </c>
      <c r="L122" s="22" t="s">
        <v>37</v>
      </c>
      <c r="M122" s="22" t="s">
        <v>38</v>
      </c>
      <c r="N122" s="21" t="s">
        <v>39</v>
      </c>
      <c r="O122" s="41" t="s">
        <v>40</v>
      </c>
      <c r="P122" s="25" t="s">
        <v>41</v>
      </c>
      <c r="Q122" s="24" t="s">
        <v>42</v>
      </c>
      <c r="R122" s="24" t="s">
        <v>43</v>
      </c>
      <c r="S122" s="24" t="s">
        <v>56</v>
      </c>
    </row>
    <row customHeight="true" ht="23.703703703703702" r="123">
      <c r="A123" s="42">
        <v>46033</v>
      </c>
      <c r="B123" s="28" t="s">
        <v>46</v>
      </c>
      <c r="C123" s="28">
        <v>26</v>
      </c>
      <c r="D123" s="43">
        <v>55.85</v>
      </c>
      <c r="E123" s="30">
        <v>1452.1</v>
      </c>
      <c r="F123" s="29">
        <v>5.69</v>
      </c>
      <c r="G123" s="30">
        <v>208</v>
      </c>
      <c r="H123" s="30">
        <v>103.6</v>
      </c>
      <c r="I123" s="30">
        <v>36.3025</v>
      </c>
      <c r="J123" s="30">
        <v>216.0375</v>
      </c>
      <c r="K123" s="32">
        <v>0.148775910749948</v>
      </c>
      <c r="L123" s="30">
        <v>1728.3</v>
      </c>
      <c r="M123" s="30">
        <v>11616.8</v>
      </c>
      <c r="N123" s="32">
        <v>0.0713449486949934</v>
      </c>
      <c r="O123" s="44">
        <v>13</v>
      </c>
      <c r="P123" s="44">
        <v>13</v>
      </c>
      <c r="Q123" s="34">
        <v>0.5</v>
      </c>
      <c r="R123" s="34">
        <v>0.142689897389987</v>
      </c>
      <c r="S123" s="45" t="s">
        <v>61</v>
      </c>
    </row>
    <row customHeight="true" ht="23.703703703703702" r="124">
      <c r="A124" s="42">
        <v>46033</v>
      </c>
      <c r="B124" s="28" t="s">
        <v>47</v>
      </c>
      <c r="C124" s="28">
        <v>2</v>
      </c>
      <c r="D124" s="43">
        <v>58</v>
      </c>
      <c r="E124" s="30">
        <v>116</v>
      </c>
      <c r="F124" s="29">
        <v>3.13</v>
      </c>
      <c r="G124" s="30">
        <v>16</v>
      </c>
      <c r="H124" s="30">
        <v>10.37</v>
      </c>
      <c r="I124" s="30">
        <v>2.9</v>
      </c>
      <c r="J124" s="30">
        <v>8.99</v>
      </c>
      <c r="K124" s="32">
        <v>0.0775</v>
      </c>
      <c r="L124" s="30">
        <v>71.92</v>
      </c>
      <c r="M124" s="30">
        <v>928</v>
      </c>
      <c r="N124" s="32">
        <v>0.0893965517241379</v>
      </c>
      <c r="O124" s="44">
        <v>1</v>
      </c>
      <c r="P124" s="44">
        <v>1</v>
      </c>
      <c r="Q124" s="34">
        <v>0.5</v>
      </c>
      <c r="R124" s="34">
        <v>0.178793103448276</v>
      </c>
      <c r="S124" s="38" t="s">
        <v>59</v>
      </c>
    </row>
    <row customHeight="true" ht="23.703703703703702" r="125">
      <c r="A125" s="42">
        <v>46033</v>
      </c>
      <c r="B125" s="28" t="s">
        <v>49</v>
      </c>
      <c r="C125" s="28">
        <v>23</v>
      </c>
      <c r="D125" s="43">
        <v>58.8</v>
      </c>
      <c r="E125" s="30">
        <v>1352.4</v>
      </c>
      <c r="F125" s="29">
        <v>6.26</v>
      </c>
      <c r="G125" s="30">
        <v>184</v>
      </c>
      <c r="H125" s="30">
        <v>107.92</v>
      </c>
      <c r="I125" s="30">
        <v>33.81</v>
      </c>
      <c r="J125" s="30">
        <v>186.25</v>
      </c>
      <c r="K125" s="32">
        <v>0.137718130730553</v>
      </c>
      <c r="L125" s="30">
        <v>1490</v>
      </c>
      <c r="M125" s="30">
        <v>10819.2</v>
      </c>
      <c r="N125" s="32">
        <v>0.079798876072168</v>
      </c>
      <c r="O125" s="44">
        <v>9</v>
      </c>
      <c r="P125" s="44">
        <v>14</v>
      </c>
      <c r="Q125" s="34">
        <v>0.391304347826087</v>
      </c>
      <c r="R125" s="34">
        <v>0.203930461073318</v>
      </c>
      <c r="S125" s="38" t="s">
        <v>60</v>
      </c>
    </row>
    <row customHeight="true" ht="23.703703703703702" r="126">
      <c r="A126" s="42">
        <v>46033</v>
      </c>
      <c r="B126" s="28" t="s">
        <v>50</v>
      </c>
      <c r="C126" s="28">
        <v>6</v>
      </c>
      <c r="D126" s="43">
        <v>59.35</v>
      </c>
      <c r="E126" s="30">
        <v>356.1</v>
      </c>
      <c r="F126" s="29">
        <v>5.18</v>
      </c>
      <c r="G126" s="30">
        <v>48</v>
      </c>
      <c r="H126" s="30">
        <v>59.34</v>
      </c>
      <c r="I126" s="30">
        <v>8.9025</v>
      </c>
      <c r="J126" s="30">
        <v>10.8375</v>
      </c>
      <c r="K126" s="32">
        <v>0.0304338668913226</v>
      </c>
      <c r="L126" s="30">
        <v>86.6999999999999</v>
      </c>
      <c r="M126" s="30">
        <v>2848.8</v>
      </c>
      <c r="N126" s="32">
        <v>0.166638584667228</v>
      </c>
      <c r="O126" s="44">
        <v>2</v>
      </c>
      <c r="P126" s="44">
        <v>4</v>
      </c>
      <c r="Q126" s="34">
        <v>0.333333333333333</v>
      </c>
      <c r="R126" s="34">
        <v>0.499915754001685</v>
      </c>
      <c r="S126" s="38" t="s">
        <v>62</v>
      </c>
    </row>
    <row customHeight="true" ht="23.703703703703702" r="127">
      <c r="A127" s="42">
        <v>46033</v>
      </c>
      <c r="B127" s="28" t="s">
        <v>52</v>
      </c>
      <c r="C127" s="28">
        <v>2</v>
      </c>
      <c r="D127" s="43">
        <v>52.3</v>
      </c>
      <c r="E127" s="30">
        <v>104.6</v>
      </c>
      <c r="F127" s="29">
        <v>14.72</v>
      </c>
      <c r="G127" s="30">
        <v>16</v>
      </c>
      <c r="H127" s="30">
        <v>16.34</v>
      </c>
      <c r="I127" s="30">
        <v>2.615</v>
      </c>
      <c r="J127" s="30">
        <v>26.485</v>
      </c>
      <c r="K127" s="32">
        <v>0.253202676864245</v>
      </c>
      <c r="L127" s="30">
        <v>238.365</v>
      </c>
      <c r="M127" s="30">
        <v>941.4</v>
      </c>
      <c r="N127" s="32">
        <v>0.156214149139579</v>
      </c>
      <c r="O127" s="44">
        <v>1</v>
      </c>
      <c r="P127" s="44">
        <v>1</v>
      </c>
      <c r="Q127" s="34">
        <v>0.5</v>
      </c>
      <c r="R127" s="34">
        <v>0.312428298279159</v>
      </c>
      <c r="S127" s="38" t="s">
        <v>57</v>
      </c>
    </row>
    <row customHeight="true" ht="23.703703703703702" r="128">
      <c r="A128" s="42">
        <v>46033</v>
      </c>
      <c r="B128" s="28" t="s">
        <v>27</v>
      </c>
      <c r="C128" s="28">
        <v>59</v>
      </c>
      <c r="D128" s="38"/>
      <c r="E128" s="30">
        <v>3381.2</v>
      </c>
      <c r="F128" s="31">
        <v>34.98</v>
      </c>
      <c r="G128" s="30"/>
      <c r="H128" s="30"/>
      <c r="I128" s="30"/>
      <c r="J128" s="30">
        <v>448.6</v>
      </c>
      <c r="K128" s="32">
        <v>0.132674790015379</v>
      </c>
      <c r="L128" s="30">
        <v>3615.285</v>
      </c>
      <c r="M128" s="30">
        <v>27154.2</v>
      </c>
      <c r="N128" s="32"/>
      <c r="O128" s="44">
        <v>26</v>
      </c>
      <c r="P128" s="44">
        <v>33</v>
      </c>
      <c r="Q128" s="34">
        <v>0.440677966101695</v>
      </c>
      <c r="R128" s="34"/>
      <c r="S128" s="38"/>
    </row>
    <row customHeight="true" ht="23.703703703703702" r="129">
      <c r="B129" s="26" t="s">
        <v>54</v>
      </c>
    </row>
    <row customHeight="true" ht="23.703703703703702" r="130">
      <c r="A130" s="20" t="s">
        <v>55</v>
      </c>
      <c r="B130" s="21" t="s">
        <v>28</v>
      </c>
      <c r="C130" s="39" t="s">
        <v>29</v>
      </c>
      <c r="D130" s="21" t="s">
        <v>30</v>
      </c>
      <c r="E130" s="22" t="s">
        <v>31</v>
      </c>
      <c r="F130" s="23" t="s">
        <v>32</v>
      </c>
      <c r="G130" s="22" t="s">
        <v>33</v>
      </c>
      <c r="H130" s="40" t="s">
        <v>34</v>
      </c>
      <c r="I130" s="22" t="s">
        <v>35</v>
      </c>
      <c r="J130" s="22" t="s">
        <v>32</v>
      </c>
      <c r="K130" s="24" t="s">
        <v>36</v>
      </c>
      <c r="L130" s="22" t="s">
        <v>37</v>
      </c>
      <c r="M130" s="22" t="s">
        <v>38</v>
      </c>
      <c r="N130" s="21" t="s">
        <v>39</v>
      </c>
      <c r="O130" s="41" t="s">
        <v>40</v>
      </c>
      <c r="P130" s="25" t="s">
        <v>41</v>
      </c>
      <c r="Q130" s="24" t="s">
        <v>42</v>
      </c>
      <c r="R130" s="24" t="s">
        <v>43</v>
      </c>
      <c r="S130" s="24" t="s">
        <v>56</v>
      </c>
    </row>
    <row customHeight="true" ht="23.703703703703702" r="131">
      <c r="A131" s="42">
        <v>46034</v>
      </c>
      <c r="B131" s="28" t="s">
        <v>46</v>
      </c>
      <c r="C131" s="28">
        <v>13</v>
      </c>
      <c r="D131" s="43">
        <v>55.85</v>
      </c>
      <c r="E131" s="30">
        <v>726.05</v>
      </c>
      <c r="F131" s="29">
        <v>5.69</v>
      </c>
      <c r="G131" s="30">
        <v>104</v>
      </c>
      <c r="H131" s="30">
        <v>97.45</v>
      </c>
      <c r="I131" s="30">
        <v>18.15125</v>
      </c>
      <c r="J131" s="30">
        <v>62.36875</v>
      </c>
      <c r="K131" s="32">
        <v>0.0859014530679705</v>
      </c>
      <c r="L131" s="30">
        <v>498.95</v>
      </c>
      <c r="M131" s="30">
        <v>5808.4</v>
      </c>
      <c r="N131" s="32">
        <v>0.134219406376971</v>
      </c>
      <c r="O131" s="44">
        <v>9</v>
      </c>
      <c r="P131" s="44">
        <v>4</v>
      </c>
      <c r="Q131" s="34">
        <v>0.692307692307692</v>
      </c>
      <c r="R131" s="34">
        <v>0.193872475877847</v>
      </c>
      <c r="S131" s="45" t="s">
        <v>61</v>
      </c>
    </row>
    <row customHeight="true" ht="23.703703703703702" r="132">
      <c r="A132" s="42">
        <v>46034</v>
      </c>
      <c r="B132" s="28" t="s">
        <v>47</v>
      </c>
      <c r="C132" s="28">
        <v>0</v>
      </c>
      <c r="D132" s="43">
        <v>58</v>
      </c>
      <c r="E132" s="30">
        <v>0</v>
      </c>
      <c r="F132" s="29">
        <v>3.13</v>
      </c>
      <c r="G132" s="30">
        <v>0</v>
      </c>
      <c r="H132" s="30">
        <v>7.28</v>
      </c>
      <c r="I132" s="30">
        <v>0</v>
      </c>
      <c r="J132" s="30">
        <v>-7.28</v>
      </c>
      <c r="K132" s="32">
        <v>0</v>
      </c>
      <c r="L132" s="30">
        <v>-58.24</v>
      </c>
      <c r="M132" s="30">
        <v>0</v>
      </c>
      <c r="N132" s="32">
        <v>0</v>
      </c>
      <c r="O132" s="44">
        <v>0</v>
      </c>
      <c r="P132" s="44">
        <v>0</v>
      </c>
      <c r="Q132" s="34">
        <v>0</v>
      </c>
      <c r="R132" s="34">
        <v>0</v>
      </c>
      <c r="S132" s="38" t="s">
        <v>59</v>
      </c>
    </row>
    <row customHeight="true" ht="23.703703703703702" r="133">
      <c r="A133" s="42">
        <v>46034</v>
      </c>
      <c r="B133" s="28" t="s">
        <v>49</v>
      </c>
      <c r="C133" s="28">
        <v>23</v>
      </c>
      <c r="D133" s="43">
        <v>58.8</v>
      </c>
      <c r="E133" s="30">
        <v>1352.4</v>
      </c>
      <c r="F133" s="29">
        <v>6.26</v>
      </c>
      <c r="G133" s="30">
        <v>184</v>
      </c>
      <c r="H133" s="30">
        <v>63.46</v>
      </c>
      <c r="I133" s="30">
        <v>33.81</v>
      </c>
      <c r="J133" s="30">
        <v>230.71</v>
      </c>
      <c r="K133" s="32">
        <v>0.170593019816622</v>
      </c>
      <c r="L133" s="30">
        <v>1845.68</v>
      </c>
      <c r="M133" s="30">
        <v>10819.2</v>
      </c>
      <c r="N133" s="32">
        <v>0.0469239869860988</v>
      </c>
      <c r="O133" s="44">
        <v>6</v>
      </c>
      <c r="P133" s="44">
        <v>17</v>
      </c>
      <c r="Q133" s="34">
        <v>0.260869565217391</v>
      </c>
      <c r="R133" s="34">
        <v>0.179875283446712</v>
      </c>
      <c r="S133" s="38" t="s">
        <v>60</v>
      </c>
    </row>
    <row customHeight="true" ht="23.703703703703702" r="134">
      <c r="A134" s="42">
        <v>46034</v>
      </c>
      <c r="B134" s="28" t="s">
        <v>50</v>
      </c>
      <c r="C134" s="28">
        <v>7</v>
      </c>
      <c r="D134" s="43">
        <v>59.35</v>
      </c>
      <c r="E134" s="30">
        <v>415.45</v>
      </c>
      <c r="F134" s="29">
        <v>5.18</v>
      </c>
      <c r="G134" s="30">
        <v>56</v>
      </c>
      <c r="H134" s="30">
        <v>14.55</v>
      </c>
      <c r="I134" s="30">
        <v>10.38625</v>
      </c>
      <c r="J134" s="30">
        <v>67.32375</v>
      </c>
      <c r="K134" s="32">
        <v>0.162050186544711</v>
      </c>
      <c r="L134" s="30">
        <v>538.59</v>
      </c>
      <c r="M134" s="30">
        <v>3323.6</v>
      </c>
      <c r="N134" s="32">
        <v>0.0350222650138404</v>
      </c>
      <c r="O134" s="44">
        <v>2</v>
      </c>
      <c r="P134" s="44">
        <v>5</v>
      </c>
      <c r="Q134" s="34">
        <v>0.285714285714286</v>
      </c>
      <c r="R134" s="34">
        <v>0.122577927548441</v>
      </c>
      <c r="S134" s="38" t="s">
        <v>62</v>
      </c>
    </row>
    <row customHeight="true" ht="23.703703703703702" r="135">
      <c r="A135" s="42">
        <v>46034</v>
      </c>
      <c r="B135" s="28" t="s">
        <v>52</v>
      </c>
      <c r="C135" s="28">
        <v>1</v>
      </c>
      <c r="D135" s="43">
        <v>52.3</v>
      </c>
      <c r="E135" s="30">
        <v>52.3</v>
      </c>
      <c r="F135" s="29">
        <v>14.72</v>
      </c>
      <c r="G135" s="30">
        <v>8</v>
      </c>
      <c r="H135" s="30">
        <v>20.81</v>
      </c>
      <c r="I135" s="30">
        <v>1.3075</v>
      </c>
      <c r="J135" s="30">
        <v>0.6025</v>
      </c>
      <c r="K135" s="32">
        <v>0.0115200764818356</v>
      </c>
      <c r="L135" s="30">
        <v>5.4225</v>
      </c>
      <c r="M135" s="30">
        <v>470.7</v>
      </c>
      <c r="N135" s="32">
        <v>0.397896749521989</v>
      </c>
      <c r="O135" s="44">
        <v>1</v>
      </c>
      <c r="P135" s="44">
        <v>0</v>
      </c>
      <c r="Q135" s="34">
        <v>1</v>
      </c>
      <c r="R135" s="34">
        <v>0.397896749521989</v>
      </c>
      <c r="S135" s="38" t="s">
        <v>57</v>
      </c>
    </row>
    <row customHeight="true" ht="23.703703703703702" r="136">
      <c r="A136" s="42">
        <v>46034</v>
      </c>
      <c r="B136" s="28" t="s">
        <v>27</v>
      </c>
      <c r="C136" s="28">
        <v>44</v>
      </c>
      <c r="D136" s="38"/>
      <c r="E136" s="30">
        <v>2546.2</v>
      </c>
      <c r="F136" s="31">
        <v>34.98</v>
      </c>
      <c r="G136" s="30"/>
      <c r="H136" s="30"/>
      <c r="I136" s="30"/>
      <c r="J136" s="30">
        <v>353.725</v>
      </c>
      <c r="K136" s="32">
        <v>0.138922708349698</v>
      </c>
      <c r="L136" s="30">
        <v>2830.4025</v>
      </c>
      <c r="M136" s="30">
        <v>20421.9</v>
      </c>
      <c r="N136" s="32"/>
      <c r="O136" s="44">
        <v>18</v>
      </c>
      <c r="P136" s="44">
        <v>26</v>
      </c>
      <c r="Q136" s="34">
        <v>0.409090909090909</v>
      </c>
      <c r="R136" s="34"/>
      <c r="S136" s="38"/>
    </row>
    <row customHeight="true" ht="23.703703703703702" r="137">
      <c r="B137" s="26" t="s">
        <v>54</v>
      </c>
    </row>
    <row customHeight="true" ht="23.703703703703702" r="138">
      <c r="A138" s="20" t="s">
        <v>55</v>
      </c>
      <c r="B138" s="21" t="s">
        <v>28</v>
      </c>
      <c r="C138" s="39" t="s">
        <v>29</v>
      </c>
      <c r="D138" s="21" t="s">
        <v>30</v>
      </c>
      <c r="E138" s="22" t="s">
        <v>31</v>
      </c>
      <c r="F138" s="23" t="s">
        <v>32</v>
      </c>
      <c r="G138" s="22" t="s">
        <v>33</v>
      </c>
      <c r="H138" s="40" t="s">
        <v>34</v>
      </c>
      <c r="I138" s="22" t="s">
        <v>35</v>
      </c>
      <c r="J138" s="22" t="s">
        <v>32</v>
      </c>
      <c r="K138" s="24" t="s">
        <v>36</v>
      </c>
      <c r="L138" s="22" t="s">
        <v>37</v>
      </c>
      <c r="M138" s="22" t="s">
        <v>38</v>
      </c>
      <c r="N138" s="21" t="s">
        <v>39</v>
      </c>
      <c r="O138" s="41" t="s">
        <v>40</v>
      </c>
      <c r="P138" s="25" t="s">
        <v>41</v>
      </c>
      <c r="Q138" s="24" t="s">
        <v>42</v>
      </c>
      <c r="R138" s="24" t="s">
        <v>43</v>
      </c>
      <c r="S138" s="24" t="s">
        <v>56</v>
      </c>
    </row>
    <row customHeight="true" ht="23.703703703703702" r="139">
      <c r="A139" s="42">
        <v>46035</v>
      </c>
      <c r="B139" s="28" t="s">
        <v>46</v>
      </c>
      <c r="C139" s="28">
        <v>5</v>
      </c>
      <c r="D139" s="43">
        <v>55.85</v>
      </c>
      <c r="E139" s="30">
        <v>279.25</v>
      </c>
      <c r="F139" s="29">
        <v>5.69</v>
      </c>
      <c r="G139" s="30">
        <v>40</v>
      </c>
      <c r="H139" s="30">
        <v>94.91</v>
      </c>
      <c r="I139" s="30">
        <v>6.98125</v>
      </c>
      <c r="J139" s="30">
        <v>-33.44125</v>
      </c>
      <c r="K139" s="32">
        <v>-0.119753804834378</v>
      </c>
      <c r="L139" s="30">
        <v>-267.53</v>
      </c>
      <c r="M139" s="30">
        <v>2234</v>
      </c>
      <c r="N139" s="32">
        <v>0.33987466427932</v>
      </c>
      <c r="O139" s="44">
        <v>5</v>
      </c>
      <c r="P139" s="44">
        <v>0</v>
      </c>
      <c r="Q139" s="34">
        <v>1</v>
      </c>
      <c r="R139" s="34">
        <v>0.33987466427932</v>
      </c>
      <c r="S139" s="45" t="s">
        <v>61</v>
      </c>
    </row>
    <row customHeight="true" ht="23.703703703703702" r="140">
      <c r="A140" s="42">
        <v>46035</v>
      </c>
      <c r="B140" s="28" t="s">
        <v>47</v>
      </c>
      <c r="C140" s="28">
        <v>1</v>
      </c>
      <c r="D140" s="43">
        <v>58</v>
      </c>
      <c r="E140" s="30">
        <v>58</v>
      </c>
      <c r="F140" s="29">
        <v>3.13</v>
      </c>
      <c r="G140" s="30">
        <v>8</v>
      </c>
      <c r="H140" s="30">
        <v>4.34</v>
      </c>
      <c r="I140" s="30">
        <v>1.45</v>
      </c>
      <c r="J140" s="30">
        <v>5.34</v>
      </c>
      <c r="K140" s="32">
        <v>0.0920689655172414</v>
      </c>
      <c r="L140" s="30">
        <v>42.72</v>
      </c>
      <c r="M140" s="30">
        <v>464</v>
      </c>
      <c r="N140" s="32">
        <v>0.0748275862068965</v>
      </c>
      <c r="O140" s="44">
        <v>0</v>
      </c>
      <c r="P140" s="44">
        <v>1</v>
      </c>
      <c r="Q140" s="34">
        <v>0</v>
      </c>
      <c r="R140" s="34">
        <v>0</v>
      </c>
      <c r="S140" s="38" t="s">
        <v>59</v>
      </c>
    </row>
    <row customHeight="true" ht="23.703703703703702" r="141">
      <c r="A141" s="42">
        <v>46035</v>
      </c>
      <c r="B141" s="28" t="s">
        <v>49</v>
      </c>
      <c r="C141" s="28">
        <v>11</v>
      </c>
      <c r="D141" s="43">
        <v>58.8</v>
      </c>
      <c r="E141" s="30">
        <v>646.8</v>
      </c>
      <c r="F141" s="29">
        <v>6.26</v>
      </c>
      <c r="G141" s="30">
        <v>88</v>
      </c>
      <c r="H141" s="30">
        <v>49.32</v>
      </c>
      <c r="I141" s="30">
        <v>16.17</v>
      </c>
      <c r="J141" s="30">
        <v>91.37</v>
      </c>
      <c r="K141" s="32">
        <v>0.141264687693259</v>
      </c>
      <c r="L141" s="30">
        <v>730.96</v>
      </c>
      <c r="M141" s="30">
        <v>5174.4</v>
      </c>
      <c r="N141" s="32">
        <v>0.076252319109462</v>
      </c>
      <c r="O141" s="44">
        <v>5</v>
      </c>
      <c r="P141" s="44">
        <v>6</v>
      </c>
      <c r="Q141" s="34">
        <v>0.454545454545455</v>
      </c>
      <c r="R141" s="34">
        <v>0.167755102040816</v>
      </c>
      <c r="S141" s="38" t="s">
        <v>60</v>
      </c>
    </row>
    <row customHeight="true" ht="23.703703703703702" r="142">
      <c r="A142" s="42">
        <v>46035</v>
      </c>
      <c r="B142" s="28" t="s">
        <v>50</v>
      </c>
      <c r="C142" s="28">
        <v>2</v>
      </c>
      <c r="D142" s="43">
        <v>59.35</v>
      </c>
      <c r="E142" s="30">
        <v>118.7</v>
      </c>
      <c r="F142" s="29">
        <v>5.18</v>
      </c>
      <c r="G142" s="30">
        <v>16</v>
      </c>
      <c r="H142" s="30">
        <v>16.47</v>
      </c>
      <c r="I142" s="30">
        <v>2.9675</v>
      </c>
      <c r="J142" s="30">
        <v>6.9225</v>
      </c>
      <c r="K142" s="32">
        <v>0.0583192923336142</v>
      </c>
      <c r="L142" s="30">
        <v>55.38</v>
      </c>
      <c r="M142" s="30">
        <v>949.6</v>
      </c>
      <c r="N142" s="32">
        <v>0.138753159224937</v>
      </c>
      <c r="O142" s="44">
        <v>0</v>
      </c>
      <c r="P142" s="44">
        <v>2</v>
      </c>
      <c r="Q142" s="34">
        <v>0</v>
      </c>
      <c r="R142" s="34">
        <v>0</v>
      </c>
      <c r="S142" s="38" t="s">
        <v>62</v>
      </c>
    </row>
    <row customHeight="true" ht="23.703703703703702" r="143">
      <c r="A143" s="42">
        <v>46035</v>
      </c>
      <c r="B143" s="28" t="s">
        <v>52</v>
      </c>
      <c r="C143" s="28">
        <v>1</v>
      </c>
      <c r="D143" s="43">
        <v>52.3</v>
      </c>
      <c r="E143" s="30">
        <v>52.3</v>
      </c>
      <c r="F143" s="29">
        <v>14.72</v>
      </c>
      <c r="G143" s="30">
        <v>8</v>
      </c>
      <c r="H143" s="30">
        <v>8.89</v>
      </c>
      <c r="I143" s="30">
        <v>1.3075</v>
      </c>
      <c r="J143" s="30">
        <v>12.5225</v>
      </c>
      <c r="K143" s="32">
        <v>0.239435946462715</v>
      </c>
      <c r="L143" s="30">
        <v>112.7025</v>
      </c>
      <c r="M143" s="30">
        <v>470.7</v>
      </c>
      <c r="N143" s="32">
        <v>0.169980879541109</v>
      </c>
      <c r="O143" s="44">
        <v>1</v>
      </c>
      <c r="P143" s="44">
        <v>0</v>
      </c>
      <c r="Q143" s="34">
        <v>1</v>
      </c>
      <c r="R143" s="34">
        <v>0.169980879541109</v>
      </c>
      <c r="S143" s="38" t="s">
        <v>57</v>
      </c>
    </row>
    <row customHeight="true" ht="23.703703703703702" r="144">
      <c r="A144" s="42">
        <v>46035</v>
      </c>
      <c r="B144" s="28" t="s">
        <v>27</v>
      </c>
      <c r="C144" s="28">
        <v>20</v>
      </c>
      <c r="D144" s="38"/>
      <c r="E144" s="30">
        <v>1155.05</v>
      </c>
      <c r="F144" s="31">
        <v>34.98</v>
      </c>
      <c r="G144" s="30"/>
      <c r="H144" s="30"/>
      <c r="I144" s="30"/>
      <c r="J144" s="30">
        <v>82.71375</v>
      </c>
      <c r="K144" s="32">
        <v>0.0716105363404182</v>
      </c>
      <c r="L144" s="30">
        <v>674.2325</v>
      </c>
      <c r="M144" s="30">
        <v>9292.7</v>
      </c>
      <c r="N144" s="32"/>
      <c r="O144" s="44">
        <v>11</v>
      </c>
      <c r="P144" s="44">
        <v>9</v>
      </c>
      <c r="Q144" s="34">
        <v>0.55</v>
      </c>
      <c r="R144" s="34"/>
      <c r="S144" s="38"/>
    </row>
    <row customHeight="true" ht="23.703703703703702" r="145">
      <c r="B145" s="26" t="s">
        <v>54</v>
      </c>
    </row>
    <row customHeight="true" ht="23.703703703703702" r="146">
      <c r="A146" s="20" t="s">
        <v>55</v>
      </c>
      <c r="B146" s="21" t="s">
        <v>28</v>
      </c>
      <c r="C146" s="39" t="s">
        <v>29</v>
      </c>
      <c r="D146" s="21" t="s">
        <v>30</v>
      </c>
      <c r="E146" s="22" t="s">
        <v>31</v>
      </c>
      <c r="F146" s="23" t="s">
        <v>32</v>
      </c>
      <c r="G146" s="22" t="s">
        <v>33</v>
      </c>
      <c r="H146" s="40" t="s">
        <v>34</v>
      </c>
      <c r="I146" s="22" t="s">
        <v>35</v>
      </c>
      <c r="J146" s="22" t="s">
        <v>32</v>
      </c>
      <c r="K146" s="24" t="s">
        <v>36</v>
      </c>
      <c r="L146" s="22" t="s">
        <v>37</v>
      </c>
      <c r="M146" s="22" t="s">
        <v>38</v>
      </c>
      <c r="N146" s="21" t="s">
        <v>39</v>
      </c>
      <c r="O146" s="41" t="s">
        <v>40</v>
      </c>
      <c r="P146" s="25" t="s">
        <v>41</v>
      </c>
      <c r="Q146" s="24" t="s">
        <v>42</v>
      </c>
      <c r="R146" s="24" t="s">
        <v>43</v>
      </c>
      <c r="S146" s="24" t="s">
        <v>56</v>
      </c>
    </row>
    <row customHeight="true" ht="23.703703703703702" r="147">
      <c r="A147" s="42">
        <v>46036</v>
      </c>
      <c r="B147" s="28" t="s">
        <v>46</v>
      </c>
      <c r="C147" s="28">
        <v>12</v>
      </c>
      <c r="D147" s="43">
        <v>55.85</v>
      </c>
      <c r="E147" s="30">
        <v>670.2</v>
      </c>
      <c r="F147" s="29">
        <v>5.69</v>
      </c>
      <c r="G147" s="30">
        <v>96</v>
      </c>
      <c r="H147" s="30">
        <v>92.64</v>
      </c>
      <c r="I147" s="30">
        <v>16.755</v>
      </c>
      <c r="J147" s="30">
        <v>54.885</v>
      </c>
      <c r="K147" s="32">
        <v>0.0818934646374217</v>
      </c>
      <c r="L147" s="30">
        <v>439.08</v>
      </c>
      <c r="M147" s="30">
        <v>5361.6</v>
      </c>
      <c r="N147" s="32">
        <v>0.13822739480752</v>
      </c>
      <c r="O147" s="44">
        <v>3</v>
      </c>
      <c r="P147" s="44">
        <v>9</v>
      </c>
      <c r="Q147" s="34">
        <v>0.25</v>
      </c>
      <c r="R147" s="34">
        <v>0.552909579230081</v>
      </c>
      <c r="S147" s="45" t="s">
        <v>61</v>
      </c>
    </row>
    <row customHeight="true" ht="23.703703703703702" r="148">
      <c r="A148" s="42">
        <v>46036</v>
      </c>
      <c r="B148" s="28" t="s">
        <v>47</v>
      </c>
      <c r="C148" s="28">
        <v>1</v>
      </c>
      <c r="D148" s="43">
        <v>58</v>
      </c>
      <c r="E148" s="30">
        <v>58</v>
      </c>
      <c r="F148" s="29">
        <v>3.13</v>
      </c>
      <c r="G148" s="30">
        <v>8</v>
      </c>
      <c r="H148" s="30">
        <v>2.46</v>
      </c>
      <c r="I148" s="30">
        <v>1.45</v>
      </c>
      <c r="J148" s="30">
        <v>7.22</v>
      </c>
      <c r="K148" s="32">
        <v>0.12448275862069</v>
      </c>
      <c r="L148" s="30">
        <v>57.76</v>
      </c>
      <c r="M148" s="30">
        <v>464</v>
      </c>
      <c r="N148" s="32">
        <v>0.0424137931034483</v>
      </c>
      <c r="O148" s="44">
        <v>0</v>
      </c>
      <c r="P148" s="44">
        <v>1</v>
      </c>
      <c r="Q148" s="34">
        <v>0</v>
      </c>
      <c r="R148" s="34">
        <v>0</v>
      </c>
      <c r="S148" s="38" t="s">
        <v>59</v>
      </c>
    </row>
    <row customHeight="true" ht="23.703703703703702" r="149">
      <c r="A149" s="42">
        <v>46036</v>
      </c>
      <c r="B149" s="28" t="s">
        <v>49</v>
      </c>
      <c r="C149" s="28">
        <v>21</v>
      </c>
      <c r="D149" s="43">
        <v>58.8</v>
      </c>
      <c r="E149" s="30">
        <v>1234.8</v>
      </c>
      <c r="F149" s="29">
        <v>6.26</v>
      </c>
      <c r="G149" s="30">
        <v>168</v>
      </c>
      <c r="H149" s="30">
        <v>75.43</v>
      </c>
      <c r="I149" s="30">
        <v>30.87</v>
      </c>
      <c r="J149" s="30">
        <v>193.16</v>
      </c>
      <c r="K149" s="32">
        <v>0.156430191124069</v>
      </c>
      <c r="L149" s="30">
        <v>1545.28</v>
      </c>
      <c r="M149" s="30">
        <v>9878.4</v>
      </c>
      <c r="N149" s="32">
        <v>0.0610868156786524</v>
      </c>
      <c r="O149" s="44">
        <v>7</v>
      </c>
      <c r="P149" s="44">
        <v>14</v>
      </c>
      <c r="Q149" s="34">
        <v>0.333333333333333</v>
      </c>
      <c r="R149" s="34">
        <v>0.183260447035957</v>
      </c>
      <c r="S149" s="38" t="s">
        <v>60</v>
      </c>
    </row>
    <row customHeight="true" ht="23.703703703703702" r="150">
      <c r="A150" s="42">
        <v>46036</v>
      </c>
      <c r="B150" s="28" t="s">
        <v>50</v>
      </c>
      <c r="C150" s="28">
        <v>0</v>
      </c>
      <c r="D150" s="43">
        <v>59.35</v>
      </c>
      <c r="E150" s="30">
        <v>0</v>
      </c>
      <c r="F150" s="29">
        <v>5.18</v>
      </c>
      <c r="G150" s="30">
        <v>0</v>
      </c>
      <c r="H150" s="30">
        <v>0</v>
      </c>
      <c r="I150" s="30">
        <v>0</v>
      </c>
      <c r="J150" s="30">
        <v>0</v>
      </c>
      <c r="K150" s="32">
        <v>0</v>
      </c>
      <c r="L150" s="30">
        <v>0</v>
      </c>
      <c r="M150" s="30">
        <v>0</v>
      </c>
      <c r="N150" s="32">
        <v>0</v>
      </c>
      <c r="O150" s="44">
        <v>0</v>
      </c>
      <c r="P150" s="44">
        <v>0</v>
      </c>
      <c r="Q150" s="34">
        <v>0</v>
      </c>
      <c r="R150" s="34">
        <v>0</v>
      </c>
      <c r="S150" s="38" t="s">
        <v>62</v>
      </c>
    </row>
    <row customHeight="true" ht="23.703703703703702" r="151">
      <c r="A151" s="42">
        <v>46036</v>
      </c>
      <c r="B151" s="28" t="s">
        <v>52</v>
      </c>
      <c r="C151" s="28">
        <v>4</v>
      </c>
      <c r="D151" s="43">
        <v>52.3</v>
      </c>
      <c r="E151" s="30">
        <v>209.2</v>
      </c>
      <c r="F151" s="29">
        <v>5.39</v>
      </c>
      <c r="G151" s="30">
        <v>32</v>
      </c>
      <c r="H151" s="30">
        <v>13.04</v>
      </c>
      <c r="I151" s="30">
        <v>5.23</v>
      </c>
      <c r="J151" s="30">
        <v>35.29</v>
      </c>
      <c r="K151" s="32">
        <v>0.168690248565966</v>
      </c>
      <c r="L151" s="30">
        <v>317.61</v>
      </c>
      <c r="M151" s="30">
        <v>1882.8</v>
      </c>
      <c r="N151" s="32">
        <v>0.0623326959847036</v>
      </c>
      <c r="O151" s="44">
        <v>3</v>
      </c>
      <c r="P151" s="44">
        <v>1</v>
      </c>
      <c r="Q151" s="34">
        <v>0.75</v>
      </c>
      <c r="R151" s="34">
        <v>0.0831102613129382</v>
      </c>
      <c r="S151" s="38" t="s">
        <v>63</v>
      </c>
    </row>
    <row customHeight="true" ht="23.703703703703702" r="152">
      <c r="A152" s="42">
        <v>46036</v>
      </c>
      <c r="B152" s="28" t="s">
        <v>27</v>
      </c>
      <c r="C152" s="28">
        <v>38</v>
      </c>
      <c r="D152" s="38"/>
      <c r="E152" s="30">
        <v>2172.2</v>
      </c>
      <c r="F152" s="31">
        <v>25.65</v>
      </c>
      <c r="G152" s="30"/>
      <c r="H152" s="30"/>
      <c r="I152" s="30"/>
      <c r="J152" s="30">
        <v>290.555</v>
      </c>
      <c r="K152" s="32">
        <v>0.133760703434306</v>
      </c>
      <c r="L152" s="30">
        <v>2359.73</v>
      </c>
      <c r="M152" s="30">
        <v>17586.8</v>
      </c>
      <c r="N152" s="32"/>
      <c r="O152" s="44">
        <v>13</v>
      </c>
      <c r="P152" s="44">
        <v>25</v>
      </c>
      <c r="Q152" s="34">
        <v>0.342105263157895</v>
      </c>
      <c r="R152" s="34"/>
      <c r="S152" s="38"/>
    </row>
    <row customHeight="true" ht="23.703703703703702" r="153">
      <c r="B153" s="26" t="s">
        <v>54</v>
      </c>
    </row>
    <row customHeight="true" ht="23.703703703703702" r="154">
      <c r="A154" s="20" t="s">
        <v>55</v>
      </c>
      <c r="B154" s="21" t="s">
        <v>28</v>
      </c>
      <c r="C154" s="39" t="s">
        <v>29</v>
      </c>
      <c r="D154" s="21" t="s">
        <v>30</v>
      </c>
      <c r="E154" s="22" t="s">
        <v>31</v>
      </c>
      <c r="F154" s="23" t="s">
        <v>32</v>
      </c>
      <c r="G154" s="22" t="s">
        <v>33</v>
      </c>
      <c r="H154" s="40" t="s">
        <v>34</v>
      </c>
      <c r="I154" s="22" t="s">
        <v>35</v>
      </c>
      <c r="J154" s="22" t="s">
        <v>32</v>
      </c>
      <c r="K154" s="24" t="s">
        <v>36</v>
      </c>
      <c r="L154" s="22" t="s">
        <v>37</v>
      </c>
      <c r="M154" s="22" t="s">
        <v>38</v>
      </c>
      <c r="N154" s="21" t="s">
        <v>39</v>
      </c>
      <c r="O154" s="41" t="s">
        <v>40</v>
      </c>
      <c r="P154" s="25" t="s">
        <v>41</v>
      </c>
      <c r="Q154" s="24" t="s">
        <v>42</v>
      </c>
      <c r="R154" s="24" t="s">
        <v>43</v>
      </c>
      <c r="S154" s="24" t="s">
        <v>56</v>
      </c>
    </row>
    <row customHeight="true" ht="23.703703703703702" r="155">
      <c r="A155" s="42">
        <v>46037</v>
      </c>
      <c r="B155" s="28" t="s">
        <v>46</v>
      </c>
      <c r="C155" s="28">
        <v>6</v>
      </c>
      <c r="D155" s="43">
        <v>55.85</v>
      </c>
      <c r="E155" s="30">
        <v>335.1</v>
      </c>
      <c r="F155" s="29">
        <v>5.69</v>
      </c>
      <c r="G155" s="30">
        <v>48</v>
      </c>
      <c r="H155" s="30">
        <v>105.9</v>
      </c>
      <c r="I155" s="30">
        <v>8.3775</v>
      </c>
      <c r="J155" s="30">
        <v>-32.1375</v>
      </c>
      <c r="K155" s="32">
        <v>-0.0959042076991943</v>
      </c>
      <c r="L155" s="30">
        <v>-257.1</v>
      </c>
      <c r="M155" s="30">
        <v>2680.8</v>
      </c>
      <c r="N155" s="32">
        <v>0.316025067144136</v>
      </c>
      <c r="O155" s="44">
        <v>3</v>
      </c>
      <c r="P155" s="44">
        <v>3</v>
      </c>
      <c r="Q155" s="34">
        <v>0.5</v>
      </c>
      <c r="R155" s="34">
        <v>0.632050134288272</v>
      </c>
      <c r="S155" s="45" t="s">
        <v>61</v>
      </c>
    </row>
    <row customHeight="true" ht="23.703703703703702" r="156">
      <c r="A156" s="42">
        <v>46037</v>
      </c>
      <c r="B156" s="28" t="s">
        <v>47</v>
      </c>
      <c r="C156" s="28">
        <v>1</v>
      </c>
      <c r="D156" s="43">
        <v>58</v>
      </c>
      <c r="E156" s="30">
        <v>58</v>
      </c>
      <c r="F156" s="29">
        <v>3.13</v>
      </c>
      <c r="G156" s="30">
        <v>8</v>
      </c>
      <c r="H156" s="30">
        <v>1.94</v>
      </c>
      <c r="I156" s="30">
        <v>1.45</v>
      </c>
      <c r="J156" s="30">
        <v>7.74</v>
      </c>
      <c r="K156" s="32">
        <v>0.133448275862069</v>
      </c>
      <c r="L156" s="30">
        <v>61.92</v>
      </c>
      <c r="M156" s="30">
        <v>464</v>
      </c>
      <c r="N156" s="32">
        <v>0.033448275862069</v>
      </c>
      <c r="O156" s="44">
        <v>0</v>
      </c>
      <c r="P156" s="44">
        <v>1</v>
      </c>
      <c r="Q156" s="34">
        <v>0</v>
      </c>
      <c r="R156" s="34">
        <v>0</v>
      </c>
      <c r="S156" s="38" t="s">
        <v>59</v>
      </c>
    </row>
    <row customHeight="true" ht="23.703703703703702" r="157">
      <c r="A157" s="42">
        <v>46037</v>
      </c>
      <c r="B157" s="28" t="s">
        <v>49</v>
      </c>
      <c r="C157" s="28">
        <v>17</v>
      </c>
      <c r="D157" s="43">
        <v>58.8</v>
      </c>
      <c r="E157" s="30">
        <v>999.6</v>
      </c>
      <c r="F157" s="29">
        <v>6.26</v>
      </c>
      <c r="G157" s="30">
        <v>136</v>
      </c>
      <c r="H157" s="30">
        <v>55.14</v>
      </c>
      <c r="I157" s="30">
        <v>24.99</v>
      </c>
      <c r="J157" s="30">
        <v>162.29</v>
      </c>
      <c r="K157" s="32">
        <v>0.162354941976791</v>
      </c>
      <c r="L157" s="30">
        <v>1298.32</v>
      </c>
      <c r="M157" s="30">
        <v>7996.8</v>
      </c>
      <c r="N157" s="32">
        <v>0.0551620648259304</v>
      </c>
      <c r="O157" s="44">
        <v>5</v>
      </c>
      <c r="P157" s="44">
        <v>12</v>
      </c>
      <c r="Q157" s="34">
        <v>0.294117647058824</v>
      </c>
      <c r="R157" s="34">
        <v>0.187551020408163</v>
      </c>
      <c r="S157" s="38" t="s">
        <v>60</v>
      </c>
    </row>
    <row customHeight="true" ht="23.703703703703702" r="158">
      <c r="A158" s="42">
        <v>46037</v>
      </c>
      <c r="B158" s="28" t="s">
        <v>50</v>
      </c>
      <c r="C158" s="28">
        <v>1</v>
      </c>
      <c r="D158" s="43">
        <v>59.35</v>
      </c>
      <c r="E158" s="30">
        <v>59.35</v>
      </c>
      <c r="F158" s="29">
        <v>5.18</v>
      </c>
      <c r="G158" s="30">
        <v>8</v>
      </c>
      <c r="H158" s="30">
        <v>14.37</v>
      </c>
      <c r="I158" s="30">
        <v>1.48375</v>
      </c>
      <c r="J158" s="30">
        <v>-2.67375</v>
      </c>
      <c r="K158" s="32">
        <v>-0.045050547598989</v>
      </c>
      <c r="L158" s="30">
        <v>-21.39</v>
      </c>
      <c r="M158" s="30">
        <v>474.8</v>
      </c>
      <c r="N158" s="32">
        <v>0.24212299915754</v>
      </c>
      <c r="O158" s="44">
        <v>0</v>
      </c>
      <c r="P158" s="44">
        <v>1</v>
      </c>
      <c r="Q158" s="34">
        <v>0</v>
      </c>
      <c r="R158" s="34">
        <v>0</v>
      </c>
      <c r="S158" s="38" t="s">
        <v>62</v>
      </c>
    </row>
    <row customHeight="true" ht="23.703703703703702" r="159">
      <c r="A159" s="42">
        <v>46037</v>
      </c>
      <c r="B159" s="28" t="s">
        <v>52</v>
      </c>
      <c r="C159" s="28">
        <v>7</v>
      </c>
      <c r="D159" s="43">
        <v>52.3</v>
      </c>
      <c r="E159" s="30">
        <v>366.1</v>
      </c>
      <c r="F159" s="29">
        <v>5.39</v>
      </c>
      <c r="G159" s="30">
        <v>56</v>
      </c>
      <c r="H159" s="30">
        <v>14.75</v>
      </c>
      <c r="I159" s="30">
        <v>9.1525</v>
      </c>
      <c r="J159" s="30">
        <v>69.8275</v>
      </c>
      <c r="K159" s="32">
        <v>0.190733406173177</v>
      </c>
      <c r="L159" s="30">
        <v>628.4475</v>
      </c>
      <c r="M159" s="30">
        <v>3294.9</v>
      </c>
      <c r="N159" s="32">
        <v>0.0402895383774925</v>
      </c>
      <c r="O159" s="44">
        <v>2</v>
      </c>
      <c r="P159" s="44">
        <v>5</v>
      </c>
      <c r="Q159" s="34">
        <v>0.285714285714286</v>
      </c>
      <c r="R159" s="34">
        <v>0.141013384321224</v>
      </c>
      <c r="S159" s="38" t="s">
        <v>63</v>
      </c>
    </row>
    <row customHeight="true" ht="23.703703703703702" r="160">
      <c r="A160" s="42">
        <v>46037</v>
      </c>
      <c r="B160" s="28" t="s">
        <v>27</v>
      </c>
      <c r="C160" s="28">
        <v>32</v>
      </c>
      <c r="D160" s="38"/>
      <c r="E160" s="30">
        <v>1818.15</v>
      </c>
      <c r="F160" s="31">
        <v>25.65</v>
      </c>
      <c r="G160" s="30"/>
      <c r="H160" s="30"/>
      <c r="I160" s="30"/>
      <c r="J160" s="30">
        <v>205.04625</v>
      </c>
      <c r="K160" s="32">
        <v>0.112777411104694</v>
      </c>
      <c r="L160" s="30">
        <v>1710.1975</v>
      </c>
      <c r="M160" s="30">
        <v>14911.3</v>
      </c>
      <c r="N160" s="32"/>
      <c r="O160" s="44">
        <v>10</v>
      </c>
      <c r="P160" s="44">
        <v>22</v>
      </c>
      <c r="Q160" s="34">
        <v>0.3125</v>
      </c>
      <c r="R160" s="34"/>
      <c r="S160" s="38"/>
    </row>
    <row customHeight="true" ht="23.703703703703702" r="161">
      <c r="B161" s="26" t="s">
        <v>54</v>
      </c>
    </row>
    <row customHeight="true" ht="23.703703703703702" r="162">
      <c r="A162" s="20" t="s">
        <v>55</v>
      </c>
      <c r="B162" s="21" t="s">
        <v>28</v>
      </c>
      <c r="C162" s="39" t="s">
        <v>29</v>
      </c>
      <c r="D162" s="21" t="s">
        <v>30</v>
      </c>
      <c r="E162" s="22" t="s">
        <v>31</v>
      </c>
      <c r="F162" s="23" t="s">
        <v>32</v>
      </c>
      <c r="G162" s="22" t="s">
        <v>33</v>
      </c>
      <c r="H162" s="40" t="s">
        <v>34</v>
      </c>
      <c r="I162" s="22" t="s">
        <v>35</v>
      </c>
      <c r="J162" s="22" t="s">
        <v>32</v>
      </c>
      <c r="K162" s="24" t="s">
        <v>36</v>
      </c>
      <c r="L162" s="22" t="s">
        <v>37</v>
      </c>
      <c r="M162" s="22" t="s">
        <v>38</v>
      </c>
      <c r="N162" s="21" t="s">
        <v>39</v>
      </c>
      <c r="O162" s="41" t="s">
        <v>40</v>
      </c>
      <c r="P162" s="25" t="s">
        <v>41</v>
      </c>
      <c r="Q162" s="24" t="s">
        <v>42</v>
      </c>
      <c r="R162" s="24" t="s">
        <v>43</v>
      </c>
      <c r="S162" s="24" t="s">
        <v>56</v>
      </c>
    </row>
    <row customHeight="true" ht="23.703703703703702" r="163">
      <c r="A163" s="42">
        <v>46038</v>
      </c>
      <c r="B163" s="28" t="s">
        <v>46</v>
      </c>
      <c r="C163" s="28">
        <v>14</v>
      </c>
      <c r="D163" s="43">
        <v>55.85</v>
      </c>
      <c r="E163" s="30">
        <v>781.9</v>
      </c>
      <c r="F163" s="29">
        <v>5.69</v>
      </c>
      <c r="G163" s="30">
        <v>112</v>
      </c>
      <c r="H163" s="30">
        <v>103.95</v>
      </c>
      <c r="I163" s="30">
        <v>19.5475</v>
      </c>
      <c r="J163" s="30">
        <v>68.1625</v>
      </c>
      <c r="K163" s="32">
        <v>0.0871754700089526</v>
      </c>
      <c r="L163" s="30">
        <v>545.3</v>
      </c>
      <c r="M163" s="30">
        <v>6255.2</v>
      </c>
      <c r="N163" s="32">
        <v>0.132945389435989</v>
      </c>
      <c r="O163" s="44">
        <v>7</v>
      </c>
      <c r="P163" s="44">
        <v>7</v>
      </c>
      <c r="Q163" s="34">
        <v>0.5</v>
      </c>
      <c r="R163" s="34">
        <v>0.265890778871979</v>
      </c>
      <c r="S163" s="45" t="s">
        <v>61</v>
      </c>
    </row>
    <row customHeight="true" ht="23.703703703703702" r="164">
      <c r="A164" s="42">
        <v>46038</v>
      </c>
      <c r="B164" s="28" t="s">
        <v>47</v>
      </c>
      <c r="C164" s="28">
        <v>4</v>
      </c>
      <c r="D164" s="43">
        <v>58</v>
      </c>
      <c r="E164" s="30">
        <v>232</v>
      </c>
      <c r="F164" s="29">
        <v>3.13</v>
      </c>
      <c r="G164" s="30">
        <v>32</v>
      </c>
      <c r="H164" s="30">
        <v>5.23</v>
      </c>
      <c r="I164" s="30">
        <v>5.8</v>
      </c>
      <c r="J164" s="30">
        <v>33.49</v>
      </c>
      <c r="K164" s="32">
        <v>0.144353448275862</v>
      </c>
      <c r="L164" s="30">
        <v>267.92</v>
      </c>
      <c r="M164" s="30">
        <v>1856</v>
      </c>
      <c r="N164" s="32">
        <v>0.0225431034482759</v>
      </c>
      <c r="O164" s="44">
        <v>0</v>
      </c>
      <c r="P164" s="44">
        <v>4</v>
      </c>
      <c r="Q164" s="34">
        <v>0</v>
      </c>
      <c r="R164" s="34">
        <v>0</v>
      </c>
      <c r="S164" s="38" t="s">
        <v>59</v>
      </c>
    </row>
    <row customHeight="true" ht="23.703703703703702" r="165">
      <c r="A165" s="42">
        <v>46038</v>
      </c>
      <c r="B165" s="28" t="s">
        <v>49</v>
      </c>
      <c r="C165" s="28">
        <v>16</v>
      </c>
      <c r="D165" s="43">
        <v>58.8</v>
      </c>
      <c r="E165" s="30">
        <v>940.8</v>
      </c>
      <c r="F165" s="29">
        <v>6.26</v>
      </c>
      <c r="G165" s="30">
        <v>128</v>
      </c>
      <c r="H165" s="30">
        <v>77.56</v>
      </c>
      <c r="I165" s="30">
        <v>23.52</v>
      </c>
      <c r="J165" s="30">
        <v>127.08</v>
      </c>
      <c r="K165" s="32">
        <v>0.135076530612245</v>
      </c>
      <c r="L165" s="30">
        <v>1016.64</v>
      </c>
      <c r="M165" s="30">
        <v>7526.4</v>
      </c>
      <c r="N165" s="32">
        <v>0.0824404761904762</v>
      </c>
      <c r="O165" s="44">
        <v>4</v>
      </c>
      <c r="P165" s="44">
        <v>12</v>
      </c>
      <c r="Q165" s="34">
        <v>0.25</v>
      </c>
      <c r="R165" s="34">
        <v>0.329761904761905</v>
      </c>
      <c r="S165" s="38" t="s">
        <v>60</v>
      </c>
    </row>
    <row customHeight="true" ht="23.703703703703702" r="166">
      <c r="A166" s="42">
        <v>46038</v>
      </c>
      <c r="B166" s="28" t="s">
        <v>50</v>
      </c>
      <c r="C166" s="28">
        <v>5</v>
      </c>
      <c r="D166" s="43">
        <v>59.35</v>
      </c>
      <c r="E166" s="30">
        <v>296.75</v>
      </c>
      <c r="F166" s="29">
        <v>5.18</v>
      </c>
      <c r="G166" s="30">
        <v>40</v>
      </c>
      <c r="H166" s="30">
        <v>26.03</v>
      </c>
      <c r="I166" s="30">
        <v>7.41875</v>
      </c>
      <c r="J166" s="30">
        <v>32.45125</v>
      </c>
      <c r="K166" s="32">
        <v>0.10935551811289</v>
      </c>
      <c r="L166" s="30">
        <v>259.61</v>
      </c>
      <c r="M166" s="30">
        <v>2374</v>
      </c>
      <c r="N166" s="32">
        <v>0.0877169334456613</v>
      </c>
      <c r="O166" s="44">
        <v>3</v>
      </c>
      <c r="P166" s="44">
        <v>2</v>
      </c>
      <c r="Q166" s="34">
        <v>0.6</v>
      </c>
      <c r="R166" s="34">
        <v>0.146194889076102</v>
      </c>
      <c r="S166" s="38" t="s">
        <v>62</v>
      </c>
    </row>
    <row customHeight="true" ht="23.703703703703702" r="167">
      <c r="A167" s="42">
        <v>46038</v>
      </c>
      <c r="B167" s="28" t="s">
        <v>52</v>
      </c>
      <c r="C167" s="28">
        <v>3</v>
      </c>
      <c r="D167" s="43">
        <v>52.3</v>
      </c>
      <c r="E167" s="30">
        <v>156.9</v>
      </c>
      <c r="F167" s="29">
        <v>5.39</v>
      </c>
      <c r="G167" s="30">
        <v>24</v>
      </c>
      <c r="H167" s="30">
        <v>24.1</v>
      </c>
      <c r="I167" s="30">
        <v>3.9225</v>
      </c>
      <c r="J167" s="30">
        <v>12.1475</v>
      </c>
      <c r="K167" s="32">
        <v>0.0774219247928617</v>
      </c>
      <c r="L167" s="30">
        <v>109.3275</v>
      </c>
      <c r="M167" s="30">
        <v>1412.1</v>
      </c>
      <c r="N167" s="32">
        <v>0.153601019757808</v>
      </c>
      <c r="O167" s="44">
        <v>2</v>
      </c>
      <c r="P167" s="44">
        <v>1</v>
      </c>
      <c r="Q167" s="34">
        <v>0.666666666666667</v>
      </c>
      <c r="R167" s="34">
        <v>0.230401529636711</v>
      </c>
      <c r="S167" s="38" t="s">
        <v>63</v>
      </c>
    </row>
    <row customHeight="true" ht="23.703703703703702" r="168">
      <c r="A168" s="42">
        <v>46038</v>
      </c>
      <c r="B168" s="28" t="s">
        <v>27</v>
      </c>
      <c r="C168" s="28">
        <v>42</v>
      </c>
      <c r="D168" s="38"/>
      <c r="E168" s="30">
        <v>2408.35</v>
      </c>
      <c r="F168" s="31">
        <v>25.65</v>
      </c>
      <c r="G168" s="30"/>
      <c r="H168" s="30"/>
      <c r="I168" s="30"/>
      <c r="J168" s="30">
        <v>273.33125</v>
      </c>
      <c r="K168" s="32">
        <v>0.113493159216891</v>
      </c>
      <c r="L168" s="30">
        <v>2198.7975</v>
      </c>
      <c r="M168" s="30">
        <v>19423.7</v>
      </c>
      <c r="N168" s="32"/>
      <c r="O168" s="44">
        <v>16</v>
      </c>
      <c r="P168" s="44">
        <v>26</v>
      </c>
      <c r="Q168" s="34">
        <v>0.380952380952381</v>
      </c>
      <c r="R168" s="34"/>
      <c r="S168" s="38"/>
    </row>
    <row customHeight="true" ht="23.703703703703702" r="169">
      <c r="B169" s="26" t="s">
        <v>54</v>
      </c>
    </row>
    <row customHeight="true" ht="23.703703703703702" r="170">
      <c r="A170" s="20" t="s">
        <v>55</v>
      </c>
      <c r="B170" s="21" t="s">
        <v>28</v>
      </c>
      <c r="C170" s="39" t="s">
        <v>29</v>
      </c>
      <c r="D170" s="21" t="s">
        <v>30</v>
      </c>
      <c r="E170" s="22" t="s">
        <v>31</v>
      </c>
      <c r="F170" s="23" t="s">
        <v>32</v>
      </c>
      <c r="G170" s="22" t="s">
        <v>33</v>
      </c>
      <c r="H170" s="40" t="s">
        <v>34</v>
      </c>
      <c r="I170" s="22" t="s">
        <v>35</v>
      </c>
      <c r="J170" s="22" t="s">
        <v>32</v>
      </c>
      <c r="K170" s="24" t="s">
        <v>36</v>
      </c>
      <c r="L170" s="22" t="s">
        <v>37</v>
      </c>
      <c r="M170" s="22" t="s">
        <v>38</v>
      </c>
      <c r="N170" s="21" t="s">
        <v>39</v>
      </c>
      <c r="O170" s="41" t="s">
        <v>40</v>
      </c>
      <c r="P170" s="25" t="s">
        <v>41</v>
      </c>
      <c r="Q170" s="24" t="s">
        <v>42</v>
      </c>
      <c r="R170" s="24" t="s">
        <v>43</v>
      </c>
      <c r="S170" s="24" t="s">
        <v>56</v>
      </c>
    </row>
    <row customHeight="true" ht="23.703703703703702" r="171">
      <c r="A171" s="42">
        <v>46039</v>
      </c>
      <c r="B171" s="28" t="s">
        <v>46</v>
      </c>
      <c r="C171" s="28">
        <v>12</v>
      </c>
      <c r="D171" s="43">
        <v>55.85</v>
      </c>
      <c r="E171" s="30">
        <v>670.2</v>
      </c>
      <c r="F171" s="29">
        <v>5.69</v>
      </c>
      <c r="G171" s="30">
        <v>96</v>
      </c>
      <c r="H171" s="30">
        <v>137.24</v>
      </c>
      <c r="I171" s="30">
        <v>16.755</v>
      </c>
      <c r="J171" s="30">
        <v>10.285</v>
      </c>
      <c r="K171" s="32">
        <v>0.0153461653237839</v>
      </c>
      <c r="L171" s="30">
        <v>82.2799999999999</v>
      </c>
      <c r="M171" s="30">
        <v>5361.6</v>
      </c>
      <c r="N171" s="32">
        <v>0.204774694121158</v>
      </c>
      <c r="O171" s="44">
        <v>6</v>
      </c>
      <c r="P171" s="44">
        <v>6</v>
      </c>
      <c r="Q171" s="34">
        <v>0.5</v>
      </c>
      <c r="R171" s="34">
        <v>0.409549388242316</v>
      </c>
      <c r="S171" s="45" t="s">
        <v>61</v>
      </c>
    </row>
    <row customHeight="true" ht="23.703703703703702" r="172">
      <c r="A172" s="42">
        <v>46039</v>
      </c>
      <c r="B172" s="28" t="s">
        <v>47</v>
      </c>
      <c r="C172" s="28">
        <v>0</v>
      </c>
      <c r="D172" s="43">
        <v>58</v>
      </c>
      <c r="E172" s="30">
        <v>0</v>
      </c>
      <c r="F172" s="29">
        <v>3.13</v>
      </c>
      <c r="G172" s="30">
        <v>0</v>
      </c>
      <c r="H172" s="30">
        <v>6.05</v>
      </c>
      <c r="I172" s="30">
        <v>0</v>
      </c>
      <c r="J172" s="30">
        <v>-6.05</v>
      </c>
      <c r="K172" s="32">
        <v>0</v>
      </c>
      <c r="L172" s="30">
        <v>-48.4</v>
      </c>
      <c r="M172" s="30">
        <v>0</v>
      </c>
      <c r="N172" s="32">
        <v>0</v>
      </c>
      <c r="O172" s="44"/>
      <c r="P172" s="44">
        <v>0</v>
      </c>
      <c r="Q172" s="34">
        <v>0</v>
      </c>
      <c r="R172" s="34">
        <v>0</v>
      </c>
      <c r="S172" s="38" t="s">
        <v>59</v>
      </c>
    </row>
    <row customHeight="true" ht="23.703703703703702" r="173">
      <c r="A173" s="42">
        <v>46039</v>
      </c>
      <c r="B173" s="28" t="s">
        <v>49</v>
      </c>
      <c r="C173" s="28">
        <v>17</v>
      </c>
      <c r="D173" s="43">
        <v>58.8</v>
      </c>
      <c r="E173" s="30">
        <v>999.6</v>
      </c>
      <c r="F173" s="29">
        <v>6.26</v>
      </c>
      <c r="G173" s="30">
        <v>136</v>
      </c>
      <c r="H173" s="30">
        <v>39.53</v>
      </c>
      <c r="I173" s="30">
        <v>24.99</v>
      </c>
      <c r="J173" s="30">
        <v>177.9</v>
      </c>
      <c r="K173" s="32">
        <v>0.17797118847539</v>
      </c>
      <c r="L173" s="30">
        <v>1423.2</v>
      </c>
      <c r="M173" s="30">
        <v>7996.8</v>
      </c>
      <c r="N173" s="32">
        <v>0.0395458183273309</v>
      </c>
      <c r="O173" s="44">
        <v>5</v>
      </c>
      <c r="P173" s="44">
        <v>12</v>
      </c>
      <c r="Q173" s="34">
        <v>0.294117647058824</v>
      </c>
      <c r="R173" s="34">
        <v>0.134455782312925</v>
      </c>
      <c r="S173" s="38" t="s">
        <v>60</v>
      </c>
    </row>
    <row customHeight="true" ht="23.703703703703702" r="174">
      <c r="A174" s="42">
        <v>46039</v>
      </c>
      <c r="B174" s="28" t="s">
        <v>50</v>
      </c>
      <c r="C174" s="28">
        <v>1</v>
      </c>
      <c r="D174" s="43">
        <v>59.35</v>
      </c>
      <c r="E174" s="30">
        <v>59.35</v>
      </c>
      <c r="F174" s="29">
        <v>5.18</v>
      </c>
      <c r="G174" s="30">
        <v>8</v>
      </c>
      <c r="H174" s="30">
        <v>38.83</v>
      </c>
      <c r="I174" s="30">
        <v>1.48375</v>
      </c>
      <c r="J174" s="30">
        <v>-27.13375</v>
      </c>
      <c r="K174" s="32">
        <v>-0.457181971356361</v>
      </c>
      <c r="L174" s="30">
        <v>-217.07</v>
      </c>
      <c r="M174" s="30">
        <v>474.8</v>
      </c>
      <c r="N174" s="32">
        <v>0.654254422914912</v>
      </c>
      <c r="O174" s="44">
        <v>1</v>
      </c>
      <c r="P174" s="44">
        <v>0</v>
      </c>
      <c r="Q174" s="34">
        <v>1</v>
      </c>
      <c r="R174" s="34">
        <v>0.654254422914912</v>
      </c>
      <c r="S174" s="38" t="s">
        <v>62</v>
      </c>
    </row>
    <row customHeight="true" ht="23.703703703703702" r="175">
      <c r="A175" s="42">
        <v>46039</v>
      </c>
      <c r="B175" s="28" t="s">
        <v>52</v>
      </c>
      <c r="C175" s="28">
        <v>10</v>
      </c>
      <c r="D175" s="43">
        <v>52.3</v>
      </c>
      <c r="E175" s="30">
        <v>523</v>
      </c>
      <c r="F175" s="29">
        <v>5.39</v>
      </c>
      <c r="G175" s="30">
        <v>80</v>
      </c>
      <c r="H175" s="30">
        <v>27.81</v>
      </c>
      <c r="I175" s="30">
        <v>13.075</v>
      </c>
      <c r="J175" s="30">
        <v>93.015</v>
      </c>
      <c r="K175" s="32">
        <v>0.177848948374761</v>
      </c>
      <c r="L175" s="30">
        <v>837.135</v>
      </c>
      <c r="M175" s="30">
        <v>4707</v>
      </c>
      <c r="N175" s="32">
        <v>0.0531739961759082</v>
      </c>
      <c r="O175" s="44">
        <v>5</v>
      </c>
      <c r="P175" s="44">
        <v>5</v>
      </c>
      <c r="Q175" s="34">
        <v>0.5</v>
      </c>
      <c r="R175" s="34">
        <v>0.106347992351816</v>
      </c>
      <c r="S175" s="38" t="s">
        <v>63</v>
      </c>
    </row>
    <row customHeight="true" ht="23.703703703703702" r="176">
      <c r="A176" s="42">
        <v>46039</v>
      </c>
      <c r="B176" s="28" t="s">
        <v>27</v>
      </c>
      <c r="C176" s="28">
        <v>40</v>
      </c>
      <c r="D176" s="38"/>
      <c r="E176" s="30">
        <v>2252.15</v>
      </c>
      <c r="F176" s="31">
        <v>25.65</v>
      </c>
      <c r="G176" s="30"/>
      <c r="H176" s="30"/>
      <c r="I176" s="30"/>
      <c r="J176" s="30">
        <v>248.01625</v>
      </c>
      <c r="K176" s="32">
        <v>0.110124214639345</v>
      </c>
      <c r="L176" s="30">
        <v>2077.145</v>
      </c>
      <c r="M176" s="30">
        <v>18540.2</v>
      </c>
      <c r="N176" s="32"/>
      <c r="O176" s="44">
        <v>17</v>
      </c>
      <c r="P176" s="44">
        <v>23</v>
      </c>
      <c r="Q176" s="34">
        <v>0.425</v>
      </c>
      <c r="R176" s="34"/>
      <c r="S176" s="38"/>
    </row>
    <row customHeight="true" ht="23.703703703703702" r="177">
      <c r="B177" s="26" t="s">
        <v>54</v>
      </c>
    </row>
    <row customHeight="true" ht="23.703703703703702" r="178">
      <c r="A178" s="20" t="s">
        <v>55</v>
      </c>
      <c r="B178" s="21" t="s">
        <v>28</v>
      </c>
      <c r="C178" s="39" t="s">
        <v>29</v>
      </c>
      <c r="D178" s="21" t="s">
        <v>30</v>
      </c>
      <c r="E178" s="22" t="s">
        <v>31</v>
      </c>
      <c r="F178" s="23" t="s">
        <v>32</v>
      </c>
      <c r="G178" s="22" t="s">
        <v>33</v>
      </c>
      <c r="H178" s="40" t="s">
        <v>34</v>
      </c>
      <c r="I178" s="22" t="s">
        <v>35</v>
      </c>
      <c r="J178" s="22" t="s">
        <v>32</v>
      </c>
      <c r="K178" s="24" t="s">
        <v>36</v>
      </c>
      <c r="L178" s="22" t="s">
        <v>37</v>
      </c>
      <c r="M178" s="22" t="s">
        <v>38</v>
      </c>
      <c r="N178" s="21" t="s">
        <v>39</v>
      </c>
      <c r="O178" s="41" t="s">
        <v>40</v>
      </c>
      <c r="P178" s="25" t="s">
        <v>41</v>
      </c>
      <c r="Q178" s="24" t="s">
        <v>42</v>
      </c>
      <c r="R178" s="24" t="s">
        <v>43</v>
      </c>
      <c r="S178" s="24" t="s">
        <v>56</v>
      </c>
    </row>
    <row customHeight="true" ht="23.703703703703702" r="179">
      <c r="A179" s="42">
        <v>46040</v>
      </c>
      <c r="B179" s="28" t="s">
        <v>46</v>
      </c>
      <c r="C179" s="28">
        <v>18</v>
      </c>
      <c r="D179" s="43">
        <v>55.85</v>
      </c>
      <c r="E179" s="30">
        <v>1005.3</v>
      </c>
      <c r="F179" s="29">
        <v>5.69</v>
      </c>
      <c r="G179" s="30">
        <v>144</v>
      </c>
      <c r="H179" s="30">
        <v>142.15</v>
      </c>
      <c r="I179" s="30">
        <v>25.1325</v>
      </c>
      <c r="J179" s="30">
        <v>79.1375</v>
      </c>
      <c r="K179" s="32">
        <v>0.0787202825027355</v>
      </c>
      <c r="L179" s="30">
        <v>633.1</v>
      </c>
      <c r="M179" s="30">
        <v>8042.4</v>
      </c>
      <c r="N179" s="32">
        <v>0.141400576942206</v>
      </c>
      <c r="O179" s="44">
        <v>14</v>
      </c>
      <c r="P179" s="44">
        <v>4</v>
      </c>
      <c r="Q179" s="34">
        <v>0.777777777777778</v>
      </c>
      <c r="R179" s="34">
        <v>0.181800741782837</v>
      </c>
      <c r="S179" s="45" t="s">
        <v>61</v>
      </c>
    </row>
    <row customHeight="true" ht="23.703703703703702" r="180">
      <c r="A180" s="42">
        <v>46040</v>
      </c>
      <c r="B180" s="28" t="s">
        <v>47</v>
      </c>
      <c r="C180" s="28">
        <v>4</v>
      </c>
      <c r="D180" s="43">
        <v>58</v>
      </c>
      <c r="E180" s="30">
        <v>232</v>
      </c>
      <c r="F180" s="29">
        <v>3.13</v>
      </c>
      <c r="G180" s="30">
        <v>32</v>
      </c>
      <c r="H180" s="30">
        <v>11.11</v>
      </c>
      <c r="I180" s="30">
        <v>5.8</v>
      </c>
      <c r="J180" s="30">
        <v>27.61</v>
      </c>
      <c r="K180" s="32">
        <v>0.119008620689655</v>
      </c>
      <c r="L180" s="30">
        <v>220.88</v>
      </c>
      <c r="M180" s="30">
        <v>1856</v>
      </c>
      <c r="N180" s="32">
        <v>0.0478879310344828</v>
      </c>
      <c r="O180" s="44">
        <v>1</v>
      </c>
      <c r="P180" s="44">
        <v>3</v>
      </c>
      <c r="Q180" s="34">
        <v>0.25</v>
      </c>
      <c r="R180" s="34">
        <v>0.191551724137931</v>
      </c>
      <c r="S180" s="38" t="s">
        <v>59</v>
      </c>
    </row>
    <row customHeight="true" ht="23.703703703703702" r="181">
      <c r="A181" s="42">
        <v>46040</v>
      </c>
      <c r="B181" s="28" t="s">
        <v>49</v>
      </c>
      <c r="C181" s="28">
        <v>4</v>
      </c>
      <c r="D181" s="43">
        <v>58.8</v>
      </c>
      <c r="E181" s="30">
        <v>235.2</v>
      </c>
      <c r="F181" s="29">
        <v>16.27</v>
      </c>
      <c r="G181" s="30">
        <v>32</v>
      </c>
      <c r="H181" s="30">
        <v>67.44</v>
      </c>
      <c r="I181" s="30">
        <v>5.88</v>
      </c>
      <c r="J181" s="30">
        <v>23.76</v>
      </c>
      <c r="K181" s="32">
        <v>0.101020408163265</v>
      </c>
      <c r="L181" s="30">
        <v>190.08</v>
      </c>
      <c r="M181" s="30">
        <v>1881.6</v>
      </c>
      <c r="N181" s="32">
        <v>0.286734693877551</v>
      </c>
      <c r="O181" s="44">
        <v>3</v>
      </c>
      <c r="P181" s="44">
        <v>1</v>
      </c>
      <c r="Q181" s="34">
        <v>0.75</v>
      </c>
      <c r="R181" s="34">
        <v>0.382312925170068</v>
      </c>
      <c r="S181" s="38" t="s">
        <v>57</v>
      </c>
    </row>
    <row customHeight="true" ht="23.703703703703702" r="182">
      <c r="A182" s="42">
        <v>46040</v>
      </c>
      <c r="B182" s="28" t="s">
        <v>50</v>
      </c>
      <c r="C182" s="28">
        <v>4</v>
      </c>
      <c r="D182" s="43">
        <v>59.35</v>
      </c>
      <c r="E182" s="30">
        <v>237.4</v>
      </c>
      <c r="F182" s="29">
        <v>5.18</v>
      </c>
      <c r="G182" s="30">
        <v>32</v>
      </c>
      <c r="H182" s="30">
        <v>42.39</v>
      </c>
      <c r="I182" s="30">
        <v>5.935</v>
      </c>
      <c r="J182" s="30">
        <v>4.395</v>
      </c>
      <c r="K182" s="32">
        <v>0.0185130581297388</v>
      </c>
      <c r="L182" s="30">
        <v>35.16</v>
      </c>
      <c r="M182" s="30">
        <v>1899.2</v>
      </c>
      <c r="N182" s="32">
        <v>0.178559393428812</v>
      </c>
      <c r="O182" s="44">
        <v>1</v>
      </c>
      <c r="P182" s="44">
        <v>3</v>
      </c>
      <c r="Q182" s="34">
        <v>0.25</v>
      </c>
      <c r="R182" s="34">
        <v>0.714237573715249</v>
      </c>
      <c r="S182" s="38" t="s">
        <v>62</v>
      </c>
    </row>
    <row customHeight="true" ht="23.703703703703702" r="183">
      <c r="A183" s="42">
        <v>46040</v>
      </c>
      <c r="B183" s="28" t="s">
        <v>52</v>
      </c>
      <c r="C183" s="28">
        <v>8</v>
      </c>
      <c r="D183" s="43">
        <v>52.3</v>
      </c>
      <c r="E183" s="30">
        <v>418.4</v>
      </c>
      <c r="F183" s="29">
        <v>5.39</v>
      </c>
      <c r="G183" s="30">
        <v>64</v>
      </c>
      <c r="H183" s="30">
        <v>38.05</v>
      </c>
      <c r="I183" s="30">
        <v>10.46</v>
      </c>
      <c r="J183" s="30">
        <v>58.61</v>
      </c>
      <c r="K183" s="32">
        <v>0.140081261950287</v>
      </c>
      <c r="L183" s="30">
        <v>527.49</v>
      </c>
      <c r="M183" s="30">
        <v>3765.6</v>
      </c>
      <c r="N183" s="32">
        <v>0.0909416826003824</v>
      </c>
      <c r="O183" s="44">
        <v>4</v>
      </c>
      <c r="P183" s="44">
        <v>4</v>
      </c>
      <c r="Q183" s="34">
        <v>0.5</v>
      </c>
      <c r="R183" s="34">
        <v>0.181883365200765</v>
      </c>
      <c r="S183" s="38" t="s">
        <v>63</v>
      </c>
    </row>
    <row customHeight="true" ht="23.703703703703702" r="184">
      <c r="A184" s="42">
        <v>46040</v>
      </c>
      <c r="B184" s="28" t="s">
        <v>27</v>
      </c>
      <c r="C184" s="28">
        <v>38</v>
      </c>
      <c r="D184" s="38"/>
      <c r="E184" s="30">
        <v>2128.3</v>
      </c>
      <c r="F184" s="31">
        <v>35.66</v>
      </c>
      <c r="G184" s="30"/>
      <c r="H184" s="30"/>
      <c r="I184" s="30"/>
      <c r="J184" s="30">
        <v>193.5125</v>
      </c>
      <c r="K184" s="32">
        <v>0.0909235070243857</v>
      </c>
      <c r="L184" s="30">
        <v>1606.71</v>
      </c>
      <c r="M184" s="30">
        <v>17444.8</v>
      </c>
      <c r="N184" s="32"/>
      <c r="O184" s="44">
        <v>23</v>
      </c>
      <c r="P184" s="44">
        <v>15</v>
      </c>
      <c r="Q184" s="34">
        <v>0.605263157894737</v>
      </c>
      <c r="R184" s="34"/>
      <c r="S184" s="38"/>
    </row>
    <row customHeight="true" ht="23.703703703703702" r="185">
      <c r="B185" s="26" t="s">
        <v>54</v>
      </c>
    </row>
    <row customHeight="true" ht="23.703703703703702" r="186">
      <c r="A186" s="20" t="s">
        <v>55</v>
      </c>
      <c r="B186" s="21" t="s">
        <v>28</v>
      </c>
      <c r="C186" s="39" t="s">
        <v>29</v>
      </c>
      <c r="D186" s="21" t="s">
        <v>30</v>
      </c>
      <c r="E186" s="22" t="s">
        <v>31</v>
      </c>
      <c r="F186" s="23" t="s">
        <v>32</v>
      </c>
      <c r="G186" s="22" t="s">
        <v>33</v>
      </c>
      <c r="H186" s="40" t="s">
        <v>34</v>
      </c>
      <c r="I186" s="22" t="s">
        <v>35</v>
      </c>
      <c r="J186" s="22" t="s">
        <v>32</v>
      </c>
      <c r="K186" s="24" t="s">
        <v>36</v>
      </c>
      <c r="L186" s="22" t="s">
        <v>37</v>
      </c>
      <c r="M186" s="22" t="s">
        <v>38</v>
      </c>
      <c r="N186" s="21" t="s">
        <v>39</v>
      </c>
      <c r="O186" s="41" t="s">
        <v>40</v>
      </c>
      <c r="P186" s="25" t="s">
        <v>41</v>
      </c>
      <c r="Q186" s="24" t="s">
        <v>42</v>
      </c>
      <c r="R186" s="24" t="s">
        <v>43</v>
      </c>
      <c r="S186" s="24" t="s">
        <v>56</v>
      </c>
    </row>
    <row customHeight="true" ht="23.703703703703702" r="187">
      <c r="A187" s="42">
        <v>46041</v>
      </c>
      <c r="B187" s="28" t="s">
        <v>46</v>
      </c>
      <c r="C187" s="28">
        <v>10</v>
      </c>
      <c r="D187" s="43">
        <v>55.85</v>
      </c>
      <c r="E187" s="30">
        <v>558.5</v>
      </c>
      <c r="F187" s="29">
        <v>5.69</v>
      </c>
      <c r="G187" s="30">
        <v>80</v>
      </c>
      <c r="H187" s="30">
        <v>138.18</v>
      </c>
      <c r="I187" s="30">
        <v>13.9625</v>
      </c>
      <c r="J187" s="30">
        <v>-15.2425</v>
      </c>
      <c r="K187" s="32">
        <v>-0.0272918531781558</v>
      </c>
      <c r="L187" s="30">
        <v>-121.94</v>
      </c>
      <c r="M187" s="30">
        <v>4468</v>
      </c>
      <c r="N187" s="32">
        <v>0.247412712623098</v>
      </c>
      <c r="O187" s="44">
        <v>7</v>
      </c>
      <c r="P187" s="44">
        <v>3</v>
      </c>
      <c r="Q187" s="34">
        <v>0.7</v>
      </c>
      <c r="R187" s="34">
        <v>0.353446732318711</v>
      </c>
      <c r="S187" s="45" t="s">
        <v>61</v>
      </c>
    </row>
    <row customHeight="true" ht="23.703703703703702" r="188">
      <c r="A188" s="42">
        <v>46041</v>
      </c>
      <c r="B188" s="28" t="s">
        <v>47</v>
      </c>
      <c r="C188" s="28">
        <v>1</v>
      </c>
      <c r="D188" s="43">
        <v>58</v>
      </c>
      <c r="E188" s="30">
        <v>58</v>
      </c>
      <c r="F188" s="29">
        <v>3.13</v>
      </c>
      <c r="G188" s="30">
        <v>8</v>
      </c>
      <c r="H188" s="30">
        <v>3.42</v>
      </c>
      <c r="I188" s="30">
        <v>1.45</v>
      </c>
      <c r="J188" s="30">
        <v>6.26</v>
      </c>
      <c r="K188" s="32">
        <v>0.107931034482759</v>
      </c>
      <c r="L188" s="30">
        <v>50.08</v>
      </c>
      <c r="M188" s="30">
        <v>464</v>
      </c>
      <c r="N188" s="32">
        <v>0.0589655172413793</v>
      </c>
      <c r="O188" s="44">
        <v>1</v>
      </c>
      <c r="P188" s="44">
        <v>0</v>
      </c>
      <c r="Q188" s="34">
        <v>1</v>
      </c>
      <c r="R188" s="34">
        <v>0.0589655172413793</v>
      </c>
      <c r="S188" s="38" t="s">
        <v>59</v>
      </c>
    </row>
    <row customHeight="true" ht="23.703703703703702" r="189">
      <c r="A189" s="42">
        <v>46041</v>
      </c>
      <c r="B189" s="28" t="s">
        <v>49</v>
      </c>
      <c r="C189" s="28">
        <v>5</v>
      </c>
      <c r="D189" s="43">
        <v>58.8</v>
      </c>
      <c r="E189" s="30">
        <v>294</v>
      </c>
      <c r="F189" s="29">
        <v>16.27</v>
      </c>
      <c r="G189" s="30">
        <v>40</v>
      </c>
      <c r="H189" s="30">
        <v>66.39</v>
      </c>
      <c r="I189" s="30">
        <v>7.35</v>
      </c>
      <c r="J189" s="30">
        <v>47.61</v>
      </c>
      <c r="K189" s="32">
        <v>0.161938775510204</v>
      </c>
      <c r="L189" s="30">
        <v>380.88</v>
      </c>
      <c r="M189" s="30">
        <v>2352</v>
      </c>
      <c r="N189" s="32">
        <v>0.225816326530612</v>
      </c>
      <c r="O189" s="44">
        <v>2</v>
      </c>
      <c r="P189" s="44">
        <v>3</v>
      </c>
      <c r="Q189" s="34">
        <v>0.4</v>
      </c>
      <c r="R189" s="34">
        <v>0.564540816326531</v>
      </c>
      <c r="S189" s="38" t="s">
        <v>57</v>
      </c>
    </row>
    <row customHeight="true" ht="23.703703703703702" r="190">
      <c r="A190" s="42">
        <v>46041</v>
      </c>
      <c r="B190" s="28" t="s">
        <v>50</v>
      </c>
      <c r="C190" s="28">
        <v>6</v>
      </c>
      <c r="D190" s="43">
        <v>59.35</v>
      </c>
      <c r="E190" s="30">
        <v>356.1</v>
      </c>
      <c r="F190" s="29">
        <v>5.18</v>
      </c>
      <c r="G190" s="30">
        <v>48</v>
      </c>
      <c r="H190" s="30">
        <v>26.94</v>
      </c>
      <c r="I190" s="30">
        <v>8.9025</v>
      </c>
      <c r="J190" s="30">
        <v>43.2375</v>
      </c>
      <c r="K190" s="32">
        <v>0.121419545071609</v>
      </c>
      <c r="L190" s="30">
        <v>345.9</v>
      </c>
      <c r="M190" s="30">
        <v>2848.8</v>
      </c>
      <c r="N190" s="32">
        <v>0.0756529064869419</v>
      </c>
      <c r="O190" s="44">
        <v>3</v>
      </c>
      <c r="P190" s="44">
        <v>3</v>
      </c>
      <c r="Q190" s="34">
        <v>0.5</v>
      </c>
      <c r="R190" s="34">
        <v>0.151305812973884</v>
      </c>
      <c r="S190" s="38" t="s">
        <v>62</v>
      </c>
    </row>
    <row customHeight="true" ht="23.703703703703702" r="191">
      <c r="A191" s="42">
        <v>46041</v>
      </c>
      <c r="B191" s="28" t="s">
        <v>52</v>
      </c>
      <c r="C191" s="28">
        <v>4</v>
      </c>
      <c r="D191" s="43">
        <v>52.3</v>
      </c>
      <c r="E191" s="30">
        <v>209.2</v>
      </c>
      <c r="F191" s="29">
        <v>5.39</v>
      </c>
      <c r="G191" s="30">
        <v>32</v>
      </c>
      <c r="H191" s="30">
        <v>29.11</v>
      </c>
      <c r="I191" s="30">
        <v>5.23</v>
      </c>
      <c r="J191" s="30">
        <v>19.22</v>
      </c>
      <c r="K191" s="32">
        <v>0.0918738049713193</v>
      </c>
      <c r="L191" s="30">
        <v>172.98</v>
      </c>
      <c r="M191" s="30">
        <v>1882.8</v>
      </c>
      <c r="N191" s="32">
        <v>0.13914913957935</v>
      </c>
      <c r="O191" s="44">
        <v>3</v>
      </c>
      <c r="P191" s="44">
        <v>1</v>
      </c>
      <c r="Q191" s="34">
        <v>0.75</v>
      </c>
      <c r="R191" s="34">
        <v>0.1855321861058</v>
      </c>
      <c r="S191" s="38" t="s">
        <v>63</v>
      </c>
    </row>
    <row customHeight="true" ht="23.703703703703702" r="192">
      <c r="A192" s="42">
        <v>46041</v>
      </c>
      <c r="B192" s="28" t="s">
        <v>27</v>
      </c>
      <c r="C192" s="28">
        <v>26</v>
      </c>
      <c r="D192" s="38"/>
      <c r="E192" s="30">
        <v>1475.8</v>
      </c>
      <c r="F192" s="31">
        <v>35.66</v>
      </c>
      <c r="G192" s="30"/>
      <c r="H192" s="30"/>
      <c r="I192" s="30"/>
      <c r="J192" s="30">
        <v>101.085</v>
      </c>
      <c r="K192" s="32">
        <v>0.0684950535302886</v>
      </c>
      <c r="L192" s="30">
        <v>827.9</v>
      </c>
      <c r="M192" s="30">
        <v>12015.6</v>
      </c>
      <c r="N192" s="32"/>
      <c r="O192" s="44">
        <v>16</v>
      </c>
      <c r="P192" s="44">
        <v>10</v>
      </c>
      <c r="Q192" s="34">
        <v>0.615384615384615</v>
      </c>
      <c r="R192" s="34"/>
      <c r="S192" s="38"/>
    </row>
    <row customHeight="true" ht="23.703703703703702" r="193">
      <c r="B193" s="26" t="s">
        <v>54</v>
      </c>
    </row>
    <row customHeight="true" ht="23.703703703703702" r="194">
      <c r="A194" s="20" t="s">
        <v>55</v>
      </c>
      <c r="B194" s="21" t="s">
        <v>28</v>
      </c>
      <c r="C194" s="39" t="s">
        <v>29</v>
      </c>
      <c r="D194" s="21" t="s">
        <v>30</v>
      </c>
      <c r="E194" s="22" t="s">
        <v>31</v>
      </c>
      <c r="F194" s="23" t="s">
        <v>32</v>
      </c>
      <c r="G194" s="22" t="s">
        <v>33</v>
      </c>
      <c r="H194" s="40" t="s">
        <v>34</v>
      </c>
      <c r="I194" s="22" t="s">
        <v>35</v>
      </c>
      <c r="J194" s="22" t="s">
        <v>32</v>
      </c>
      <c r="K194" s="24" t="s">
        <v>36</v>
      </c>
      <c r="L194" s="22" t="s">
        <v>37</v>
      </c>
      <c r="M194" s="22" t="s">
        <v>38</v>
      </c>
      <c r="N194" s="21" t="s">
        <v>39</v>
      </c>
      <c r="O194" s="41" t="s">
        <v>40</v>
      </c>
      <c r="P194" s="25" t="s">
        <v>41</v>
      </c>
      <c r="Q194" s="24" t="s">
        <v>42</v>
      </c>
      <c r="R194" s="24" t="s">
        <v>43</v>
      </c>
      <c r="S194" s="24" t="s">
        <v>56</v>
      </c>
    </row>
    <row customHeight="true" ht="23.703703703703702" r="195">
      <c r="A195" s="42">
        <v>46042</v>
      </c>
      <c r="B195" s="28" t="s">
        <v>46</v>
      </c>
      <c r="C195" s="28">
        <v>16</v>
      </c>
      <c r="D195" s="43">
        <v>55.85</v>
      </c>
      <c r="E195" s="30">
        <v>893.6</v>
      </c>
      <c r="F195" s="29">
        <v>5.69</v>
      </c>
      <c r="G195" s="30">
        <v>128</v>
      </c>
      <c r="H195" s="30">
        <v>127.2</v>
      </c>
      <c r="I195" s="30">
        <v>22.34</v>
      </c>
      <c r="J195" s="30">
        <v>69.5</v>
      </c>
      <c r="K195" s="32">
        <v>0.077775290957923</v>
      </c>
      <c r="L195" s="30">
        <v>556</v>
      </c>
      <c r="M195" s="30">
        <v>7148.8</v>
      </c>
      <c r="N195" s="32">
        <v>0.142345568487019</v>
      </c>
      <c r="O195" s="44">
        <v>6</v>
      </c>
      <c r="P195" s="44">
        <v>10</v>
      </c>
      <c r="Q195" s="34">
        <v>0.375</v>
      </c>
      <c r="R195" s="34">
        <v>0.37958818263205</v>
      </c>
      <c r="S195" s="45" t="s">
        <v>61</v>
      </c>
    </row>
    <row customHeight="true" ht="23.703703703703702" r="196">
      <c r="A196" s="42">
        <v>46042</v>
      </c>
      <c r="B196" s="28" t="s">
        <v>47</v>
      </c>
      <c r="C196" s="28">
        <v>0</v>
      </c>
      <c r="D196" s="43">
        <v>58</v>
      </c>
      <c r="E196" s="30">
        <v>0</v>
      </c>
      <c r="F196" s="29">
        <v>3.13</v>
      </c>
      <c r="G196" s="30">
        <v>0</v>
      </c>
      <c r="H196" s="30">
        <v>3.28</v>
      </c>
      <c r="I196" s="30">
        <v>0</v>
      </c>
      <c r="J196" s="30">
        <v>-3.28</v>
      </c>
      <c r="K196" s="32">
        <v>0</v>
      </c>
      <c r="L196" s="30">
        <v>-26.24</v>
      </c>
      <c r="M196" s="30">
        <v>0</v>
      </c>
      <c r="N196" s="32">
        <v>0</v>
      </c>
      <c r="O196" s="44">
        <v>1</v>
      </c>
      <c r="P196" s="44">
        <v>-1</v>
      </c>
      <c r="Q196" s="34">
        <v>0</v>
      </c>
      <c r="R196" s="34">
        <v>0</v>
      </c>
      <c r="S196" s="38" t="s">
        <v>59</v>
      </c>
    </row>
    <row customHeight="true" ht="23.703703703703702" r="197">
      <c r="A197" s="42">
        <v>46042</v>
      </c>
      <c r="B197" s="28" t="s">
        <v>49</v>
      </c>
      <c r="C197" s="28">
        <v>25</v>
      </c>
      <c r="D197" s="43">
        <v>58.8</v>
      </c>
      <c r="E197" s="30">
        <v>1470</v>
      </c>
      <c r="F197" s="29">
        <v>4.14</v>
      </c>
      <c r="G197" s="30">
        <v>200</v>
      </c>
      <c r="H197" s="30">
        <v>89.81</v>
      </c>
      <c r="I197" s="30">
        <v>36.75</v>
      </c>
      <c r="J197" s="30">
        <v>176.94</v>
      </c>
      <c r="K197" s="32">
        <v>0.120367346938776</v>
      </c>
      <c r="L197" s="30">
        <v>1415.52</v>
      </c>
      <c r="M197" s="30">
        <v>11760</v>
      </c>
      <c r="N197" s="32">
        <v>0.0610952380952381</v>
      </c>
      <c r="O197" s="44">
        <v>12</v>
      </c>
      <c r="P197" s="44">
        <v>13</v>
      </c>
      <c r="Q197" s="34">
        <v>0.48</v>
      </c>
      <c r="R197" s="34">
        <v>0.127281746031746</v>
      </c>
      <c r="S197" s="45" t="s">
        <v>64</v>
      </c>
    </row>
    <row customHeight="true" ht="23.703703703703702" r="198">
      <c r="A198" s="42">
        <v>46042</v>
      </c>
      <c r="B198" s="28" t="s">
        <v>50</v>
      </c>
      <c r="C198" s="28">
        <v>1</v>
      </c>
      <c r="D198" s="43">
        <v>59.35</v>
      </c>
      <c r="E198" s="30">
        <v>59.35</v>
      </c>
      <c r="F198" s="29">
        <v>5.18</v>
      </c>
      <c r="G198" s="30">
        <v>8</v>
      </c>
      <c r="H198" s="30">
        <v>24.52</v>
      </c>
      <c r="I198" s="30">
        <v>1.48375</v>
      </c>
      <c r="J198" s="30">
        <v>-12.82375</v>
      </c>
      <c r="K198" s="32">
        <v>-0.216069924178602</v>
      </c>
      <c r="L198" s="30">
        <v>-102.59</v>
      </c>
      <c r="M198" s="30">
        <v>474.8</v>
      </c>
      <c r="N198" s="32">
        <v>0.413142375737152</v>
      </c>
      <c r="O198" s="44">
        <v>0</v>
      </c>
      <c r="P198" s="44">
        <v>1</v>
      </c>
      <c r="Q198" s="34">
        <v>0</v>
      </c>
      <c r="R198" s="34">
        <v>0</v>
      </c>
      <c r="S198" s="38" t="s">
        <v>62</v>
      </c>
    </row>
    <row customHeight="true" ht="23.703703703703702" r="199">
      <c r="A199" s="42">
        <v>46042</v>
      </c>
      <c r="B199" s="28" t="s">
        <v>52</v>
      </c>
      <c r="C199" s="28">
        <v>9</v>
      </c>
      <c r="D199" s="43">
        <v>52.3</v>
      </c>
      <c r="E199" s="30">
        <v>470.7</v>
      </c>
      <c r="F199" s="29">
        <v>5.39</v>
      </c>
      <c r="G199" s="30">
        <v>72</v>
      </c>
      <c r="H199" s="30">
        <v>30.16</v>
      </c>
      <c r="I199" s="30">
        <v>11.7675</v>
      </c>
      <c r="J199" s="30">
        <v>78.5825</v>
      </c>
      <c r="K199" s="32">
        <v>0.166948162311451</v>
      </c>
      <c r="L199" s="30">
        <v>707.2425</v>
      </c>
      <c r="M199" s="30">
        <v>4236.3</v>
      </c>
      <c r="N199" s="32">
        <v>0.0640747822392182</v>
      </c>
      <c r="O199" s="44">
        <v>4</v>
      </c>
      <c r="P199" s="44">
        <v>5</v>
      </c>
      <c r="Q199" s="34">
        <v>0.444444444444444</v>
      </c>
      <c r="R199" s="34">
        <v>0.144168260038241</v>
      </c>
      <c r="S199" s="38" t="s">
        <v>63</v>
      </c>
    </row>
    <row customHeight="true" ht="23.703703703703702" r="200">
      <c r="A200" s="42">
        <v>46042</v>
      </c>
      <c r="B200" s="28" t="s">
        <v>27</v>
      </c>
      <c r="C200" s="28">
        <v>51</v>
      </c>
      <c r="D200" s="38"/>
      <c r="E200" s="30">
        <v>2893.65</v>
      </c>
      <c r="F200" s="31">
        <v>23.53</v>
      </c>
      <c r="G200" s="30"/>
      <c r="H200" s="30"/>
      <c r="I200" s="30"/>
      <c r="J200" s="30">
        <v>308.91875</v>
      </c>
      <c r="K200" s="32">
        <v>0.106757468940611</v>
      </c>
      <c r="L200" s="30">
        <v>2549.9325</v>
      </c>
      <c r="M200" s="30">
        <v>23619.9</v>
      </c>
      <c r="N200" s="32"/>
      <c r="O200" s="44">
        <v>23</v>
      </c>
      <c r="P200" s="44">
        <v>28</v>
      </c>
      <c r="Q200" s="34">
        <v>0.450980392156863</v>
      </c>
      <c r="R200" s="34"/>
      <c r="S200" s="38"/>
    </row>
    <row customHeight="true" ht="23.703703703703702" r="201">
      <c r="B201" s="26" t="s">
        <v>54</v>
      </c>
    </row>
    <row customHeight="true" ht="23.703703703703702" r="202">
      <c r="A202" s="20" t="s">
        <v>55</v>
      </c>
      <c r="B202" s="21" t="s">
        <v>28</v>
      </c>
      <c r="C202" s="39" t="s">
        <v>29</v>
      </c>
      <c r="D202" s="21" t="s">
        <v>30</v>
      </c>
      <c r="E202" s="22" t="s">
        <v>31</v>
      </c>
      <c r="F202" s="23" t="s">
        <v>32</v>
      </c>
      <c r="G202" s="22" t="s">
        <v>33</v>
      </c>
      <c r="H202" s="40" t="s">
        <v>34</v>
      </c>
      <c r="I202" s="22" t="s">
        <v>35</v>
      </c>
      <c r="J202" s="22" t="s">
        <v>32</v>
      </c>
      <c r="K202" s="24" t="s">
        <v>36</v>
      </c>
      <c r="L202" s="22" t="s">
        <v>37</v>
      </c>
      <c r="M202" s="22" t="s">
        <v>38</v>
      </c>
      <c r="N202" s="21" t="s">
        <v>39</v>
      </c>
      <c r="O202" s="41" t="s">
        <v>40</v>
      </c>
      <c r="P202" s="25" t="s">
        <v>41</v>
      </c>
      <c r="Q202" s="24" t="s">
        <v>42</v>
      </c>
      <c r="R202" s="24" t="s">
        <v>43</v>
      </c>
      <c r="S202" s="24" t="s">
        <v>56</v>
      </c>
    </row>
    <row customHeight="true" ht="23.703703703703702" r="203">
      <c r="A203" s="42">
        <v>46043</v>
      </c>
      <c r="B203" s="28" t="s">
        <v>46</v>
      </c>
      <c r="C203" s="28">
        <v>17</v>
      </c>
      <c r="D203" s="43">
        <v>55.85</v>
      </c>
      <c r="E203" s="30">
        <v>949.45</v>
      </c>
      <c r="F203" s="29">
        <v>5.69</v>
      </c>
      <c r="G203" s="30">
        <v>136</v>
      </c>
      <c r="H203" s="30">
        <v>114.05</v>
      </c>
      <c r="I203" s="30">
        <v>23.73625</v>
      </c>
      <c r="J203" s="30">
        <v>94.94375</v>
      </c>
      <c r="K203" s="32">
        <v>0.0999986834483122</v>
      </c>
      <c r="L203" s="30">
        <v>759.55</v>
      </c>
      <c r="M203" s="30">
        <v>7595.6</v>
      </c>
      <c r="N203" s="32">
        <v>0.12012217599663</v>
      </c>
      <c r="O203" s="44">
        <v>8</v>
      </c>
      <c r="P203" s="44">
        <v>9</v>
      </c>
      <c r="Q203" s="34">
        <v>0.470588235294118</v>
      </c>
      <c r="R203" s="34">
        <v>0.255259623992838</v>
      </c>
      <c r="S203" s="45" t="s">
        <v>61</v>
      </c>
    </row>
    <row customHeight="true" ht="23.703703703703702" r="204">
      <c r="A204" s="42">
        <v>46043</v>
      </c>
      <c r="B204" s="28" t="s">
        <v>47</v>
      </c>
      <c r="C204" s="28">
        <v>2</v>
      </c>
      <c r="D204" s="43">
        <v>58</v>
      </c>
      <c r="E204" s="30">
        <v>116</v>
      </c>
      <c r="F204" s="29">
        <v>3.13</v>
      </c>
      <c r="G204" s="30">
        <v>16</v>
      </c>
      <c r="H204" s="30">
        <v>9.51</v>
      </c>
      <c r="I204" s="30">
        <v>2.9</v>
      </c>
      <c r="J204" s="30">
        <v>9.85</v>
      </c>
      <c r="K204" s="32">
        <v>0.0849137931034483</v>
      </c>
      <c r="L204" s="30">
        <v>78.8</v>
      </c>
      <c r="M204" s="30">
        <v>928</v>
      </c>
      <c r="N204" s="32">
        <v>0.0819827586206897</v>
      </c>
      <c r="O204" s="44">
        <v>1</v>
      </c>
      <c r="P204" s="44">
        <v>1</v>
      </c>
      <c r="Q204" s="34">
        <v>0.5</v>
      </c>
      <c r="R204" s="34">
        <v>0.163965517241379</v>
      </c>
      <c r="S204" s="38" t="s">
        <v>59</v>
      </c>
    </row>
    <row customHeight="true" ht="23.703703703703702" r="205">
      <c r="A205" s="42">
        <v>46043</v>
      </c>
      <c r="B205" s="28" t="s">
        <v>49</v>
      </c>
      <c r="C205" s="28">
        <v>7</v>
      </c>
      <c r="D205" s="43">
        <v>58.8</v>
      </c>
      <c r="E205" s="30">
        <v>411.6</v>
      </c>
      <c r="F205" s="29">
        <v>4.14</v>
      </c>
      <c r="G205" s="30">
        <v>56</v>
      </c>
      <c r="H205" s="30">
        <v>64.11</v>
      </c>
      <c r="I205" s="30">
        <v>10.29</v>
      </c>
      <c r="J205" s="30">
        <v>10.58</v>
      </c>
      <c r="K205" s="32">
        <v>0.0257045675413022</v>
      </c>
      <c r="L205" s="30">
        <v>84.6399999999999</v>
      </c>
      <c r="M205" s="30">
        <v>3292.8</v>
      </c>
      <c r="N205" s="32">
        <v>0.155758017492711</v>
      </c>
      <c r="O205" s="44">
        <v>2</v>
      </c>
      <c r="P205" s="44">
        <v>5</v>
      </c>
      <c r="Q205" s="34">
        <v>0.285714285714286</v>
      </c>
      <c r="R205" s="34">
        <v>0.545153061224489</v>
      </c>
      <c r="S205" s="45" t="s">
        <v>64</v>
      </c>
    </row>
    <row customHeight="true" ht="23.703703703703702" r="206">
      <c r="A206" s="42">
        <v>46043</v>
      </c>
      <c r="B206" s="28" t="s">
        <v>50</v>
      </c>
      <c r="C206" s="28">
        <v>5</v>
      </c>
      <c r="D206" s="43">
        <v>59.35</v>
      </c>
      <c r="E206" s="30">
        <v>296.75</v>
      </c>
      <c r="F206" s="29">
        <v>5.18</v>
      </c>
      <c r="G206" s="30">
        <v>40</v>
      </c>
      <c r="H206" s="30">
        <v>15.05</v>
      </c>
      <c r="I206" s="30">
        <v>7.41875</v>
      </c>
      <c r="J206" s="30">
        <v>43.43125</v>
      </c>
      <c r="K206" s="32">
        <v>0.146356360572873</v>
      </c>
      <c r="L206" s="30">
        <v>347.45</v>
      </c>
      <c r="M206" s="30">
        <v>2374</v>
      </c>
      <c r="N206" s="32">
        <v>0.0507160909856782</v>
      </c>
      <c r="O206" s="44">
        <v>3</v>
      </c>
      <c r="P206" s="44">
        <v>2</v>
      </c>
      <c r="Q206" s="34">
        <v>0.6</v>
      </c>
      <c r="R206" s="34">
        <v>0.0845268183094637</v>
      </c>
      <c r="S206" s="38" t="s">
        <v>62</v>
      </c>
    </row>
    <row customHeight="true" ht="23.703703703703702" r="207">
      <c r="A207" s="42">
        <v>46043</v>
      </c>
      <c r="B207" s="28" t="s">
        <v>52</v>
      </c>
      <c r="C207" s="28">
        <v>2</v>
      </c>
      <c r="D207" s="43">
        <v>52.3</v>
      </c>
      <c r="E207" s="30">
        <v>104.6</v>
      </c>
      <c r="F207" s="29">
        <v>5.39</v>
      </c>
      <c r="G207" s="30">
        <v>16</v>
      </c>
      <c r="H207" s="30">
        <v>23.85</v>
      </c>
      <c r="I207" s="30">
        <v>2.615</v>
      </c>
      <c r="J207" s="30">
        <v>0.315</v>
      </c>
      <c r="K207" s="32">
        <v>0.0030114722753346</v>
      </c>
      <c r="L207" s="30">
        <v>2.835</v>
      </c>
      <c r="M207" s="30">
        <v>941.4</v>
      </c>
      <c r="N207" s="32">
        <v>0.228011472275335</v>
      </c>
      <c r="O207" s="44">
        <v>0</v>
      </c>
      <c r="P207" s="44">
        <v>2</v>
      </c>
      <c r="Q207" s="34">
        <v>0</v>
      </c>
      <c r="R207" s="34">
        <v>0</v>
      </c>
      <c r="S207" s="38" t="s">
        <v>63</v>
      </c>
    </row>
    <row customHeight="true" ht="23.703703703703702" r="208">
      <c r="A208" s="42">
        <v>46043</v>
      </c>
      <c r="B208" s="28" t="s">
        <v>27</v>
      </c>
      <c r="C208" s="28">
        <v>33</v>
      </c>
      <c r="D208" s="38"/>
      <c r="E208" s="30">
        <v>1878.4</v>
      </c>
      <c r="F208" s="31">
        <v>23.53</v>
      </c>
      <c r="G208" s="30"/>
      <c r="H208" s="30"/>
      <c r="I208" s="30"/>
      <c r="J208" s="30">
        <v>159.12</v>
      </c>
      <c r="K208" s="32">
        <v>0.0847103918228279</v>
      </c>
      <c r="L208" s="30">
        <v>1273.275</v>
      </c>
      <c r="M208" s="30">
        <v>15131.8</v>
      </c>
      <c r="N208" s="32"/>
      <c r="O208" s="44">
        <v>14</v>
      </c>
      <c r="P208" s="44">
        <v>19</v>
      </c>
      <c r="Q208" s="34">
        <v>0.424242424242424</v>
      </c>
      <c r="R208" s="34"/>
      <c r="S208" s="38"/>
    </row>
    <row customHeight="true" ht="23.703703703703702" r="209">
      <c r="B209" s="26" t="s">
        <v>54</v>
      </c>
    </row>
    <row customHeight="true" ht="23.703703703703702" r="210">
      <c r="A210" s="20" t="s">
        <v>65</v>
      </c>
      <c r="B210" s="21" t="s">
        <v>28</v>
      </c>
      <c r="C210" s="39" t="s">
        <v>29</v>
      </c>
      <c r="D210" s="21" t="s">
        <v>30</v>
      </c>
      <c r="E210" s="22" t="s">
        <v>31</v>
      </c>
      <c r="F210" s="23" t="s">
        <v>32</v>
      </c>
      <c r="G210" s="22" t="s">
        <v>33</v>
      </c>
      <c r="H210" s="40" t="s">
        <v>34</v>
      </c>
      <c r="I210" s="22" t="s">
        <v>35</v>
      </c>
      <c r="J210" s="22" t="s">
        <v>32</v>
      </c>
      <c r="K210" s="24" t="s">
        <v>36</v>
      </c>
      <c r="L210" s="22" t="s">
        <v>37</v>
      </c>
      <c r="M210" s="22" t="s">
        <v>38</v>
      </c>
      <c r="N210" s="21" t="s">
        <v>39</v>
      </c>
      <c r="O210" s="41" t="s">
        <v>40</v>
      </c>
      <c r="P210" s="25" t="s">
        <v>41</v>
      </c>
      <c r="Q210" s="24" t="s">
        <v>42</v>
      </c>
      <c r="R210" s="24" t="s">
        <v>43</v>
      </c>
      <c r="S210" s="24" t="s">
        <v>56</v>
      </c>
    </row>
    <row customHeight="true" ht="23.703703703703702" r="211">
      <c r="A211" s="42">
        <v>46044</v>
      </c>
      <c r="B211" s="28" t="s">
        <v>46</v>
      </c>
      <c r="C211" s="28">
        <v>17</v>
      </c>
      <c r="D211" s="43">
        <v>55.85</v>
      </c>
      <c r="E211" s="30">
        <v>949.45</v>
      </c>
      <c r="F211" s="29">
        <v>5.69</v>
      </c>
      <c r="G211" s="30">
        <v>136</v>
      </c>
      <c r="H211" s="30">
        <v>127.21</v>
      </c>
      <c r="I211" s="30">
        <v>23.73625</v>
      </c>
      <c r="J211" s="30">
        <v>81.78375</v>
      </c>
      <c r="K211" s="32">
        <v>0.086138027278951</v>
      </c>
      <c r="L211" s="30">
        <v>654.27</v>
      </c>
      <c r="M211" s="30">
        <v>7595.6</v>
      </c>
      <c r="N211" s="32">
        <v>0.133982832165991</v>
      </c>
      <c r="O211" s="44">
        <v>9</v>
      </c>
      <c r="P211" s="44">
        <v>8</v>
      </c>
      <c r="Q211" s="34">
        <v>0.529411764705882</v>
      </c>
      <c r="R211" s="34">
        <v>0.253078682980205</v>
      </c>
      <c r="S211" s="45" t="s">
        <v>61</v>
      </c>
    </row>
    <row customHeight="true" ht="23.703703703703702" r="212">
      <c r="A212" s="42">
        <v>46044</v>
      </c>
      <c r="B212" s="28" t="s">
        <v>47</v>
      </c>
      <c r="C212" s="28">
        <v>1</v>
      </c>
      <c r="D212" s="43">
        <v>58</v>
      </c>
      <c r="E212" s="30">
        <v>58</v>
      </c>
      <c r="F212" s="29">
        <v>3.13</v>
      </c>
      <c r="G212" s="30">
        <v>8</v>
      </c>
      <c r="H212" s="30">
        <v>16.99</v>
      </c>
      <c r="I212" s="30">
        <v>1.45</v>
      </c>
      <c r="J212" s="30">
        <v>-7.31</v>
      </c>
      <c r="K212" s="32">
        <v>-0.126034482758621</v>
      </c>
      <c r="L212" s="30">
        <v>-58.48</v>
      </c>
      <c r="M212" s="30">
        <v>464</v>
      </c>
      <c r="N212" s="32">
        <v>0.292931034482759</v>
      </c>
      <c r="O212" s="44">
        <v>1</v>
      </c>
      <c r="P212" s="44">
        <v>0</v>
      </c>
      <c r="Q212" s="34">
        <v>1</v>
      </c>
      <c r="R212" s="34">
        <v>0.292931034482759</v>
      </c>
      <c r="S212" s="38" t="s">
        <v>59</v>
      </c>
    </row>
    <row customHeight="true" ht="23.703703703703702" r="213">
      <c r="A213" s="42">
        <v>46044</v>
      </c>
      <c r="B213" s="28" t="s">
        <v>49</v>
      </c>
      <c r="C213" s="28">
        <v>18</v>
      </c>
      <c r="D213" s="43">
        <v>58.8</v>
      </c>
      <c r="E213" s="30">
        <v>1058.4</v>
      </c>
      <c r="F213" s="29">
        <v>4.14</v>
      </c>
      <c r="G213" s="30">
        <v>144</v>
      </c>
      <c r="H213" s="30">
        <v>78.84</v>
      </c>
      <c r="I213" s="30">
        <v>26.46</v>
      </c>
      <c r="J213" s="30">
        <v>113.22</v>
      </c>
      <c r="K213" s="32">
        <v>0.106972789115646</v>
      </c>
      <c r="L213" s="30">
        <v>905.76</v>
      </c>
      <c r="M213" s="30">
        <v>8467.2</v>
      </c>
      <c r="N213" s="32">
        <v>0.0744897959183674</v>
      </c>
      <c r="O213" s="44">
        <v>4</v>
      </c>
      <c r="P213" s="44">
        <v>14</v>
      </c>
      <c r="Q213" s="34">
        <v>0.222222222222222</v>
      </c>
      <c r="R213" s="34">
        <v>0.335204081632653</v>
      </c>
      <c r="S213" s="45" t="s">
        <v>64</v>
      </c>
    </row>
    <row customHeight="true" ht="23.703703703703702" r="214">
      <c r="A214" s="42">
        <v>46044</v>
      </c>
      <c r="B214" s="28" t="s">
        <v>50</v>
      </c>
      <c r="C214" s="28">
        <v>2</v>
      </c>
      <c r="D214" s="43">
        <v>59.35</v>
      </c>
      <c r="E214" s="30">
        <v>118.7</v>
      </c>
      <c r="F214" s="29">
        <v>5.18</v>
      </c>
      <c r="G214" s="30">
        <v>16</v>
      </c>
      <c r="H214" s="30">
        <v>14.87</v>
      </c>
      <c r="I214" s="30">
        <v>2.9675</v>
      </c>
      <c r="J214" s="30">
        <v>8.5225</v>
      </c>
      <c r="K214" s="32">
        <v>0.071798652064027</v>
      </c>
      <c r="L214" s="30">
        <v>68.18</v>
      </c>
      <c r="M214" s="30">
        <v>949.6</v>
      </c>
      <c r="N214" s="32">
        <v>0.125273799494524</v>
      </c>
      <c r="O214" s="44">
        <v>0</v>
      </c>
      <c r="P214" s="44">
        <v>2</v>
      </c>
      <c r="Q214" s="34">
        <v>0</v>
      </c>
      <c r="R214" s="34">
        <v>0</v>
      </c>
      <c r="S214" s="38" t="s">
        <v>62</v>
      </c>
    </row>
    <row customHeight="true" ht="23.703703703703702" r="215">
      <c r="A215" s="42">
        <v>46044</v>
      </c>
      <c r="B215" s="28" t="s">
        <v>52</v>
      </c>
      <c r="C215" s="28">
        <v>3</v>
      </c>
      <c r="D215" s="43">
        <v>52.3</v>
      </c>
      <c r="E215" s="30">
        <v>156.9</v>
      </c>
      <c r="F215" s="29">
        <v>5.39</v>
      </c>
      <c r="G215" s="30">
        <v>24</v>
      </c>
      <c r="H215" s="30">
        <v>46.86</v>
      </c>
      <c r="I215" s="30">
        <v>3.9225</v>
      </c>
      <c r="J215" s="30">
        <v>-10.6125</v>
      </c>
      <c r="K215" s="32">
        <v>-0.0676386233269598</v>
      </c>
      <c r="L215" s="30">
        <v>-95.5125</v>
      </c>
      <c r="M215" s="30">
        <v>1412.1</v>
      </c>
      <c r="N215" s="32">
        <v>0.298661567877629</v>
      </c>
      <c r="O215" s="44">
        <v>3</v>
      </c>
      <c r="P215" s="44">
        <v>0</v>
      </c>
      <c r="Q215" s="34">
        <v>1</v>
      </c>
      <c r="R215" s="34">
        <v>0.298661567877629</v>
      </c>
      <c r="S215" s="38" t="s">
        <v>63</v>
      </c>
    </row>
    <row customHeight="true" ht="23.703703703703702" r="216">
      <c r="A216" s="42">
        <v>46044</v>
      </c>
      <c r="B216" s="28" t="s">
        <v>27</v>
      </c>
      <c r="C216" s="28">
        <v>41</v>
      </c>
      <c r="D216" s="38"/>
      <c r="E216" s="30">
        <v>2341.45</v>
      </c>
      <c r="F216" s="31">
        <v>23.53</v>
      </c>
      <c r="G216" s="30"/>
      <c r="H216" s="30"/>
      <c r="I216" s="30"/>
      <c r="J216" s="30">
        <v>185.60375</v>
      </c>
      <c r="K216" s="32">
        <v>0.0792687223728886</v>
      </c>
      <c r="L216" s="30">
        <v>1474.2175</v>
      </c>
      <c r="M216" s="30">
        <v>18888.5</v>
      </c>
      <c r="N216" s="32"/>
      <c r="O216" s="44">
        <v>17</v>
      </c>
      <c r="P216" s="44">
        <v>24</v>
      </c>
      <c r="Q216" s="34">
        <v>0.414634146341463</v>
      </c>
      <c r="R216" s="34"/>
      <c r="S216" s="38"/>
    </row>
    <row customHeight="true" ht="23.703703703703702" r="217">
      <c r="B217" s="26" t="s">
        <v>54</v>
      </c>
    </row>
    <row customHeight="true" ht="23.703703703703702" r="218">
      <c r="A218" s="20" t="s">
        <v>65</v>
      </c>
      <c r="B218" s="21" t="s">
        <v>28</v>
      </c>
      <c r="C218" s="39" t="s">
        <v>29</v>
      </c>
      <c r="D218" s="21" t="s">
        <v>30</v>
      </c>
      <c r="E218" s="22" t="s">
        <v>31</v>
      </c>
      <c r="F218" s="23" t="s">
        <v>32</v>
      </c>
      <c r="G218" s="22" t="s">
        <v>33</v>
      </c>
      <c r="H218" s="40" t="s">
        <v>34</v>
      </c>
      <c r="I218" s="22" t="s">
        <v>35</v>
      </c>
      <c r="J218" s="22" t="s">
        <v>32</v>
      </c>
      <c r="K218" s="24" t="s">
        <v>36</v>
      </c>
      <c r="L218" s="22" t="s">
        <v>37</v>
      </c>
      <c r="M218" s="22" t="s">
        <v>38</v>
      </c>
      <c r="N218" s="21" t="s">
        <v>39</v>
      </c>
      <c r="O218" s="41" t="s">
        <v>40</v>
      </c>
      <c r="P218" s="25" t="s">
        <v>41</v>
      </c>
      <c r="Q218" s="24" t="s">
        <v>42</v>
      </c>
      <c r="R218" s="24" t="s">
        <v>43</v>
      </c>
      <c r="S218" s="24" t="s">
        <v>56</v>
      </c>
    </row>
    <row customHeight="true" ht="23.703703703703702" r="219">
      <c r="A219" s="42">
        <v>46045</v>
      </c>
      <c r="B219" s="28" t="s">
        <v>46</v>
      </c>
      <c r="C219" s="28">
        <v>2</v>
      </c>
      <c r="D219" s="43">
        <v>55.85</v>
      </c>
      <c r="E219" s="30">
        <v>111.7</v>
      </c>
      <c r="F219" s="29">
        <v>15.78</v>
      </c>
      <c r="G219" s="30">
        <v>16</v>
      </c>
      <c r="H219" s="30">
        <v>118.26</v>
      </c>
      <c r="I219" s="30">
        <v>2.7925</v>
      </c>
      <c r="J219" s="30">
        <v>-73.4925</v>
      </c>
      <c r="K219" s="32">
        <v>-0.657945389435989</v>
      </c>
      <c r="L219" s="30">
        <v>-587.94</v>
      </c>
      <c r="M219" s="30">
        <v>893.6</v>
      </c>
      <c r="N219" s="32">
        <v>1.05872873769024</v>
      </c>
      <c r="O219" s="44">
        <v>1</v>
      </c>
      <c r="P219" s="44">
        <v>1</v>
      </c>
      <c r="Q219" s="34">
        <v>0.5</v>
      </c>
      <c r="R219" s="34">
        <v>2.11745747538048</v>
      </c>
      <c r="S219" s="38" t="s">
        <v>57</v>
      </c>
    </row>
    <row customHeight="true" ht="23.703703703703702" r="220">
      <c r="A220" s="42">
        <v>46045</v>
      </c>
      <c r="B220" s="28" t="s">
        <v>47</v>
      </c>
      <c r="C220" s="28"/>
      <c r="D220" s="43">
        <v>58</v>
      </c>
      <c r="E220" s="30">
        <v>0</v>
      </c>
      <c r="F220" s="29">
        <v>3.13</v>
      </c>
      <c r="G220" s="30">
        <v>0</v>
      </c>
      <c r="H220" s="30">
        <v>4.89</v>
      </c>
      <c r="I220" s="30">
        <v>0</v>
      </c>
      <c r="J220" s="30">
        <v>-4.89</v>
      </c>
      <c r="K220" s="32">
        <v>0</v>
      </c>
      <c r="L220" s="30">
        <v>-39.12</v>
      </c>
      <c r="M220" s="30">
        <v>0</v>
      </c>
      <c r="N220" s="32">
        <v>0</v>
      </c>
      <c r="O220" s="44">
        <v>0</v>
      </c>
      <c r="P220" s="44">
        <v>0</v>
      </c>
      <c r="Q220" s="34">
        <v>0</v>
      </c>
      <c r="R220" s="34">
        <v>0</v>
      </c>
      <c r="S220" s="38" t="s">
        <v>59</v>
      </c>
    </row>
    <row customHeight="true" ht="23.703703703703702" r="221">
      <c r="A221" s="42">
        <v>46045</v>
      </c>
      <c r="B221" s="28" t="s">
        <v>49</v>
      </c>
      <c r="C221" s="28">
        <v>18</v>
      </c>
      <c r="D221" s="43">
        <v>58.8</v>
      </c>
      <c r="E221" s="30">
        <v>1058.4</v>
      </c>
      <c r="F221" s="29">
        <v>4.14</v>
      </c>
      <c r="G221" s="30">
        <v>144</v>
      </c>
      <c r="H221" s="30">
        <v>66.33</v>
      </c>
      <c r="I221" s="30">
        <v>26.46</v>
      </c>
      <c r="J221" s="30">
        <v>125.73</v>
      </c>
      <c r="K221" s="32">
        <v>0.118792517006803</v>
      </c>
      <c r="L221" s="30">
        <v>1005.84</v>
      </c>
      <c r="M221" s="30">
        <v>8467.2</v>
      </c>
      <c r="N221" s="32">
        <v>0.0626700680272109</v>
      </c>
      <c r="O221" s="44">
        <v>5</v>
      </c>
      <c r="P221" s="44">
        <v>13</v>
      </c>
      <c r="Q221" s="34">
        <v>0.277777777777778</v>
      </c>
      <c r="R221" s="34">
        <v>0.225612244897959</v>
      </c>
      <c r="S221" s="45" t="s">
        <v>64</v>
      </c>
    </row>
    <row customHeight="true" ht="23.703703703703702" r="222">
      <c r="A222" s="42">
        <v>46045</v>
      </c>
      <c r="B222" s="28" t="s">
        <v>50</v>
      </c>
      <c r="C222" s="28">
        <v>0</v>
      </c>
      <c r="D222" s="43">
        <v>59.35</v>
      </c>
      <c r="E222" s="30">
        <v>0</v>
      </c>
      <c r="F222" s="29">
        <v>5.18</v>
      </c>
      <c r="G222" s="30">
        <v>0</v>
      </c>
      <c r="H222" s="30">
        <v>6.73</v>
      </c>
      <c r="I222" s="30">
        <v>0</v>
      </c>
      <c r="J222" s="30">
        <v>-6.73</v>
      </c>
      <c r="K222" s="32">
        <v>0</v>
      </c>
      <c r="L222" s="30">
        <v>-53.84</v>
      </c>
      <c r="M222" s="30">
        <v>0</v>
      </c>
      <c r="N222" s="32">
        <v>0</v>
      </c>
      <c r="O222" s="44">
        <v>0</v>
      </c>
      <c r="P222" s="44">
        <v>0</v>
      </c>
      <c r="Q222" s="34">
        <v>0</v>
      </c>
      <c r="R222" s="34">
        <v>0</v>
      </c>
      <c r="S222" s="38" t="s">
        <v>62</v>
      </c>
    </row>
    <row customHeight="true" ht="23.703703703703702" r="223">
      <c r="A223" s="42">
        <v>46045</v>
      </c>
      <c r="B223" s="28" t="s">
        <v>52</v>
      </c>
      <c r="C223" s="28">
        <v>7</v>
      </c>
      <c r="D223" s="43">
        <v>52.3</v>
      </c>
      <c r="E223" s="30">
        <v>366.1</v>
      </c>
      <c r="F223" s="29">
        <v>5.39</v>
      </c>
      <c r="G223" s="30">
        <v>56</v>
      </c>
      <c r="H223" s="30">
        <v>35.88</v>
      </c>
      <c r="I223" s="30">
        <v>9.1525</v>
      </c>
      <c r="J223" s="30">
        <v>48.6975</v>
      </c>
      <c r="K223" s="32">
        <v>0.133016935263589</v>
      </c>
      <c r="L223" s="30">
        <v>438.2775</v>
      </c>
      <c r="M223" s="30">
        <v>3294.9</v>
      </c>
      <c r="N223" s="32">
        <v>0.09800600928708</v>
      </c>
      <c r="O223" s="44">
        <v>3</v>
      </c>
      <c r="P223" s="44">
        <v>4</v>
      </c>
      <c r="Q223" s="34">
        <v>0.428571428571429</v>
      </c>
      <c r="R223" s="34">
        <v>0.22868068833652</v>
      </c>
      <c r="S223" s="38" t="s">
        <v>63</v>
      </c>
    </row>
    <row customHeight="true" ht="23.703703703703702" r="224">
      <c r="A224" s="42">
        <v>46045</v>
      </c>
      <c r="B224" s="28" t="s">
        <v>27</v>
      </c>
      <c r="C224" s="28">
        <v>27</v>
      </c>
      <c r="D224" s="38"/>
      <c r="E224" s="30">
        <v>1536.2</v>
      </c>
      <c r="F224" s="31">
        <v>33.62</v>
      </c>
      <c r="G224" s="30"/>
      <c r="H224" s="30"/>
      <c r="I224" s="30"/>
      <c r="J224" s="30">
        <v>89.315</v>
      </c>
      <c r="K224" s="32">
        <v>0.058140216117693</v>
      </c>
      <c r="L224" s="30">
        <v>763.2175</v>
      </c>
      <c r="M224" s="30">
        <v>12655.7</v>
      </c>
      <c r="N224" s="32"/>
      <c r="O224" s="44">
        <v>9</v>
      </c>
      <c r="P224" s="44">
        <v>18</v>
      </c>
      <c r="Q224" s="34">
        <v>0.333333333333333</v>
      </c>
      <c r="R224" s="34"/>
      <c r="S224" s="38"/>
    </row>
    <row customHeight="true" ht="23.703703703703702" r="225">
      <c r="B225" s="26" t="s">
        <v>54</v>
      </c>
    </row>
    <row customHeight="true" ht="23.703703703703702" r="226">
      <c r="A226" s="20" t="s">
        <v>65</v>
      </c>
      <c r="B226" s="21" t="s">
        <v>28</v>
      </c>
      <c r="C226" s="39" t="s">
        <v>29</v>
      </c>
      <c r="D226" s="21" t="s">
        <v>30</v>
      </c>
      <c r="E226" s="22" t="s">
        <v>31</v>
      </c>
      <c r="F226" s="23" t="s">
        <v>32</v>
      </c>
      <c r="G226" s="22" t="s">
        <v>33</v>
      </c>
      <c r="H226" s="40" t="s">
        <v>34</v>
      </c>
      <c r="I226" s="22" t="s">
        <v>35</v>
      </c>
      <c r="J226" s="22" t="s">
        <v>32</v>
      </c>
      <c r="K226" s="24" t="s">
        <v>36</v>
      </c>
      <c r="L226" s="22" t="s">
        <v>37</v>
      </c>
      <c r="M226" s="22" t="s">
        <v>38</v>
      </c>
      <c r="N226" s="21" t="s">
        <v>39</v>
      </c>
      <c r="O226" s="41" t="s">
        <v>40</v>
      </c>
      <c r="P226" s="25" t="s">
        <v>41</v>
      </c>
      <c r="Q226" s="24" t="s">
        <v>42</v>
      </c>
      <c r="R226" s="24" t="s">
        <v>43</v>
      </c>
      <c r="S226" s="24" t="s">
        <v>56</v>
      </c>
    </row>
    <row customHeight="true" ht="23.703703703703702" r="227">
      <c r="A227" s="42">
        <v>46046</v>
      </c>
      <c r="B227" s="28" t="s">
        <v>46</v>
      </c>
      <c r="C227" s="28">
        <v>25</v>
      </c>
      <c r="D227" s="43">
        <v>55.85</v>
      </c>
      <c r="E227" s="30">
        <v>1396.25</v>
      </c>
      <c r="F227" s="29">
        <v>5.69</v>
      </c>
      <c r="G227" s="30">
        <v>200</v>
      </c>
      <c r="H227" s="30">
        <v>171.42</v>
      </c>
      <c r="I227" s="30">
        <v>34.90625</v>
      </c>
      <c r="J227" s="30">
        <v>135.92375</v>
      </c>
      <c r="K227" s="32">
        <v>0.0973491495076097</v>
      </c>
      <c r="L227" s="30">
        <v>1087.39</v>
      </c>
      <c r="M227" s="30">
        <v>11170</v>
      </c>
      <c r="N227" s="32">
        <v>0.122771709937332</v>
      </c>
      <c r="O227" s="44">
        <v>15</v>
      </c>
      <c r="P227" s="44">
        <v>10</v>
      </c>
      <c r="Q227" s="34">
        <v>0.6</v>
      </c>
      <c r="R227" s="34">
        <v>0.20461951656222</v>
      </c>
      <c r="S227" s="45" t="s">
        <v>61</v>
      </c>
    </row>
    <row customHeight="true" ht="23.703703703703702" r="228">
      <c r="A228" s="42">
        <v>46046</v>
      </c>
      <c r="B228" s="28" t="s">
        <v>47</v>
      </c>
      <c r="C228" s="28"/>
      <c r="D228" s="43">
        <v>58</v>
      </c>
      <c r="E228" s="30">
        <v>0</v>
      </c>
      <c r="F228" s="29">
        <v>3.13</v>
      </c>
      <c r="G228" s="30">
        <v>0</v>
      </c>
      <c r="H228" s="30">
        <v>6.8</v>
      </c>
      <c r="I228" s="30">
        <v>0</v>
      </c>
      <c r="J228" s="30">
        <v>-6.8</v>
      </c>
      <c r="K228" s="32">
        <v>0</v>
      </c>
      <c r="L228" s="30">
        <v>-54.4</v>
      </c>
      <c r="M228" s="30">
        <v>0</v>
      </c>
      <c r="N228" s="32">
        <v>0</v>
      </c>
      <c r="O228" s="44">
        <v>0</v>
      </c>
      <c r="P228" s="44">
        <v>0</v>
      </c>
      <c r="Q228" s="34">
        <v>0</v>
      </c>
      <c r="R228" s="34">
        <v>0</v>
      </c>
      <c r="S228" s="38" t="s">
        <v>59</v>
      </c>
    </row>
    <row customHeight="true" ht="23.703703703703702" r="229">
      <c r="A229" s="42">
        <v>46046</v>
      </c>
      <c r="B229" s="28" t="s">
        <v>49</v>
      </c>
      <c r="C229" s="28">
        <v>19</v>
      </c>
      <c r="D229" s="43">
        <v>58.8</v>
      </c>
      <c r="E229" s="30">
        <v>1117.2</v>
      </c>
      <c r="F229" s="29">
        <v>4.14</v>
      </c>
      <c r="G229" s="30">
        <v>152</v>
      </c>
      <c r="H229" s="30">
        <v>73.96</v>
      </c>
      <c r="I229" s="30">
        <v>27.93</v>
      </c>
      <c r="J229" s="30">
        <v>128.77</v>
      </c>
      <c r="K229" s="32">
        <v>0.115261367704977</v>
      </c>
      <c r="L229" s="30">
        <v>1030.16</v>
      </c>
      <c r="M229" s="30">
        <v>8937.6</v>
      </c>
      <c r="N229" s="32">
        <v>0.0662012173290369</v>
      </c>
      <c r="O229" s="44">
        <v>6</v>
      </c>
      <c r="P229" s="44">
        <v>13</v>
      </c>
      <c r="Q229" s="34">
        <v>0.315789473684211</v>
      </c>
      <c r="R229" s="34">
        <v>0.209637188208616</v>
      </c>
      <c r="S229" s="45" t="s">
        <v>64</v>
      </c>
    </row>
    <row customHeight="true" ht="23.703703703703702" r="230">
      <c r="A230" s="42">
        <v>46046</v>
      </c>
      <c r="B230" s="28" t="s">
        <v>50</v>
      </c>
      <c r="C230" s="28">
        <v>0</v>
      </c>
      <c r="D230" s="43">
        <v>59.35</v>
      </c>
      <c r="E230" s="30">
        <v>0</v>
      </c>
      <c r="F230" s="29">
        <v>5.18</v>
      </c>
      <c r="G230" s="30">
        <v>0</v>
      </c>
      <c r="H230" s="30">
        <v>9.56</v>
      </c>
      <c r="I230" s="30">
        <v>0</v>
      </c>
      <c r="J230" s="30">
        <v>-9.56</v>
      </c>
      <c r="K230" s="32">
        <v>0</v>
      </c>
      <c r="L230" s="30">
        <v>-76.48</v>
      </c>
      <c r="M230" s="30">
        <v>0</v>
      </c>
      <c r="N230" s="32">
        <v>0</v>
      </c>
      <c r="O230" s="44"/>
      <c r="P230" s="44">
        <v>0</v>
      </c>
      <c r="Q230" s="34">
        <v>0</v>
      </c>
      <c r="R230" s="34">
        <v>0</v>
      </c>
      <c r="S230" s="38" t="s">
        <v>62</v>
      </c>
    </row>
    <row customHeight="true" ht="23.703703703703702" r="231">
      <c r="A231" s="42">
        <v>46046</v>
      </c>
      <c r="B231" s="28" t="s">
        <v>52</v>
      </c>
      <c r="C231" s="28">
        <v>11</v>
      </c>
      <c r="D231" s="43">
        <v>52.3</v>
      </c>
      <c r="E231" s="30">
        <v>575.3</v>
      </c>
      <c r="F231" s="29">
        <v>5.39</v>
      </c>
      <c r="G231" s="30">
        <v>88</v>
      </c>
      <c r="H231" s="30">
        <v>57.55</v>
      </c>
      <c r="I231" s="30">
        <v>14.3825</v>
      </c>
      <c r="J231" s="30">
        <v>75.3575</v>
      </c>
      <c r="K231" s="32">
        <v>0.130988180079958</v>
      </c>
      <c r="L231" s="30">
        <v>678.2175</v>
      </c>
      <c r="M231" s="30">
        <v>5177.7</v>
      </c>
      <c r="N231" s="32">
        <v>0.100034764470711</v>
      </c>
      <c r="O231" s="44">
        <v>8</v>
      </c>
      <c r="P231" s="44">
        <v>3</v>
      </c>
      <c r="Q231" s="34">
        <v>0.727272727272727</v>
      </c>
      <c r="R231" s="34">
        <v>0.137547801147228</v>
      </c>
      <c r="S231" s="38" t="s">
        <v>63</v>
      </c>
    </row>
    <row customHeight="true" ht="23.703703703703702" r="232">
      <c r="A232" s="42">
        <v>46046</v>
      </c>
      <c r="B232" s="28" t="s">
        <v>27</v>
      </c>
      <c r="C232" s="28">
        <v>55</v>
      </c>
      <c r="D232" s="38"/>
      <c r="E232" s="30">
        <v>3088.75</v>
      </c>
      <c r="F232" s="31">
        <v>23.53</v>
      </c>
      <c r="G232" s="30"/>
      <c r="H232" s="30"/>
      <c r="I232" s="30"/>
      <c r="J232" s="30">
        <v>323.69125</v>
      </c>
      <c r="K232" s="32">
        <v>0.104796843383246</v>
      </c>
      <c r="L232" s="30">
        <v>2664.8875</v>
      </c>
      <c r="M232" s="30">
        <v>25285.3</v>
      </c>
      <c r="N232" s="32"/>
      <c r="O232" s="44">
        <v>29</v>
      </c>
      <c r="P232" s="44">
        <v>26</v>
      </c>
      <c r="Q232" s="34">
        <v>0.527272727272727</v>
      </c>
      <c r="R232" s="34"/>
      <c r="S232" s="38"/>
    </row>
    <row customHeight="true" ht="23.703703703703702" r="233">
      <c r="B233" s="26" t="s">
        <v>54</v>
      </c>
    </row>
    <row customHeight="true" ht="23.703703703703702" r="234">
      <c r="A234" s="20" t="s">
        <v>65</v>
      </c>
      <c r="B234" s="21" t="s">
        <v>28</v>
      </c>
      <c r="C234" s="39" t="s">
        <v>29</v>
      </c>
      <c r="D234" s="21" t="s">
        <v>30</v>
      </c>
      <c r="E234" s="22" t="s">
        <v>31</v>
      </c>
      <c r="F234" s="23" t="s">
        <v>32</v>
      </c>
      <c r="G234" s="22" t="s">
        <v>33</v>
      </c>
      <c r="H234" s="40" t="s">
        <v>34</v>
      </c>
      <c r="I234" s="22" t="s">
        <v>35</v>
      </c>
      <c r="J234" s="22" t="s">
        <v>32</v>
      </c>
      <c r="K234" s="24" t="s">
        <v>36</v>
      </c>
      <c r="L234" s="22" t="s">
        <v>37</v>
      </c>
      <c r="M234" s="22" t="s">
        <v>38</v>
      </c>
      <c r="N234" s="21" t="s">
        <v>39</v>
      </c>
      <c r="O234" s="41" t="s">
        <v>40</v>
      </c>
      <c r="P234" s="25" t="s">
        <v>41</v>
      </c>
      <c r="Q234" s="24" t="s">
        <v>42</v>
      </c>
      <c r="R234" s="24" t="s">
        <v>43</v>
      </c>
      <c r="S234" s="24" t="s">
        <v>56</v>
      </c>
    </row>
    <row customHeight="true" ht="23.703703703703702" r="235">
      <c r="A235" s="42">
        <v>46047</v>
      </c>
      <c r="B235" s="28" t="s">
        <v>46</v>
      </c>
      <c r="C235" s="28">
        <v>14</v>
      </c>
      <c r="D235" s="43">
        <v>55.85</v>
      </c>
      <c r="E235" s="30">
        <v>781.9</v>
      </c>
      <c r="F235" s="29">
        <v>15.78</v>
      </c>
      <c r="G235" s="30">
        <v>112</v>
      </c>
      <c r="H235" s="30">
        <v>95.38</v>
      </c>
      <c r="I235" s="30">
        <v>19.5475</v>
      </c>
      <c r="J235" s="30">
        <v>217.9925</v>
      </c>
      <c r="K235" s="32">
        <v>0.278798439698171</v>
      </c>
      <c r="L235" s="30">
        <v>1743.94</v>
      </c>
      <c r="M235" s="30">
        <v>6255.2</v>
      </c>
      <c r="N235" s="32">
        <v>0.121984908556081</v>
      </c>
      <c r="O235" s="44">
        <v>9</v>
      </c>
      <c r="P235" s="44">
        <v>5</v>
      </c>
      <c r="Q235" s="34">
        <v>0.642857142857143</v>
      </c>
      <c r="R235" s="34">
        <v>0.189754302198349</v>
      </c>
      <c r="S235" s="38" t="s">
        <v>57</v>
      </c>
    </row>
    <row customHeight="true" ht="23.703703703703702" r="236">
      <c r="A236" s="42">
        <v>46047</v>
      </c>
      <c r="B236" s="28" t="s">
        <v>47</v>
      </c>
      <c r="C236" s="28">
        <v>2</v>
      </c>
      <c r="D236" s="43">
        <v>58</v>
      </c>
      <c r="E236" s="30">
        <v>116</v>
      </c>
      <c r="F236" s="29">
        <v>3.13</v>
      </c>
      <c r="G236" s="30">
        <v>16</v>
      </c>
      <c r="H236" s="30">
        <v>14.97</v>
      </c>
      <c r="I236" s="30">
        <v>2.9</v>
      </c>
      <c r="J236" s="30">
        <v>4.39</v>
      </c>
      <c r="K236" s="32">
        <v>0.0378448275862069</v>
      </c>
      <c r="L236" s="30">
        <v>35.12</v>
      </c>
      <c r="M236" s="30">
        <v>928</v>
      </c>
      <c r="N236" s="32">
        <v>0.129051724137931</v>
      </c>
      <c r="O236" s="44">
        <v>0</v>
      </c>
      <c r="P236" s="44">
        <v>2</v>
      </c>
      <c r="Q236" s="34">
        <v>0</v>
      </c>
      <c r="R236" s="34">
        <v>0</v>
      </c>
      <c r="S236" s="38" t="s">
        <v>59</v>
      </c>
    </row>
    <row customHeight="true" ht="23.703703703703702" r="237">
      <c r="A237" s="42">
        <v>46047</v>
      </c>
      <c r="B237" s="28" t="s">
        <v>49</v>
      </c>
      <c r="C237" s="28">
        <v>18</v>
      </c>
      <c r="D237" s="43">
        <v>58.8</v>
      </c>
      <c r="E237" s="30">
        <v>1058.4</v>
      </c>
      <c r="F237" s="29">
        <v>4.14</v>
      </c>
      <c r="G237" s="30">
        <v>144</v>
      </c>
      <c r="H237" s="30">
        <v>58.1</v>
      </c>
      <c r="I237" s="30">
        <v>26.46</v>
      </c>
      <c r="J237" s="30">
        <v>133.96</v>
      </c>
      <c r="K237" s="32">
        <v>0.126568405139834</v>
      </c>
      <c r="L237" s="30">
        <v>1071.68</v>
      </c>
      <c r="M237" s="30">
        <v>8467.2</v>
      </c>
      <c r="N237" s="32">
        <v>0.0548941798941799</v>
      </c>
      <c r="O237" s="44">
        <v>5</v>
      </c>
      <c r="P237" s="44">
        <v>13</v>
      </c>
      <c r="Q237" s="34">
        <v>0.277777777777778</v>
      </c>
      <c r="R237" s="34">
        <v>0.197619047619047</v>
      </c>
      <c r="S237" s="45" t="s">
        <v>64</v>
      </c>
    </row>
    <row customHeight="true" ht="23.703703703703702" r="238">
      <c r="A238" s="42">
        <v>46047</v>
      </c>
      <c r="B238" s="28" t="s">
        <v>50</v>
      </c>
      <c r="C238" s="28">
        <v>2</v>
      </c>
      <c r="D238" s="43">
        <v>59.35</v>
      </c>
      <c r="E238" s="30">
        <v>118.7</v>
      </c>
      <c r="F238" s="29">
        <v>15.72</v>
      </c>
      <c r="G238" s="30">
        <v>16</v>
      </c>
      <c r="H238" s="30">
        <v>7.1</v>
      </c>
      <c r="I238" s="30">
        <v>2.9675</v>
      </c>
      <c r="J238" s="30">
        <v>37.3725</v>
      </c>
      <c r="K238" s="32">
        <v>0.314848357203033</v>
      </c>
      <c r="L238" s="30">
        <v>298.98</v>
      </c>
      <c r="M238" s="30">
        <v>949.6</v>
      </c>
      <c r="N238" s="32">
        <v>0.0598146588037068</v>
      </c>
      <c r="O238" s="44">
        <v>1</v>
      </c>
      <c r="P238" s="44">
        <v>1</v>
      </c>
      <c r="Q238" s="34">
        <v>0.5</v>
      </c>
      <c r="R238" s="34">
        <v>0.119629317607414</v>
      </c>
      <c r="S238" s="38" t="s">
        <v>57</v>
      </c>
    </row>
    <row customHeight="true" ht="23.703703703703702" r="239">
      <c r="A239" s="42">
        <v>46047</v>
      </c>
      <c r="B239" s="28" t="s">
        <v>52</v>
      </c>
      <c r="C239" s="28">
        <v>5</v>
      </c>
      <c r="D239" s="43">
        <v>52.3</v>
      </c>
      <c r="E239" s="30">
        <v>261.5</v>
      </c>
      <c r="F239" s="29">
        <v>5.39</v>
      </c>
      <c r="G239" s="30">
        <v>40</v>
      </c>
      <c r="H239" s="30">
        <v>56.81</v>
      </c>
      <c r="I239" s="30">
        <v>6.5375</v>
      </c>
      <c r="J239" s="30">
        <v>3.6025</v>
      </c>
      <c r="K239" s="32">
        <v>0.0137762906309751</v>
      </c>
      <c r="L239" s="30">
        <v>32.4225</v>
      </c>
      <c r="M239" s="30">
        <v>2353.5</v>
      </c>
      <c r="N239" s="32">
        <v>0.217246653919694</v>
      </c>
      <c r="O239" s="44">
        <v>4</v>
      </c>
      <c r="P239" s="44">
        <v>1</v>
      </c>
      <c r="Q239" s="34">
        <v>0.8</v>
      </c>
      <c r="R239" s="34">
        <v>0.271558317399618</v>
      </c>
      <c r="S239" s="38" t="s">
        <v>63</v>
      </c>
    </row>
    <row customHeight="true" ht="23.703703703703702" r="240">
      <c r="A240" s="42">
        <v>46047</v>
      </c>
      <c r="B240" s="28" t="s">
        <v>27</v>
      </c>
      <c r="C240" s="28">
        <v>41</v>
      </c>
      <c r="D240" s="38"/>
      <c r="E240" s="30">
        <v>2336.5</v>
      </c>
      <c r="F240" s="31">
        <v>44.16</v>
      </c>
      <c r="G240" s="30"/>
      <c r="H240" s="30"/>
      <c r="I240" s="30"/>
      <c r="J240" s="30">
        <v>397.3175</v>
      </c>
      <c r="K240" s="32">
        <v>0.170048148940723</v>
      </c>
      <c r="L240" s="30">
        <v>3182.1425</v>
      </c>
      <c r="M240" s="30">
        <v>18953.5</v>
      </c>
      <c r="N240" s="32"/>
      <c r="O240" s="44">
        <v>19</v>
      </c>
      <c r="P240" s="44">
        <v>22</v>
      </c>
      <c r="Q240" s="34">
        <v>0.463414634146341</v>
      </c>
      <c r="R240" s="34"/>
      <c r="S240" s="38"/>
    </row>
    <row customHeight="true" ht="23.703703703703702" r="241">
      <c r="B241" s="26" t="s">
        <v>54</v>
      </c>
    </row>
    <row customHeight="true" ht="23.703703703703702" r="242">
      <c r="A242" s="20" t="s">
        <v>65</v>
      </c>
      <c r="B242" s="21" t="s">
        <v>28</v>
      </c>
      <c r="C242" s="39" t="s">
        <v>29</v>
      </c>
      <c r="D242" s="21" t="s">
        <v>30</v>
      </c>
      <c r="E242" s="22" t="s">
        <v>31</v>
      </c>
      <c r="F242" s="23" t="s">
        <v>32</v>
      </c>
      <c r="G242" s="22" t="s">
        <v>33</v>
      </c>
      <c r="H242" s="40" t="s">
        <v>34</v>
      </c>
      <c r="I242" s="22" t="s">
        <v>35</v>
      </c>
      <c r="J242" s="22" t="s">
        <v>32</v>
      </c>
      <c r="K242" s="24" t="s">
        <v>36</v>
      </c>
      <c r="L242" s="22" t="s">
        <v>37</v>
      </c>
      <c r="M242" s="22" t="s">
        <v>38</v>
      </c>
      <c r="N242" s="21" t="s">
        <v>39</v>
      </c>
      <c r="O242" s="41" t="s">
        <v>40</v>
      </c>
      <c r="P242" s="25" t="s">
        <v>41</v>
      </c>
      <c r="Q242" s="24" t="s">
        <v>42</v>
      </c>
      <c r="R242" s="24" t="s">
        <v>43</v>
      </c>
      <c r="S242" s="24" t="s">
        <v>56</v>
      </c>
    </row>
    <row customHeight="true" ht="23.703703703703702" r="243">
      <c r="A243" s="42">
        <v>46048</v>
      </c>
      <c r="B243" s="28" t="s">
        <v>46</v>
      </c>
      <c r="C243" s="28">
        <v>13</v>
      </c>
      <c r="D243" s="43">
        <v>55.85</v>
      </c>
      <c r="E243" s="30">
        <v>726.05</v>
      </c>
      <c r="F243" s="29">
        <v>15.78</v>
      </c>
      <c r="G243" s="30">
        <v>104</v>
      </c>
      <c r="H243" s="30">
        <v>94.53</v>
      </c>
      <c r="I243" s="30">
        <v>18.15125</v>
      </c>
      <c r="J243" s="30">
        <v>196.45875</v>
      </c>
      <c r="K243" s="32">
        <v>0.270585703463949</v>
      </c>
      <c r="L243" s="30">
        <v>1571.67</v>
      </c>
      <c r="M243" s="30">
        <v>5808.4</v>
      </c>
      <c r="N243" s="32">
        <v>0.130197644790304</v>
      </c>
      <c r="O243" s="44">
        <v>8</v>
      </c>
      <c r="P243" s="44">
        <v>5</v>
      </c>
      <c r="Q243" s="34">
        <v>0.615384615384615</v>
      </c>
      <c r="R243" s="34">
        <v>0.211571172784244</v>
      </c>
      <c r="S243" s="38" t="s">
        <v>57</v>
      </c>
    </row>
    <row customHeight="true" ht="23.703703703703702" r="244">
      <c r="A244" s="42">
        <v>46048</v>
      </c>
      <c r="B244" s="28" t="s">
        <v>47</v>
      </c>
      <c r="C244" s="28">
        <v>0</v>
      </c>
      <c r="D244" s="43">
        <v>58</v>
      </c>
      <c r="E244" s="30">
        <v>0</v>
      </c>
      <c r="F244" s="29">
        <v>3.13</v>
      </c>
      <c r="G244" s="30">
        <v>0</v>
      </c>
      <c r="H244" s="30">
        <v>12.94</v>
      </c>
      <c r="I244" s="30">
        <v>0</v>
      </c>
      <c r="J244" s="30">
        <v>-12.94</v>
      </c>
      <c r="K244" s="32">
        <v>0</v>
      </c>
      <c r="L244" s="30">
        <v>-103.52</v>
      </c>
      <c r="M244" s="30">
        <v>0</v>
      </c>
      <c r="N244" s="32">
        <v>0</v>
      </c>
      <c r="O244" s="44">
        <v>0</v>
      </c>
      <c r="P244" s="44">
        <v>0</v>
      </c>
      <c r="Q244" s="34">
        <v>0</v>
      </c>
      <c r="R244" s="34">
        <v>0</v>
      </c>
      <c r="S244" s="38" t="s">
        <v>59</v>
      </c>
    </row>
    <row customHeight="true" ht="23.703703703703702" r="245">
      <c r="A245" s="42">
        <v>46048</v>
      </c>
      <c r="B245" s="28" t="s">
        <v>49</v>
      </c>
      <c r="C245" s="28">
        <v>25</v>
      </c>
      <c r="D245" s="43">
        <v>58.8</v>
      </c>
      <c r="E245" s="30">
        <v>1470</v>
      </c>
      <c r="F245" s="29">
        <v>4.14</v>
      </c>
      <c r="G245" s="30">
        <v>200</v>
      </c>
      <c r="H245" s="30">
        <v>69.77</v>
      </c>
      <c r="I245" s="30">
        <v>36.75</v>
      </c>
      <c r="J245" s="30">
        <v>196.98</v>
      </c>
      <c r="K245" s="32">
        <v>0.134</v>
      </c>
      <c r="L245" s="30">
        <v>1575.84</v>
      </c>
      <c r="M245" s="30">
        <v>11760</v>
      </c>
      <c r="N245" s="32">
        <v>0.0474625850340136</v>
      </c>
      <c r="O245" s="44">
        <v>9</v>
      </c>
      <c r="P245" s="44">
        <v>16</v>
      </c>
      <c r="Q245" s="34">
        <v>0.36</v>
      </c>
      <c r="R245" s="34">
        <v>0.131840513983371</v>
      </c>
      <c r="S245" s="45" t="s">
        <v>64</v>
      </c>
    </row>
    <row customHeight="true" ht="23.703703703703702" r="246">
      <c r="A246" s="42">
        <v>46048</v>
      </c>
      <c r="B246" s="28" t="s">
        <v>50</v>
      </c>
      <c r="C246" s="28">
        <v>0</v>
      </c>
      <c r="D246" s="43">
        <v>59.35</v>
      </c>
      <c r="E246" s="30">
        <v>0</v>
      </c>
      <c r="F246" s="29">
        <v>15.72</v>
      </c>
      <c r="G246" s="30">
        <v>0</v>
      </c>
      <c r="H246" s="30">
        <v>5.3</v>
      </c>
      <c r="I246" s="30">
        <v>0</v>
      </c>
      <c r="J246" s="30">
        <v>-5.3</v>
      </c>
      <c r="K246" s="32">
        <v>0</v>
      </c>
      <c r="L246" s="30">
        <v>-42.4</v>
      </c>
      <c r="M246" s="30">
        <v>0</v>
      </c>
      <c r="N246" s="32">
        <v>0</v>
      </c>
      <c r="O246" s="44">
        <v>0</v>
      </c>
      <c r="P246" s="44">
        <v>0</v>
      </c>
      <c r="Q246" s="34">
        <v>0</v>
      </c>
      <c r="R246" s="34">
        <v>0</v>
      </c>
      <c r="S246" s="38" t="s">
        <v>57</v>
      </c>
    </row>
    <row customHeight="true" ht="23.703703703703702" r="247">
      <c r="A247" s="42">
        <v>46048</v>
      </c>
      <c r="B247" s="28" t="s">
        <v>52</v>
      </c>
      <c r="C247" s="28">
        <v>7</v>
      </c>
      <c r="D247" s="43">
        <v>52.3</v>
      </c>
      <c r="E247" s="30">
        <v>366.1</v>
      </c>
      <c r="F247" s="29">
        <v>5.39</v>
      </c>
      <c r="G247" s="30">
        <v>56</v>
      </c>
      <c r="H247" s="30">
        <v>35.32</v>
      </c>
      <c r="I247" s="30">
        <v>9.1525</v>
      </c>
      <c r="J247" s="30">
        <v>49.2575</v>
      </c>
      <c r="K247" s="32">
        <v>0.13454657197487</v>
      </c>
      <c r="L247" s="30">
        <v>443.3175</v>
      </c>
      <c r="M247" s="30">
        <v>3294.9</v>
      </c>
      <c r="N247" s="32">
        <v>0.096476372575799</v>
      </c>
      <c r="O247" s="44">
        <v>2</v>
      </c>
      <c r="P247" s="44">
        <v>5</v>
      </c>
      <c r="Q247" s="34">
        <v>0.285714285714286</v>
      </c>
      <c r="R247" s="34">
        <v>0.337667304015296</v>
      </c>
      <c r="S247" s="38" t="s">
        <v>63</v>
      </c>
    </row>
    <row customHeight="true" ht="23.703703703703702" r="248">
      <c r="A248" s="42">
        <v>46048</v>
      </c>
      <c r="B248" s="28" t="s">
        <v>27</v>
      </c>
      <c r="C248" s="28">
        <v>45</v>
      </c>
      <c r="D248" s="38"/>
      <c r="E248" s="30">
        <v>2562.15</v>
      </c>
      <c r="F248" s="31">
        <v>44.16</v>
      </c>
      <c r="G248" s="30"/>
      <c r="H248" s="30"/>
      <c r="I248" s="30"/>
      <c r="J248" s="30">
        <v>424.45625</v>
      </c>
      <c r="K248" s="32">
        <v>0.165664090705072</v>
      </c>
      <c r="L248" s="30">
        <v>3444.9075</v>
      </c>
      <c r="M248" s="30">
        <v>20863.3</v>
      </c>
      <c r="N248" s="32"/>
      <c r="O248" s="44">
        <v>19</v>
      </c>
      <c r="P248" s="44">
        <v>26</v>
      </c>
      <c r="Q248" s="34">
        <v>0.422222222222222</v>
      </c>
      <c r="R248" s="34"/>
      <c r="S248" s="38"/>
    </row>
    <row customHeight="true" ht="23.703703703703702" r="249">
      <c r="B249" s="26" t="s">
        <v>54</v>
      </c>
    </row>
    <row customHeight="true" ht="23.703703703703702" r="250">
      <c r="A250" s="20" t="s">
        <v>65</v>
      </c>
      <c r="B250" s="21" t="s">
        <v>28</v>
      </c>
      <c r="C250" s="39" t="s">
        <v>29</v>
      </c>
      <c r="D250" s="21" t="s">
        <v>30</v>
      </c>
      <c r="E250" s="22" t="s">
        <v>31</v>
      </c>
      <c r="F250" s="23" t="s">
        <v>32</v>
      </c>
      <c r="G250" s="22" t="s">
        <v>33</v>
      </c>
      <c r="H250" s="40" t="s">
        <v>34</v>
      </c>
      <c r="I250" s="22" t="s">
        <v>35</v>
      </c>
      <c r="J250" s="22" t="s">
        <v>32</v>
      </c>
      <c r="K250" s="24" t="s">
        <v>36</v>
      </c>
      <c r="L250" s="22" t="s">
        <v>37</v>
      </c>
      <c r="M250" s="22" t="s">
        <v>38</v>
      </c>
      <c r="N250" s="21" t="s">
        <v>39</v>
      </c>
      <c r="O250" s="41" t="s">
        <v>40</v>
      </c>
      <c r="P250" s="25" t="s">
        <v>41</v>
      </c>
      <c r="Q250" s="24" t="s">
        <v>42</v>
      </c>
      <c r="R250" s="24" t="s">
        <v>43</v>
      </c>
      <c r="S250" s="24" t="s">
        <v>56</v>
      </c>
    </row>
    <row customHeight="true" ht="23.703703703703702" r="251">
      <c r="A251" s="42">
        <v>46049</v>
      </c>
      <c r="B251" s="28" t="s">
        <v>46</v>
      </c>
      <c r="C251" s="28">
        <v>4</v>
      </c>
      <c r="D251" s="43">
        <v>55.85</v>
      </c>
      <c r="E251" s="30">
        <v>223.4</v>
      </c>
      <c r="F251" s="29">
        <v>15.78</v>
      </c>
      <c r="G251" s="30">
        <v>32</v>
      </c>
      <c r="H251" s="30">
        <v>88.24</v>
      </c>
      <c r="I251" s="30">
        <v>5.585</v>
      </c>
      <c r="J251" s="30">
        <v>1.29500000000001</v>
      </c>
      <c r="K251" s="32">
        <v>0.00579677708146826</v>
      </c>
      <c r="L251" s="30">
        <v>10.3600000000001</v>
      </c>
      <c r="M251" s="30">
        <v>1787.2</v>
      </c>
      <c r="N251" s="32">
        <v>0.394986571172784</v>
      </c>
      <c r="O251" s="44">
        <v>3</v>
      </c>
      <c r="P251" s="44">
        <v>1</v>
      </c>
      <c r="Q251" s="34">
        <v>0.75</v>
      </c>
      <c r="R251" s="34">
        <v>0.526648761563712</v>
      </c>
      <c r="S251" s="38" t="s">
        <v>57</v>
      </c>
    </row>
    <row customHeight="true" ht="23.703703703703702" r="252">
      <c r="A252" s="42">
        <v>46049</v>
      </c>
      <c r="B252" s="28" t="s">
        <v>47</v>
      </c>
      <c r="C252" s="28">
        <v>3</v>
      </c>
      <c r="D252" s="43">
        <v>58</v>
      </c>
      <c r="E252" s="30">
        <v>174</v>
      </c>
      <c r="F252" s="29">
        <v>3.13</v>
      </c>
      <c r="G252" s="30">
        <v>24</v>
      </c>
      <c r="H252" s="30">
        <v>16.39</v>
      </c>
      <c r="I252" s="30">
        <v>4.35</v>
      </c>
      <c r="J252" s="30">
        <v>12.65</v>
      </c>
      <c r="K252" s="32">
        <v>0.0727011494252874</v>
      </c>
      <c r="L252" s="30">
        <v>101.2</v>
      </c>
      <c r="M252" s="30">
        <v>1392</v>
      </c>
      <c r="N252" s="32">
        <v>0.0941954022988506</v>
      </c>
      <c r="O252" s="44">
        <v>1</v>
      </c>
      <c r="P252" s="44">
        <v>2</v>
      </c>
      <c r="Q252" s="34">
        <v>0.333333333333333</v>
      </c>
      <c r="R252" s="34">
        <v>0.282586206896552</v>
      </c>
      <c r="S252" s="38" t="s">
        <v>59</v>
      </c>
    </row>
    <row customHeight="true" ht="23.703703703703702" r="253">
      <c r="A253" s="42">
        <v>46049</v>
      </c>
      <c r="B253" s="28" t="s">
        <v>49</v>
      </c>
      <c r="C253" s="28">
        <v>22</v>
      </c>
      <c r="D253" s="43">
        <v>58.8</v>
      </c>
      <c r="E253" s="30">
        <v>1293.6</v>
      </c>
      <c r="F253" s="29">
        <v>4.14</v>
      </c>
      <c r="G253" s="30">
        <v>176</v>
      </c>
      <c r="H253" s="30">
        <v>70.4</v>
      </c>
      <c r="I253" s="30">
        <v>32.34</v>
      </c>
      <c r="J253" s="30">
        <v>164.34</v>
      </c>
      <c r="K253" s="32">
        <v>0.127040816326531</v>
      </c>
      <c r="L253" s="30">
        <v>1314.72</v>
      </c>
      <c r="M253" s="30">
        <v>10348.8</v>
      </c>
      <c r="N253" s="32">
        <v>0.054421768707483</v>
      </c>
      <c r="O253" s="44">
        <v>8</v>
      </c>
      <c r="P253" s="44">
        <v>14</v>
      </c>
      <c r="Q253" s="34">
        <v>0.363636363636364</v>
      </c>
      <c r="R253" s="34">
        <v>0.149659863945578</v>
      </c>
      <c r="S253" s="45" t="s">
        <v>64</v>
      </c>
    </row>
    <row customHeight="true" ht="23.703703703703702" r="254">
      <c r="A254" s="42">
        <v>46049</v>
      </c>
      <c r="B254" s="28" t="s">
        <v>50</v>
      </c>
      <c r="C254" s="28">
        <v>0</v>
      </c>
      <c r="D254" s="43">
        <v>59.35</v>
      </c>
      <c r="E254" s="30">
        <v>0</v>
      </c>
      <c r="F254" s="29">
        <v>15.72</v>
      </c>
      <c r="G254" s="30">
        <v>0</v>
      </c>
      <c r="H254" s="30">
        <v>4.18</v>
      </c>
      <c r="I254" s="30">
        <v>0</v>
      </c>
      <c r="J254" s="30">
        <v>-4.18</v>
      </c>
      <c r="K254" s="32">
        <v>0</v>
      </c>
      <c r="L254" s="30">
        <v>-33.44</v>
      </c>
      <c r="M254" s="30">
        <v>0</v>
      </c>
      <c r="N254" s="32">
        <v>0</v>
      </c>
      <c r="O254" s="44">
        <v>0</v>
      </c>
      <c r="P254" s="44">
        <v>0</v>
      </c>
      <c r="Q254" s="34">
        <v>0</v>
      </c>
      <c r="R254" s="34">
        <v>0</v>
      </c>
      <c r="S254" s="38" t="s">
        <v>57</v>
      </c>
    </row>
    <row customHeight="true" ht="23.703703703703702" r="255">
      <c r="A255" s="42">
        <v>46049</v>
      </c>
      <c r="B255" s="28" t="s">
        <v>52</v>
      </c>
      <c r="C255" s="28">
        <v>11</v>
      </c>
      <c r="D255" s="43">
        <v>52.3</v>
      </c>
      <c r="E255" s="30">
        <v>575.3</v>
      </c>
      <c r="F255" s="29">
        <v>5.39</v>
      </c>
      <c r="G255" s="30">
        <v>88</v>
      </c>
      <c r="H255" s="30">
        <v>47.9</v>
      </c>
      <c r="I255" s="30">
        <v>14.3825</v>
      </c>
      <c r="J255" s="30">
        <v>85.0075</v>
      </c>
      <c r="K255" s="32">
        <v>0.147762037197984</v>
      </c>
      <c r="L255" s="30">
        <v>765.0675</v>
      </c>
      <c r="M255" s="30">
        <v>5177.7</v>
      </c>
      <c r="N255" s="32">
        <v>0.0832609073526856</v>
      </c>
      <c r="O255" s="44">
        <v>8</v>
      </c>
      <c r="P255" s="44">
        <v>3</v>
      </c>
      <c r="Q255" s="34">
        <v>0.727272727272727</v>
      </c>
      <c r="R255" s="34">
        <v>0.114483747609943</v>
      </c>
      <c r="S255" s="38" t="s">
        <v>63</v>
      </c>
    </row>
    <row customHeight="true" ht="23.703703703703702" r="256">
      <c r="A256" s="42">
        <v>46049</v>
      </c>
      <c r="B256" s="28" t="s">
        <v>27</v>
      </c>
      <c r="C256" s="28">
        <v>40</v>
      </c>
      <c r="D256" s="38"/>
      <c r="E256" s="30">
        <v>2266.3</v>
      </c>
      <c r="F256" s="31">
        <v>44.16</v>
      </c>
      <c r="G256" s="30"/>
      <c r="H256" s="30"/>
      <c r="I256" s="30"/>
      <c r="J256" s="30">
        <v>259.1125</v>
      </c>
      <c r="K256" s="32">
        <v>0.114332833252438</v>
      </c>
      <c r="L256" s="30">
        <v>2157.9075</v>
      </c>
      <c r="M256" s="30">
        <v>18705.7</v>
      </c>
      <c r="N256" s="32"/>
      <c r="O256" s="44">
        <v>20</v>
      </c>
      <c r="P256" s="44">
        <v>20</v>
      </c>
      <c r="Q256" s="34">
        <v>0.5</v>
      </c>
      <c r="R256" s="34"/>
      <c r="S256" s="38"/>
    </row>
    <row customHeight="true" ht="23.703703703703702" r="257">
      <c r="B257" s="26" t="s">
        <v>54</v>
      </c>
    </row>
    <row customHeight="true" ht="23.703703703703702" r="258">
      <c r="A258" s="20" t="s">
        <v>65</v>
      </c>
      <c r="B258" s="21" t="s">
        <v>28</v>
      </c>
      <c r="C258" s="39" t="s">
        <v>29</v>
      </c>
      <c r="D258" s="21" t="s">
        <v>30</v>
      </c>
      <c r="E258" s="22" t="s">
        <v>31</v>
      </c>
      <c r="F258" s="23" t="s">
        <v>32</v>
      </c>
      <c r="G258" s="22" t="s">
        <v>33</v>
      </c>
      <c r="H258" s="40" t="s">
        <v>34</v>
      </c>
      <c r="I258" s="22" t="s">
        <v>35</v>
      </c>
      <c r="J258" s="22" t="s">
        <v>32</v>
      </c>
      <c r="K258" s="24" t="s">
        <v>36</v>
      </c>
      <c r="L258" s="22" t="s">
        <v>37</v>
      </c>
      <c r="M258" s="22" t="s">
        <v>38</v>
      </c>
      <c r="N258" s="21" t="s">
        <v>39</v>
      </c>
      <c r="O258" s="41" t="s">
        <v>40</v>
      </c>
      <c r="P258" s="25" t="s">
        <v>41</v>
      </c>
      <c r="Q258" s="24" t="s">
        <v>42</v>
      </c>
      <c r="R258" s="24" t="s">
        <v>43</v>
      </c>
      <c r="S258" s="24" t="s">
        <v>56</v>
      </c>
    </row>
    <row customHeight="true" ht="23.703703703703702" r="259">
      <c r="A259" s="42">
        <v>46050</v>
      </c>
      <c r="B259" s="28" t="s">
        <v>46</v>
      </c>
      <c r="C259" s="28">
        <v>7</v>
      </c>
      <c r="D259" s="43">
        <v>55.85</v>
      </c>
      <c r="E259" s="30">
        <v>390.95</v>
      </c>
      <c r="F259" s="29">
        <v>15.78</v>
      </c>
      <c r="G259" s="30">
        <v>56</v>
      </c>
      <c r="H259" s="30">
        <v>91.36</v>
      </c>
      <c r="I259" s="30">
        <v>9.77375</v>
      </c>
      <c r="J259" s="30">
        <v>65.32625</v>
      </c>
      <c r="K259" s="32">
        <v>0.167096175981583</v>
      </c>
      <c r="L259" s="30">
        <v>522.61</v>
      </c>
      <c r="M259" s="30">
        <v>3127.6</v>
      </c>
      <c r="N259" s="32">
        <v>0.233687172272669</v>
      </c>
      <c r="O259" s="44">
        <v>6</v>
      </c>
      <c r="P259" s="44">
        <v>1</v>
      </c>
      <c r="Q259" s="34">
        <v>0.857142857142857</v>
      </c>
      <c r="R259" s="34">
        <v>0.272635034318114</v>
      </c>
      <c r="S259" s="38" t="s">
        <v>57</v>
      </c>
    </row>
    <row customHeight="true" ht="23.703703703703702" r="260">
      <c r="A260" s="42">
        <v>46050</v>
      </c>
      <c r="B260" s="28" t="s">
        <v>47</v>
      </c>
      <c r="C260" s="28">
        <v>1</v>
      </c>
      <c r="D260" s="43">
        <v>58</v>
      </c>
      <c r="E260" s="30">
        <v>58</v>
      </c>
      <c r="F260" s="29">
        <v>3.13</v>
      </c>
      <c r="G260" s="30">
        <v>8</v>
      </c>
      <c r="H260" s="30">
        <v>14.82</v>
      </c>
      <c r="I260" s="30">
        <v>1.45</v>
      </c>
      <c r="J260" s="30">
        <v>-5.14</v>
      </c>
      <c r="K260" s="32">
        <v>-0.0886206896551724</v>
      </c>
      <c r="L260" s="30">
        <v>-41.12</v>
      </c>
      <c r="M260" s="30">
        <v>464</v>
      </c>
      <c r="N260" s="32">
        <v>0.25551724137931</v>
      </c>
      <c r="O260" s="44">
        <v>1</v>
      </c>
      <c r="P260" s="44">
        <v>0</v>
      </c>
      <c r="Q260" s="34">
        <v>1</v>
      </c>
      <c r="R260" s="34">
        <v>0.25551724137931</v>
      </c>
      <c r="S260" s="38" t="s">
        <v>59</v>
      </c>
    </row>
    <row customHeight="true" ht="23.703703703703702" r="261">
      <c r="A261" s="42">
        <v>46050</v>
      </c>
      <c r="B261" s="28" t="s">
        <v>49</v>
      </c>
      <c r="C261" s="28">
        <v>22</v>
      </c>
      <c r="D261" s="43">
        <v>58.8</v>
      </c>
      <c r="E261" s="30">
        <v>1293.6</v>
      </c>
      <c r="F261" s="29">
        <v>4.14</v>
      </c>
      <c r="G261" s="30">
        <v>176</v>
      </c>
      <c r="H261" s="30">
        <v>75.23</v>
      </c>
      <c r="I261" s="30">
        <v>32.34</v>
      </c>
      <c r="J261" s="30">
        <v>159.51</v>
      </c>
      <c r="K261" s="32">
        <v>0.123307050092764</v>
      </c>
      <c r="L261" s="30">
        <v>1276.08</v>
      </c>
      <c r="M261" s="30">
        <v>10348.8</v>
      </c>
      <c r="N261" s="32">
        <v>0.0581555349412492</v>
      </c>
      <c r="O261" s="44">
        <v>8</v>
      </c>
      <c r="P261" s="44">
        <v>14</v>
      </c>
      <c r="Q261" s="34">
        <v>0.363636363636364</v>
      </c>
      <c r="R261" s="34">
        <v>0.159927721088435</v>
      </c>
      <c r="S261" s="45" t="s">
        <v>64</v>
      </c>
    </row>
    <row customHeight="true" ht="23.703703703703702" r="262">
      <c r="A262" s="42">
        <v>46050</v>
      </c>
      <c r="B262" s="28" t="s">
        <v>50</v>
      </c>
      <c r="C262" s="28">
        <v>0</v>
      </c>
      <c r="D262" s="43">
        <v>59.35</v>
      </c>
      <c r="E262" s="30">
        <v>0</v>
      </c>
      <c r="F262" s="29">
        <v>15.72</v>
      </c>
      <c r="G262" s="30">
        <v>0</v>
      </c>
      <c r="H262" s="30">
        <v>5.36</v>
      </c>
      <c r="I262" s="30">
        <v>0</v>
      </c>
      <c r="J262" s="30">
        <v>-5.36</v>
      </c>
      <c r="K262" s="32">
        <v>0</v>
      </c>
      <c r="L262" s="30">
        <v>-42.88</v>
      </c>
      <c r="M262" s="30">
        <v>0</v>
      </c>
      <c r="N262" s="32">
        <v>0</v>
      </c>
      <c r="O262" s="44">
        <v>0</v>
      </c>
      <c r="P262" s="44">
        <v>0</v>
      </c>
      <c r="Q262" s="34">
        <v>0</v>
      </c>
      <c r="R262" s="34">
        <v>0</v>
      </c>
      <c r="S262" s="38" t="s">
        <v>57</v>
      </c>
    </row>
    <row customHeight="true" ht="23.703703703703702" r="263">
      <c r="A263" s="42">
        <v>46050</v>
      </c>
      <c r="B263" s="28" t="s">
        <v>52</v>
      </c>
      <c r="C263" s="28">
        <v>6</v>
      </c>
      <c r="D263" s="43">
        <v>52.3</v>
      </c>
      <c r="E263" s="30">
        <v>313.8</v>
      </c>
      <c r="F263" s="29">
        <v>5.39</v>
      </c>
      <c r="G263" s="30">
        <v>48</v>
      </c>
      <c r="H263" s="30">
        <v>33.71</v>
      </c>
      <c r="I263" s="30">
        <v>7.845</v>
      </c>
      <c r="J263" s="30">
        <v>38.785</v>
      </c>
      <c r="K263" s="32">
        <v>0.123597833014659</v>
      </c>
      <c r="L263" s="30">
        <v>349.065</v>
      </c>
      <c r="M263" s="30">
        <v>2824.2</v>
      </c>
      <c r="N263" s="32">
        <v>0.10742511153601</v>
      </c>
      <c r="O263" s="44">
        <v>2</v>
      </c>
      <c r="P263" s="44">
        <v>4</v>
      </c>
      <c r="Q263" s="34">
        <v>0.333333333333333</v>
      </c>
      <c r="R263" s="34">
        <v>0.322275334608031</v>
      </c>
      <c r="S263" s="38" t="s">
        <v>63</v>
      </c>
    </row>
    <row customHeight="true" ht="23.703703703703702" r="264">
      <c r="A264" s="42">
        <v>46050</v>
      </c>
      <c r="B264" s="28" t="s">
        <v>27</v>
      </c>
      <c r="C264" s="28">
        <v>36</v>
      </c>
      <c r="D264" s="38"/>
      <c r="E264" s="30">
        <v>2056.35</v>
      </c>
      <c r="F264" s="31">
        <v>44.16</v>
      </c>
      <c r="G264" s="30"/>
      <c r="H264" s="30"/>
      <c r="I264" s="30"/>
      <c r="J264" s="30">
        <v>253.12125</v>
      </c>
      <c r="K264" s="32">
        <v>0.123092493982056</v>
      </c>
      <c r="L264" s="30">
        <v>2063.755</v>
      </c>
      <c r="M264" s="30">
        <v>16764.6</v>
      </c>
      <c r="N264" s="32"/>
      <c r="O264" s="44">
        <v>17</v>
      </c>
      <c r="P264" s="44">
        <v>19</v>
      </c>
      <c r="Q264" s="34">
        <v>0.472222222222222</v>
      </c>
      <c r="R264" s="34"/>
      <c r="S264" s="38"/>
    </row>
    <row customHeight="true" ht="23.703703703703702" r="265">
      <c r="B265" s="26" t="s">
        <v>54</v>
      </c>
    </row>
    <row customHeight="true" ht="23.703703703703702" r="266">
      <c r="A266" s="20" t="s">
        <v>65</v>
      </c>
      <c r="B266" s="21" t="s">
        <v>28</v>
      </c>
      <c r="C266" s="39" t="s">
        <v>29</v>
      </c>
      <c r="D266" s="21" t="s">
        <v>30</v>
      </c>
      <c r="E266" s="22" t="s">
        <v>31</v>
      </c>
      <c r="F266" s="23" t="s">
        <v>32</v>
      </c>
      <c r="G266" s="22" t="s">
        <v>33</v>
      </c>
      <c r="H266" s="40" t="s">
        <v>34</v>
      </c>
      <c r="I266" s="22" t="s">
        <v>35</v>
      </c>
      <c r="J266" s="22" t="s">
        <v>32</v>
      </c>
      <c r="K266" s="24" t="s">
        <v>36</v>
      </c>
      <c r="L266" s="22" t="s">
        <v>37</v>
      </c>
      <c r="M266" s="22" t="s">
        <v>38</v>
      </c>
      <c r="N266" s="21" t="s">
        <v>39</v>
      </c>
      <c r="O266" s="41" t="s">
        <v>40</v>
      </c>
      <c r="P266" s="25" t="s">
        <v>41</v>
      </c>
      <c r="Q266" s="24" t="s">
        <v>42</v>
      </c>
      <c r="R266" s="24" t="s">
        <v>43</v>
      </c>
      <c r="S266" s="24" t="s">
        <v>56</v>
      </c>
    </row>
    <row customHeight="true" ht="23.703703703703702" r="267">
      <c r="A267" s="42">
        <v>46051</v>
      </c>
      <c r="B267" s="28" t="s">
        <v>46</v>
      </c>
      <c r="C267" s="28">
        <v>6</v>
      </c>
      <c r="D267" s="43">
        <v>55.85</v>
      </c>
      <c r="E267" s="30">
        <v>335.1</v>
      </c>
      <c r="F267" s="29">
        <v>7.78</v>
      </c>
      <c r="G267" s="30">
        <v>48</v>
      </c>
      <c r="H267" s="30">
        <v>51.34</v>
      </c>
      <c r="I267" s="30">
        <v>8.3775</v>
      </c>
      <c r="J267" s="30">
        <v>34.9625</v>
      </c>
      <c r="K267" s="32">
        <v>0.104334527006864</v>
      </c>
      <c r="L267" s="30">
        <v>279.7</v>
      </c>
      <c r="M267" s="30">
        <v>2680.8</v>
      </c>
      <c r="N267" s="32">
        <v>0.153207997612653</v>
      </c>
      <c r="O267" s="44">
        <v>4</v>
      </c>
      <c r="P267" s="44">
        <v>2</v>
      </c>
      <c r="Q267" s="34">
        <v>0.666666666666667</v>
      </c>
      <c r="R267" s="34">
        <v>0.229811996418979</v>
      </c>
      <c r="S267" s="38" t="s">
        <v>66</v>
      </c>
    </row>
    <row customHeight="true" ht="23.703703703703702" r="268">
      <c r="A268" s="42">
        <v>46051</v>
      </c>
      <c r="B268" s="28" t="s">
        <v>47</v>
      </c>
      <c r="C268" s="28">
        <v>2</v>
      </c>
      <c r="D268" s="43">
        <v>58</v>
      </c>
      <c r="E268" s="30">
        <v>116</v>
      </c>
      <c r="F268" s="29">
        <v>3.13</v>
      </c>
      <c r="G268" s="30">
        <v>16</v>
      </c>
      <c r="H268" s="30">
        <v>29.84</v>
      </c>
      <c r="I268" s="30">
        <v>2.9</v>
      </c>
      <c r="J268" s="30">
        <v>-10.48</v>
      </c>
      <c r="K268" s="32">
        <v>-0.0903448275862069</v>
      </c>
      <c r="L268" s="30">
        <v>-83.84</v>
      </c>
      <c r="M268" s="30">
        <v>928</v>
      </c>
      <c r="N268" s="32">
        <v>0.257241379310345</v>
      </c>
      <c r="O268" s="44">
        <v>0</v>
      </c>
      <c r="P268" s="44">
        <v>2</v>
      </c>
      <c r="Q268" s="34">
        <v>0</v>
      </c>
      <c r="R268" s="34">
        <v>0</v>
      </c>
      <c r="S268" s="38" t="s">
        <v>59</v>
      </c>
    </row>
    <row customHeight="true" ht="23.703703703703702" r="269">
      <c r="A269" s="42">
        <v>46051</v>
      </c>
      <c r="B269" s="28" t="s">
        <v>49</v>
      </c>
      <c r="C269" s="28">
        <v>10</v>
      </c>
      <c r="D269" s="43">
        <v>58.8</v>
      </c>
      <c r="E269" s="30">
        <v>588</v>
      </c>
      <c r="F269" s="29">
        <v>12.02</v>
      </c>
      <c r="G269" s="30">
        <v>80</v>
      </c>
      <c r="H269" s="30">
        <v>55.42</v>
      </c>
      <c r="I269" s="30">
        <v>14.7</v>
      </c>
      <c r="J269" s="30">
        <v>130.08</v>
      </c>
      <c r="K269" s="32">
        <v>0.221224489795918</v>
      </c>
      <c r="L269" s="30">
        <v>1040.64</v>
      </c>
      <c r="M269" s="30">
        <v>4704</v>
      </c>
      <c r="N269" s="32">
        <v>0.0942517006802721</v>
      </c>
      <c r="O269" s="44">
        <v>5</v>
      </c>
      <c r="P269" s="44">
        <v>5</v>
      </c>
      <c r="Q269" s="34">
        <v>0.5</v>
      </c>
      <c r="R269" s="34">
        <v>0.188503401360544</v>
      </c>
      <c r="S269" s="38" t="s">
        <v>67</v>
      </c>
    </row>
    <row customHeight="true" ht="23.703703703703702" r="270">
      <c r="A270" s="42">
        <v>46051</v>
      </c>
      <c r="B270" s="28" t="s">
        <v>50</v>
      </c>
      <c r="C270" s="28">
        <v>0</v>
      </c>
      <c r="D270" s="43">
        <v>59.35</v>
      </c>
      <c r="E270" s="30">
        <v>0</v>
      </c>
      <c r="F270" s="29">
        <v>7.22</v>
      </c>
      <c r="G270" s="30">
        <v>0</v>
      </c>
      <c r="H270" s="30">
        <v>0.7</v>
      </c>
      <c r="I270" s="30">
        <v>0</v>
      </c>
      <c r="J270" s="30">
        <v>-0.7</v>
      </c>
      <c r="K270" s="32">
        <v>0</v>
      </c>
      <c r="L270" s="30">
        <v>-5.6</v>
      </c>
      <c r="M270" s="30">
        <v>0</v>
      </c>
      <c r="N270" s="32">
        <v>0</v>
      </c>
      <c r="O270" s="44">
        <v>0</v>
      </c>
      <c r="P270" s="44">
        <v>0</v>
      </c>
      <c r="Q270" s="34">
        <v>0</v>
      </c>
      <c r="R270" s="34">
        <v>0</v>
      </c>
      <c r="S270" s="38" t="s">
        <v>66</v>
      </c>
    </row>
    <row customHeight="true" ht="23.703703703703702" r="271">
      <c r="A271" s="42">
        <v>46051</v>
      </c>
      <c r="B271" s="28" t="s">
        <v>52</v>
      </c>
      <c r="C271" s="28">
        <v>3</v>
      </c>
      <c r="D271" s="43">
        <v>52.3</v>
      </c>
      <c r="E271" s="30">
        <v>156.9</v>
      </c>
      <c r="F271" s="29">
        <v>3.32</v>
      </c>
      <c r="G271" s="30">
        <v>24</v>
      </c>
      <c r="H271" s="30">
        <v>10.7</v>
      </c>
      <c r="I271" s="30">
        <v>3.9225</v>
      </c>
      <c r="J271" s="30">
        <v>19.3375</v>
      </c>
      <c r="K271" s="32">
        <v>0.123247291268324</v>
      </c>
      <c r="L271" s="30">
        <v>174.0375</v>
      </c>
      <c r="M271" s="30">
        <v>1412.1</v>
      </c>
      <c r="N271" s="32">
        <v>0.0681963033779477</v>
      </c>
      <c r="O271" s="44">
        <v>2</v>
      </c>
      <c r="P271" s="44">
        <v>1</v>
      </c>
      <c r="Q271" s="34">
        <v>0.666666666666667</v>
      </c>
      <c r="R271" s="34">
        <v>0.102294455066922</v>
      </c>
      <c r="S271" s="38" t="s">
        <v>59</v>
      </c>
    </row>
    <row customHeight="true" ht="23.703703703703702" r="272">
      <c r="A272" s="42">
        <v>46051</v>
      </c>
      <c r="B272" s="28" t="s">
        <v>27</v>
      </c>
      <c r="C272" s="28">
        <v>21</v>
      </c>
      <c r="D272" s="38"/>
      <c r="E272" s="30">
        <v>1196</v>
      </c>
      <c r="F272" s="31">
        <v>33.47</v>
      </c>
      <c r="G272" s="30"/>
      <c r="H272" s="30"/>
      <c r="I272" s="30"/>
      <c r="J272" s="30">
        <v>173.2</v>
      </c>
      <c r="K272" s="32">
        <v>0.144816053511706</v>
      </c>
      <c r="L272" s="30">
        <v>1404.9375</v>
      </c>
      <c r="M272" s="30">
        <v>9724.9</v>
      </c>
      <c r="N272" s="32"/>
      <c r="O272" s="44">
        <v>11</v>
      </c>
      <c r="P272" s="44">
        <v>10</v>
      </c>
      <c r="Q272" s="34">
        <v>0.523809523809524</v>
      </c>
      <c r="R272" s="34"/>
      <c r="S272" s="38"/>
    </row>
    <row customHeight="true" ht="23.703703703703702" r="273">
      <c r="B273" s="26" t="s">
        <v>54</v>
      </c>
    </row>
    <row customHeight="true" ht="23.703703703703702" r="274">
      <c r="A274" s="20" t="s">
        <v>65</v>
      </c>
      <c r="B274" s="21" t="s">
        <v>28</v>
      </c>
      <c r="C274" s="39" t="s">
        <v>29</v>
      </c>
      <c r="D274" s="21" t="s">
        <v>30</v>
      </c>
      <c r="E274" s="22" t="s">
        <v>31</v>
      </c>
      <c r="F274" s="23" t="s">
        <v>32</v>
      </c>
      <c r="G274" s="22" t="s">
        <v>33</v>
      </c>
      <c r="H274" s="40" t="s">
        <v>34</v>
      </c>
      <c r="I274" s="22" t="s">
        <v>35</v>
      </c>
      <c r="J274" s="22" t="s">
        <v>32</v>
      </c>
      <c r="K274" s="24" t="s">
        <v>36</v>
      </c>
      <c r="L274" s="22" t="s">
        <v>37</v>
      </c>
      <c r="M274" s="22" t="s">
        <v>38</v>
      </c>
      <c r="N274" s="21" t="s">
        <v>39</v>
      </c>
      <c r="O274" s="41" t="s">
        <v>40</v>
      </c>
      <c r="P274" s="25" t="s">
        <v>41</v>
      </c>
      <c r="Q274" s="24" t="s">
        <v>42</v>
      </c>
      <c r="R274" s="24" t="s">
        <v>43</v>
      </c>
      <c r="S274" s="24" t="s">
        <v>56</v>
      </c>
    </row>
    <row customHeight="true" ht="23.703703703703702" r="275">
      <c r="A275" s="42">
        <v>46052</v>
      </c>
      <c r="B275" s="28" t="s">
        <v>46</v>
      </c>
      <c r="C275" s="28">
        <v>5</v>
      </c>
      <c r="D275" s="43">
        <v>55.85</v>
      </c>
      <c r="E275" s="30">
        <v>279.25</v>
      </c>
      <c r="F275" s="29">
        <v>15.78</v>
      </c>
      <c r="G275" s="30">
        <v>40</v>
      </c>
      <c r="H275" s="30">
        <v>34.78</v>
      </c>
      <c r="I275" s="30">
        <v>6.98125</v>
      </c>
      <c r="J275" s="30">
        <v>77.13875</v>
      </c>
      <c r="K275" s="32">
        <v>0.27623545210385</v>
      </c>
      <c r="L275" s="30">
        <v>617.11</v>
      </c>
      <c r="M275" s="30">
        <v>2234</v>
      </c>
      <c r="N275" s="32">
        <v>0.124547896150403</v>
      </c>
      <c r="O275" s="44">
        <v>2</v>
      </c>
      <c r="P275" s="44">
        <v>3</v>
      </c>
      <c r="Q275" s="34">
        <v>0.4</v>
      </c>
      <c r="R275" s="34">
        <v>0.311369740376007</v>
      </c>
      <c r="S275" s="38" t="s">
        <v>57</v>
      </c>
    </row>
    <row customHeight="true" ht="23.703703703703702" r="276">
      <c r="A276" s="42">
        <v>46052</v>
      </c>
      <c r="B276" s="28" t="s">
        <v>47</v>
      </c>
      <c r="C276" s="28">
        <v>1</v>
      </c>
      <c r="D276" s="43">
        <v>58</v>
      </c>
      <c r="E276" s="30">
        <v>58</v>
      </c>
      <c r="F276" s="29">
        <v>3.13</v>
      </c>
      <c r="G276" s="30">
        <v>8</v>
      </c>
      <c r="H276" s="30">
        <v>25.62</v>
      </c>
      <c r="I276" s="30">
        <v>1.45</v>
      </c>
      <c r="J276" s="30">
        <v>-15.94</v>
      </c>
      <c r="K276" s="32">
        <v>-0.274827586206897</v>
      </c>
      <c r="L276" s="30">
        <v>-127.52</v>
      </c>
      <c r="M276" s="30">
        <v>464</v>
      </c>
      <c r="N276" s="32">
        <v>0.441724137931034</v>
      </c>
      <c r="O276" s="44">
        <v>1</v>
      </c>
      <c r="P276" s="44">
        <v>0</v>
      </c>
      <c r="Q276" s="34">
        <v>1</v>
      </c>
      <c r="R276" s="34">
        <v>0.441724137931034</v>
      </c>
      <c r="S276" s="38" t="s">
        <v>59</v>
      </c>
    </row>
    <row customHeight="true" ht="23.703703703703702" r="277">
      <c r="A277" s="42">
        <v>46052</v>
      </c>
      <c r="B277" s="28" t="s">
        <v>49</v>
      </c>
      <c r="C277" s="28">
        <v>7</v>
      </c>
      <c r="D277" s="43">
        <v>58.8</v>
      </c>
      <c r="E277" s="30">
        <v>411.6</v>
      </c>
      <c r="F277" s="29">
        <v>16.27</v>
      </c>
      <c r="G277" s="30">
        <v>56</v>
      </c>
      <c r="H277" s="30">
        <v>58.22</v>
      </c>
      <c r="I277" s="30">
        <v>10.29</v>
      </c>
      <c r="J277" s="30">
        <v>101.38</v>
      </c>
      <c r="K277" s="32">
        <v>0.246307094266278</v>
      </c>
      <c r="L277" s="30">
        <v>811.04</v>
      </c>
      <c r="M277" s="30">
        <v>3292.8</v>
      </c>
      <c r="N277" s="32">
        <v>0.141448007774538</v>
      </c>
      <c r="O277" s="44">
        <v>1</v>
      </c>
      <c r="P277" s="44">
        <v>6</v>
      </c>
      <c r="Q277" s="34">
        <v>0.142857142857143</v>
      </c>
      <c r="R277" s="34">
        <v>0.990136054421768</v>
      </c>
      <c r="S277" s="38" t="s">
        <v>57</v>
      </c>
    </row>
    <row customHeight="true" ht="23.703703703703702" r="278">
      <c r="A278" s="42">
        <v>46052</v>
      </c>
      <c r="B278" s="28" t="s">
        <v>50</v>
      </c>
      <c r="C278" s="28">
        <v>0</v>
      </c>
      <c r="D278" s="43">
        <v>59.35</v>
      </c>
      <c r="E278" s="30">
        <v>0</v>
      </c>
      <c r="F278" s="29">
        <v>11.47</v>
      </c>
      <c r="G278" s="30">
        <v>0</v>
      </c>
      <c r="H278" s="30">
        <v>11.48</v>
      </c>
      <c r="I278" s="30">
        <v>0</v>
      </c>
      <c r="J278" s="30">
        <v>-11.48</v>
      </c>
      <c r="K278" s="32">
        <v>0</v>
      </c>
      <c r="L278" s="30">
        <v>-91.84</v>
      </c>
      <c r="M278" s="30">
        <v>0</v>
      </c>
      <c r="N278" s="32">
        <v>0</v>
      </c>
      <c r="O278" s="44">
        <v>1</v>
      </c>
      <c r="P278" s="44">
        <v>-1</v>
      </c>
      <c r="Q278" s="34">
        <v>0</v>
      </c>
      <c r="R278" s="34">
        <v>0</v>
      </c>
      <c r="S278" s="38" t="s">
        <v>67</v>
      </c>
    </row>
    <row customHeight="true" ht="23.703703703703702" r="279">
      <c r="A279" s="42">
        <v>46052</v>
      </c>
      <c r="B279" s="28" t="s">
        <v>52</v>
      </c>
      <c r="C279" s="28">
        <v>1</v>
      </c>
      <c r="D279" s="43">
        <v>52.3</v>
      </c>
      <c r="E279" s="30">
        <v>52.3</v>
      </c>
      <c r="F279" s="29">
        <v>5.97</v>
      </c>
      <c r="G279" s="30">
        <v>8</v>
      </c>
      <c r="H279" s="30">
        <v>25.75</v>
      </c>
      <c r="I279" s="30">
        <v>1.3075</v>
      </c>
      <c r="J279" s="30">
        <v>-13.0875</v>
      </c>
      <c r="K279" s="32">
        <v>-0.250239005736138</v>
      </c>
      <c r="L279" s="30">
        <v>-117.7875</v>
      </c>
      <c r="M279" s="30">
        <v>470.7</v>
      </c>
      <c r="N279" s="32">
        <v>0.492351816443595</v>
      </c>
      <c r="O279" s="44">
        <v>2</v>
      </c>
      <c r="P279" s="44">
        <v>-1</v>
      </c>
      <c r="Q279" s="34">
        <v>2</v>
      </c>
      <c r="R279" s="34">
        <v>0.246175908221797</v>
      </c>
      <c r="S279" s="38" t="s">
        <v>66</v>
      </c>
    </row>
    <row customHeight="true" ht="23.703703703703702" r="280">
      <c r="A280" s="42">
        <v>46052</v>
      </c>
      <c r="B280" s="28" t="s">
        <v>27</v>
      </c>
      <c r="C280" s="28">
        <v>14</v>
      </c>
      <c r="D280" s="38"/>
      <c r="E280" s="30">
        <v>801.15</v>
      </c>
      <c r="F280" s="31">
        <v>52.62</v>
      </c>
      <c r="G280" s="30"/>
      <c r="H280" s="30"/>
      <c r="I280" s="30"/>
      <c r="J280" s="30">
        <v>138.01125</v>
      </c>
      <c r="K280" s="32">
        <v>0.172266429507583</v>
      </c>
      <c r="L280" s="30">
        <v>1091.0025</v>
      </c>
      <c r="M280" s="30">
        <v>6461.5</v>
      </c>
      <c r="N280" s="32"/>
      <c r="O280" s="44">
        <v>7</v>
      </c>
      <c r="P280" s="44">
        <v>7</v>
      </c>
      <c r="Q280" s="34">
        <v>0.5</v>
      </c>
      <c r="R280" s="34"/>
      <c r="S280" s="38"/>
    </row>
    <row customHeight="true" ht="23.703703703703702" r="281">
      <c r="B281" s="26" t="s">
        <v>54</v>
      </c>
    </row>
    <row customHeight="true" ht="23.703703703703702" r="282">
      <c r="A282" s="20" t="s">
        <v>65</v>
      </c>
      <c r="B282" s="21" t="s">
        <v>28</v>
      </c>
      <c r="C282" s="39" t="s">
        <v>29</v>
      </c>
      <c r="D282" s="21" t="s">
        <v>30</v>
      </c>
      <c r="E282" s="22" t="s">
        <v>31</v>
      </c>
      <c r="F282" s="23" t="s">
        <v>32</v>
      </c>
      <c r="G282" s="22" t="s">
        <v>33</v>
      </c>
      <c r="H282" s="40" t="s">
        <v>34</v>
      </c>
      <c r="I282" s="22" t="s">
        <v>35</v>
      </c>
      <c r="J282" s="22" t="s">
        <v>32</v>
      </c>
      <c r="K282" s="24" t="s">
        <v>36</v>
      </c>
      <c r="L282" s="22" t="s">
        <v>37</v>
      </c>
      <c r="M282" s="22" t="s">
        <v>38</v>
      </c>
      <c r="N282" s="21" t="s">
        <v>39</v>
      </c>
      <c r="O282" s="41" t="s">
        <v>40</v>
      </c>
      <c r="P282" s="25" t="s">
        <v>41</v>
      </c>
      <c r="Q282" s="24" t="s">
        <v>42</v>
      </c>
      <c r="R282" s="24" t="s">
        <v>43</v>
      </c>
      <c r="S282" s="24" t="s">
        <v>56</v>
      </c>
    </row>
    <row customHeight="true" ht="23.703703703703702" r="283">
      <c r="A283" s="42">
        <v>46053</v>
      </c>
      <c r="B283" s="28" t="s">
        <v>46</v>
      </c>
      <c r="C283" s="28">
        <v>4</v>
      </c>
      <c r="D283" s="43">
        <v>55.85</v>
      </c>
      <c r="E283" s="30">
        <v>223.4</v>
      </c>
      <c r="F283" s="29">
        <v>15.78</v>
      </c>
      <c r="G283" s="30">
        <v>32</v>
      </c>
      <c r="H283" s="30">
        <v>41.58</v>
      </c>
      <c r="I283" s="30">
        <v>5.585</v>
      </c>
      <c r="J283" s="30">
        <v>47.955</v>
      </c>
      <c r="K283" s="32">
        <v>0.214659803043868</v>
      </c>
      <c r="L283" s="30">
        <v>383.64</v>
      </c>
      <c r="M283" s="30">
        <v>1787.2</v>
      </c>
      <c r="N283" s="32">
        <v>0.186123545210385</v>
      </c>
      <c r="O283" s="44">
        <v>1</v>
      </c>
      <c r="P283" s="44">
        <v>3</v>
      </c>
      <c r="Q283" s="34">
        <v>0.25</v>
      </c>
      <c r="R283" s="34">
        <v>0.74449418084154</v>
      </c>
      <c r="S283" s="38" t="s">
        <v>57</v>
      </c>
    </row>
    <row customHeight="true" ht="23.703703703703702" r="284">
      <c r="A284" s="42">
        <v>46053</v>
      </c>
      <c r="B284" s="28" t="s">
        <v>47</v>
      </c>
      <c r="C284" s="28">
        <v>2</v>
      </c>
      <c r="D284" s="43">
        <v>58</v>
      </c>
      <c r="E284" s="30">
        <v>116</v>
      </c>
      <c r="F284" s="29">
        <v>3.13</v>
      </c>
      <c r="G284" s="30">
        <v>16</v>
      </c>
      <c r="H284" s="30">
        <v>15.72</v>
      </c>
      <c r="I284" s="30">
        <v>2.9</v>
      </c>
      <c r="J284" s="30">
        <v>3.64</v>
      </c>
      <c r="K284" s="32">
        <v>0.0313793103448276</v>
      </c>
      <c r="L284" s="30">
        <v>29.12</v>
      </c>
      <c r="M284" s="30">
        <v>928</v>
      </c>
      <c r="N284" s="32">
        <v>0.13551724137931</v>
      </c>
      <c r="O284" s="44">
        <v>1</v>
      </c>
      <c r="P284" s="44">
        <v>1</v>
      </c>
      <c r="Q284" s="34">
        <v>0.5</v>
      </c>
      <c r="R284" s="34">
        <v>0.271034482758621</v>
      </c>
      <c r="S284" s="38" t="s">
        <v>59</v>
      </c>
    </row>
    <row customHeight="true" ht="23.703703703703702" r="285">
      <c r="A285" s="42">
        <v>46053</v>
      </c>
      <c r="B285" s="28" t="s">
        <v>49</v>
      </c>
      <c r="C285" s="28">
        <v>7</v>
      </c>
      <c r="D285" s="43">
        <v>58.8</v>
      </c>
      <c r="E285" s="30">
        <v>411.6</v>
      </c>
      <c r="F285" s="29">
        <v>16.27</v>
      </c>
      <c r="G285" s="30">
        <v>56</v>
      </c>
      <c r="H285" s="30">
        <v>62.85</v>
      </c>
      <c r="I285" s="30">
        <v>10.29</v>
      </c>
      <c r="J285" s="30">
        <v>96.75</v>
      </c>
      <c r="K285" s="32">
        <v>0.235058309037901</v>
      </c>
      <c r="L285" s="30">
        <v>774</v>
      </c>
      <c r="M285" s="30">
        <v>3292.8</v>
      </c>
      <c r="N285" s="32">
        <v>0.152696793002915</v>
      </c>
      <c r="O285" s="44">
        <v>4</v>
      </c>
      <c r="P285" s="44">
        <v>3</v>
      </c>
      <c r="Q285" s="34">
        <v>0.571428571428571</v>
      </c>
      <c r="R285" s="34">
        <v>0.267219387755102</v>
      </c>
      <c r="S285" s="38" t="s">
        <v>57</v>
      </c>
    </row>
    <row customHeight="true" ht="23.703703703703702" r="286">
      <c r="A286" s="42">
        <v>46053</v>
      </c>
      <c r="B286" s="28" t="s">
        <v>50</v>
      </c>
      <c r="C286" s="28">
        <v>2</v>
      </c>
      <c r="D286" s="43">
        <v>59.35</v>
      </c>
      <c r="E286" s="30">
        <v>118.7</v>
      </c>
      <c r="F286" s="29">
        <v>15.72</v>
      </c>
      <c r="G286" s="30">
        <v>16</v>
      </c>
      <c r="H286" s="30">
        <v>31.02</v>
      </c>
      <c r="I286" s="30">
        <v>2.9675</v>
      </c>
      <c r="J286" s="30">
        <v>13.4525</v>
      </c>
      <c r="K286" s="32">
        <v>0.113331929233361</v>
      </c>
      <c r="L286" s="30">
        <v>107.62</v>
      </c>
      <c r="M286" s="30">
        <v>949.6</v>
      </c>
      <c r="N286" s="32">
        <v>0.261331086773378</v>
      </c>
      <c r="O286" s="44">
        <v>1</v>
      </c>
      <c r="P286" s="44">
        <v>1</v>
      </c>
      <c r="Q286" s="34">
        <v>0.5</v>
      </c>
      <c r="R286" s="34">
        <v>0.522662173546756</v>
      </c>
      <c r="S286" s="38" t="s">
        <v>57</v>
      </c>
    </row>
    <row customHeight="true" ht="23.703703703703702" r="287">
      <c r="A287" s="42">
        <v>46053</v>
      </c>
      <c r="B287" s="28" t="s">
        <v>52</v>
      </c>
      <c r="C287" s="28">
        <v>5</v>
      </c>
      <c r="D287" s="43">
        <v>52.3</v>
      </c>
      <c r="E287" s="30">
        <v>261.5</v>
      </c>
      <c r="F287" s="29">
        <v>14.72</v>
      </c>
      <c r="G287" s="30">
        <v>40</v>
      </c>
      <c r="H287" s="30">
        <v>31.24</v>
      </c>
      <c r="I287" s="30">
        <v>6.5375</v>
      </c>
      <c r="J287" s="30">
        <v>75.8225</v>
      </c>
      <c r="K287" s="32">
        <v>0.289952198852773</v>
      </c>
      <c r="L287" s="30">
        <v>682.4025</v>
      </c>
      <c r="M287" s="30">
        <v>2353.5</v>
      </c>
      <c r="N287" s="32">
        <v>0.119464627151052</v>
      </c>
      <c r="O287" s="44">
        <v>3</v>
      </c>
      <c r="P287" s="44">
        <v>2</v>
      </c>
      <c r="Q287" s="34">
        <v>0.6</v>
      </c>
      <c r="R287" s="34">
        <v>0.199107711918419</v>
      </c>
      <c r="S287" s="38" t="s">
        <v>57</v>
      </c>
    </row>
    <row customHeight="true" ht="23.703703703703702" r="288">
      <c r="A288" s="42">
        <v>46053</v>
      </c>
      <c r="B288" s="28" t="s">
        <v>27</v>
      </c>
      <c r="C288" s="28">
        <v>20</v>
      </c>
      <c r="D288" s="38"/>
      <c r="E288" s="30">
        <v>1131.2</v>
      </c>
      <c r="F288" s="31">
        <v>65.62</v>
      </c>
      <c r="G288" s="30"/>
      <c r="H288" s="30"/>
      <c r="I288" s="30"/>
      <c r="J288" s="30">
        <v>237.62</v>
      </c>
      <c r="K288" s="32">
        <v>0.210060113154173</v>
      </c>
      <c r="L288" s="30">
        <v>1976.7825</v>
      </c>
      <c r="M288" s="30">
        <v>9311.1</v>
      </c>
      <c r="N288" s="32"/>
      <c r="O288" s="44">
        <v>10</v>
      </c>
      <c r="P288" s="44">
        <v>10</v>
      </c>
      <c r="Q288" s="34">
        <v>0.5</v>
      </c>
      <c r="R288" s="34"/>
      <c r="S288" s="38"/>
    </row>
    <row customHeight="true" ht="23.703703703703702" r="289">
      <c r="B289" s="26" t="s">
        <v>54</v>
      </c>
    </row>
    <row customHeight="true" ht="23.703703703703702" r="290">
      <c r="A290" s="20" t="s">
        <v>65</v>
      </c>
      <c r="B290" s="21" t="s">
        <v>28</v>
      </c>
      <c r="C290" s="39" t="s">
        <v>29</v>
      </c>
      <c r="D290" s="21" t="s">
        <v>30</v>
      </c>
      <c r="E290" s="22" t="s">
        <v>31</v>
      </c>
      <c r="F290" s="23" t="s">
        <v>32</v>
      </c>
      <c r="G290" s="22" t="s">
        <v>33</v>
      </c>
      <c r="H290" s="40" t="s">
        <v>34</v>
      </c>
      <c r="I290" s="22" t="s">
        <v>35</v>
      </c>
      <c r="J290" s="22" t="s">
        <v>32</v>
      </c>
      <c r="K290" s="24" t="s">
        <v>36</v>
      </c>
      <c r="L290" s="22" t="s">
        <v>37</v>
      </c>
      <c r="M290" s="22" t="s">
        <v>38</v>
      </c>
      <c r="N290" s="21" t="s">
        <v>39</v>
      </c>
      <c r="O290" s="41" t="s">
        <v>40</v>
      </c>
      <c r="P290" s="25" t="s">
        <v>41</v>
      </c>
      <c r="Q290" s="24" t="s">
        <v>42</v>
      </c>
      <c r="R290" s="24" t="s">
        <v>43</v>
      </c>
      <c r="S290" s="24" t="s">
        <v>56</v>
      </c>
    </row>
    <row customHeight="true" ht="23.703703703703702" r="291">
      <c r="A291" s="42">
        <v>46054</v>
      </c>
      <c r="B291" s="28" t="s">
        <v>46</v>
      </c>
      <c r="C291" s="28">
        <v>8</v>
      </c>
      <c r="D291" s="43">
        <v>55.85</v>
      </c>
      <c r="E291" s="30">
        <v>446.8</v>
      </c>
      <c r="F291" s="29">
        <v>15.78</v>
      </c>
      <c r="G291" s="30">
        <v>64</v>
      </c>
      <c r="H291" s="30">
        <v>45.63</v>
      </c>
      <c r="I291" s="30">
        <v>11.17</v>
      </c>
      <c r="J291" s="30">
        <v>133.44</v>
      </c>
      <c r="K291" s="32">
        <v>0.298657117278424</v>
      </c>
      <c r="L291" s="30">
        <v>1067.52</v>
      </c>
      <c r="M291" s="30">
        <v>3574.4</v>
      </c>
      <c r="N291" s="32">
        <v>0.102126230975828</v>
      </c>
      <c r="O291" s="44">
        <v>5</v>
      </c>
      <c r="P291" s="44">
        <v>3</v>
      </c>
      <c r="Q291" s="34">
        <v>0.625</v>
      </c>
      <c r="R291" s="34">
        <v>0.163401969561325</v>
      </c>
      <c r="S291" s="38" t="s">
        <v>57</v>
      </c>
    </row>
    <row customHeight="true" ht="23.703703703703702" r="292">
      <c r="A292" s="42">
        <v>46054</v>
      </c>
      <c r="B292" s="28" t="s">
        <v>47</v>
      </c>
      <c r="C292" s="28">
        <v>0</v>
      </c>
      <c r="D292" s="43">
        <v>58</v>
      </c>
      <c r="E292" s="30">
        <v>0</v>
      </c>
      <c r="F292" s="29">
        <v>7.38</v>
      </c>
      <c r="G292" s="30">
        <v>0</v>
      </c>
      <c r="H292" s="30">
        <v>14.45</v>
      </c>
      <c r="I292" s="30">
        <v>0</v>
      </c>
      <c r="J292" s="30">
        <v>-14.45</v>
      </c>
      <c r="K292" s="32">
        <v>0</v>
      </c>
      <c r="L292" s="30">
        <v>-115.6</v>
      </c>
      <c r="M292" s="30">
        <v>0</v>
      </c>
      <c r="N292" s="32">
        <v>0</v>
      </c>
      <c r="O292" s="44">
        <v>0</v>
      </c>
      <c r="P292" s="44">
        <v>0</v>
      </c>
      <c r="Q292" s="34">
        <v>0</v>
      </c>
      <c r="R292" s="34">
        <v>0</v>
      </c>
      <c r="S292" s="38" t="s">
        <v>66</v>
      </c>
    </row>
    <row customHeight="true" ht="23.703703703703702" r="293">
      <c r="A293" s="42">
        <v>46054</v>
      </c>
      <c r="B293" s="28" t="s">
        <v>49</v>
      </c>
      <c r="C293" s="28">
        <v>4</v>
      </c>
      <c r="D293" s="43">
        <v>58.8</v>
      </c>
      <c r="E293" s="30">
        <v>235.2</v>
      </c>
      <c r="F293" s="29">
        <v>16.27</v>
      </c>
      <c r="G293" s="30">
        <v>32</v>
      </c>
      <c r="H293" s="30">
        <v>53.02</v>
      </c>
      <c r="I293" s="30">
        <v>5.88</v>
      </c>
      <c r="J293" s="30">
        <v>38.18</v>
      </c>
      <c r="K293" s="32">
        <v>0.162329931972789</v>
      </c>
      <c r="L293" s="30">
        <v>305.44</v>
      </c>
      <c r="M293" s="30">
        <v>1881.6</v>
      </c>
      <c r="N293" s="32">
        <v>0.225425170068027</v>
      </c>
      <c r="O293" s="44">
        <v>1</v>
      </c>
      <c r="P293" s="44">
        <v>3</v>
      </c>
      <c r="Q293" s="34">
        <v>0.25</v>
      </c>
      <c r="R293" s="34">
        <v>0.901700680272109</v>
      </c>
      <c r="S293" s="38" t="s">
        <v>57</v>
      </c>
    </row>
    <row customHeight="true" ht="23.703703703703702" r="294">
      <c r="A294" s="42">
        <v>46054</v>
      </c>
      <c r="B294" s="28" t="s">
        <v>50</v>
      </c>
      <c r="C294" s="28">
        <v>4</v>
      </c>
      <c r="D294" s="43">
        <v>59.35</v>
      </c>
      <c r="E294" s="30">
        <v>237.4</v>
      </c>
      <c r="F294" s="29">
        <v>15.72</v>
      </c>
      <c r="G294" s="30">
        <v>32</v>
      </c>
      <c r="H294" s="30">
        <v>38.26</v>
      </c>
      <c r="I294" s="30">
        <v>5.935</v>
      </c>
      <c r="J294" s="30">
        <v>50.685</v>
      </c>
      <c r="K294" s="32">
        <v>0.213500421229992</v>
      </c>
      <c r="L294" s="30">
        <v>405.48</v>
      </c>
      <c r="M294" s="30">
        <v>1899.2</v>
      </c>
      <c r="N294" s="32">
        <v>0.161162594776748</v>
      </c>
      <c r="O294" s="44">
        <v>0</v>
      </c>
      <c r="P294" s="44">
        <v>4</v>
      </c>
      <c r="Q294" s="34">
        <v>0</v>
      </c>
      <c r="R294" s="34">
        <v>0</v>
      </c>
      <c r="S294" s="38" t="s">
        <v>57</v>
      </c>
    </row>
    <row customHeight="true" ht="23.703703703703702" r="295">
      <c r="A295" s="42">
        <v>46054</v>
      </c>
      <c r="B295" s="28" t="s">
        <v>52</v>
      </c>
      <c r="C295" s="28">
        <v>1</v>
      </c>
      <c r="D295" s="43">
        <v>52.3</v>
      </c>
      <c r="E295" s="30">
        <v>52.3</v>
      </c>
      <c r="F295" s="29">
        <v>14.72</v>
      </c>
      <c r="G295" s="30">
        <v>8</v>
      </c>
      <c r="H295" s="30">
        <v>25.01</v>
      </c>
      <c r="I295" s="30">
        <v>1.3075</v>
      </c>
      <c r="J295" s="30">
        <v>-3.5975</v>
      </c>
      <c r="K295" s="32">
        <v>-0.0687858508604207</v>
      </c>
      <c r="L295" s="30">
        <v>-32.3775</v>
      </c>
      <c r="M295" s="30">
        <v>470.7</v>
      </c>
      <c r="N295" s="32">
        <v>0.478202676864245</v>
      </c>
      <c r="O295" s="44">
        <v>1</v>
      </c>
      <c r="P295" s="44">
        <v>0</v>
      </c>
      <c r="Q295" s="34">
        <v>1</v>
      </c>
      <c r="R295" s="34">
        <v>0.478202676864245</v>
      </c>
      <c r="S295" s="38" t="s">
        <v>57</v>
      </c>
    </row>
    <row customHeight="true" ht="23.703703703703702" r="296">
      <c r="A296" s="42">
        <v>46054</v>
      </c>
      <c r="B296" s="28" t="s">
        <v>27</v>
      </c>
      <c r="C296" s="28">
        <v>17</v>
      </c>
      <c r="D296" s="38"/>
      <c r="E296" s="30">
        <v>971.7</v>
      </c>
      <c r="F296" s="31">
        <v>69.87</v>
      </c>
      <c r="G296" s="30"/>
      <c r="H296" s="30"/>
      <c r="I296" s="30"/>
      <c r="J296" s="30">
        <v>204.2575</v>
      </c>
      <c r="K296" s="32">
        <v>0.210206339405166</v>
      </c>
      <c r="L296" s="30">
        <v>1630.4625</v>
      </c>
      <c r="M296" s="30">
        <v>7825.9</v>
      </c>
      <c r="N296" s="32"/>
      <c r="O296" s="44">
        <v>7</v>
      </c>
      <c r="P296" s="44">
        <v>10</v>
      </c>
      <c r="Q296" s="34">
        <v>0.411764705882353</v>
      </c>
      <c r="R296" s="34"/>
      <c r="S296" s="38"/>
    </row>
    <row customHeight="true" ht="23.703703703703702" r="297">
      <c r="B297" s="26" t="s">
        <v>54</v>
      </c>
    </row>
    <row customHeight="true" ht="23.703703703703702" r="298">
      <c r="A298" s="20" t="s">
        <v>65</v>
      </c>
      <c r="B298" s="21" t="s">
        <v>28</v>
      </c>
      <c r="C298" s="39" t="s">
        <v>29</v>
      </c>
      <c r="D298" s="21" t="s">
        <v>30</v>
      </c>
      <c r="E298" s="22" t="s">
        <v>31</v>
      </c>
      <c r="F298" s="23" t="s">
        <v>32</v>
      </c>
      <c r="G298" s="22" t="s">
        <v>33</v>
      </c>
      <c r="H298" s="40" t="s">
        <v>34</v>
      </c>
      <c r="I298" s="22" t="s">
        <v>35</v>
      </c>
      <c r="J298" s="22" t="s">
        <v>32</v>
      </c>
      <c r="K298" s="24" t="s">
        <v>36</v>
      </c>
      <c r="L298" s="22" t="s">
        <v>37</v>
      </c>
      <c r="M298" s="22" t="s">
        <v>38</v>
      </c>
      <c r="N298" s="21" t="s">
        <v>39</v>
      </c>
      <c r="O298" s="41" t="s">
        <v>40</v>
      </c>
      <c r="P298" s="25" t="s">
        <v>41</v>
      </c>
      <c r="Q298" s="24" t="s">
        <v>42</v>
      </c>
      <c r="R298" s="24" t="s">
        <v>43</v>
      </c>
      <c r="S298" s="24" t="s">
        <v>56</v>
      </c>
    </row>
    <row customHeight="true" ht="23.703703703703702" r="299">
      <c r="A299" s="42">
        <v>46055</v>
      </c>
      <c r="B299" s="28" t="s">
        <v>46</v>
      </c>
      <c r="C299" s="28">
        <v>11</v>
      </c>
      <c r="D299" s="43">
        <v>55.85</v>
      </c>
      <c r="E299" s="30">
        <v>614.35</v>
      </c>
      <c r="F299" s="29">
        <v>5.69</v>
      </c>
      <c r="G299" s="30">
        <v>88</v>
      </c>
      <c r="H299" s="30">
        <v>53.55</v>
      </c>
      <c r="I299" s="30">
        <v>15.35875</v>
      </c>
      <c r="J299" s="30">
        <v>81.68125</v>
      </c>
      <c r="K299" s="32">
        <v>0.132955562789941</v>
      </c>
      <c r="L299" s="30">
        <v>653.45</v>
      </c>
      <c r="M299" s="30">
        <v>4914.8</v>
      </c>
      <c r="N299" s="32">
        <v>0.0871652966550012</v>
      </c>
      <c r="O299" s="44">
        <v>4</v>
      </c>
      <c r="P299" s="44">
        <v>7</v>
      </c>
      <c r="Q299" s="34">
        <v>0.363636363636364</v>
      </c>
      <c r="R299" s="34">
        <v>0.239704565801253</v>
      </c>
      <c r="S299" s="45" t="s">
        <v>61</v>
      </c>
    </row>
    <row customHeight="true" ht="23.703703703703702" r="300">
      <c r="A300" s="42">
        <v>46055</v>
      </c>
      <c r="B300" s="28" t="s">
        <v>47</v>
      </c>
      <c r="C300" s="28">
        <v>2</v>
      </c>
      <c r="D300" s="43">
        <v>58</v>
      </c>
      <c r="E300" s="30">
        <v>116</v>
      </c>
      <c r="F300" s="29">
        <v>7.38</v>
      </c>
      <c r="G300" s="30">
        <v>16</v>
      </c>
      <c r="H300" s="30">
        <v>12.91</v>
      </c>
      <c r="I300" s="30">
        <v>2.9</v>
      </c>
      <c r="J300" s="30">
        <v>14.95</v>
      </c>
      <c r="K300" s="32">
        <v>0.128879310344828</v>
      </c>
      <c r="L300" s="30">
        <v>119.6</v>
      </c>
      <c r="M300" s="30">
        <v>928</v>
      </c>
      <c r="N300" s="32">
        <v>0.111293103448276</v>
      </c>
      <c r="O300" s="44">
        <v>1</v>
      </c>
      <c r="P300" s="44">
        <v>1</v>
      </c>
      <c r="Q300" s="34">
        <v>0.5</v>
      </c>
      <c r="R300" s="34">
        <v>0.222586206896552</v>
      </c>
      <c r="S300" s="38" t="s">
        <v>66</v>
      </c>
    </row>
    <row customHeight="true" ht="23.703703703703702" r="301">
      <c r="A301" s="42">
        <v>46055</v>
      </c>
      <c r="B301" s="28" t="s">
        <v>49</v>
      </c>
      <c r="C301" s="28">
        <v>10</v>
      </c>
      <c r="D301" s="43">
        <v>58.8</v>
      </c>
      <c r="E301" s="30">
        <v>588</v>
      </c>
      <c r="F301" s="29">
        <v>16.27</v>
      </c>
      <c r="G301" s="30">
        <v>80</v>
      </c>
      <c r="H301" s="30">
        <v>45.25</v>
      </c>
      <c r="I301" s="30">
        <v>14.7</v>
      </c>
      <c r="J301" s="30">
        <v>182.75</v>
      </c>
      <c r="K301" s="32">
        <v>0.310799319727891</v>
      </c>
      <c r="L301" s="30">
        <v>1462</v>
      </c>
      <c r="M301" s="30">
        <v>4704</v>
      </c>
      <c r="N301" s="32">
        <v>0.0769557823129252</v>
      </c>
      <c r="O301" s="44">
        <v>1</v>
      </c>
      <c r="P301" s="44">
        <v>9</v>
      </c>
      <c r="Q301" s="34">
        <v>0.1</v>
      </c>
      <c r="R301" s="34">
        <v>0.769557823129252</v>
      </c>
      <c r="S301" s="38" t="s">
        <v>57</v>
      </c>
    </row>
    <row customHeight="true" ht="23.703703703703702" r="302">
      <c r="A302" s="42">
        <v>46055</v>
      </c>
      <c r="B302" s="28" t="s">
        <v>50</v>
      </c>
      <c r="C302" s="28">
        <v>7</v>
      </c>
      <c r="D302" s="43">
        <v>59.35</v>
      </c>
      <c r="E302" s="30">
        <v>415.45</v>
      </c>
      <c r="F302" s="29">
        <v>2.2</v>
      </c>
      <c r="G302" s="30">
        <v>56</v>
      </c>
      <c r="H302" s="30">
        <v>32.03</v>
      </c>
      <c r="I302" s="30">
        <v>10.38625</v>
      </c>
      <c r="J302" s="30">
        <v>28.98375</v>
      </c>
      <c r="K302" s="32">
        <v>0.0697647129618486</v>
      </c>
      <c r="L302" s="30">
        <v>231.87</v>
      </c>
      <c r="M302" s="30">
        <v>3323.6</v>
      </c>
      <c r="N302" s="32">
        <v>0.0770971236009147</v>
      </c>
      <c r="O302" s="44">
        <v>0</v>
      </c>
      <c r="P302" s="44">
        <v>7</v>
      </c>
      <c r="Q302" s="34">
        <v>0</v>
      </c>
      <c r="R302" s="34">
        <v>0</v>
      </c>
      <c r="S302" s="38" t="s">
        <v>68</v>
      </c>
    </row>
    <row customHeight="true" ht="23.703703703703702" r="303">
      <c r="A303" s="42">
        <v>46055</v>
      </c>
      <c r="B303" s="28" t="s">
        <v>52</v>
      </c>
      <c r="C303" s="28">
        <v>1</v>
      </c>
      <c r="D303" s="43">
        <v>52.3</v>
      </c>
      <c r="E303" s="30">
        <v>52.3</v>
      </c>
      <c r="F303" s="29">
        <v>10.92</v>
      </c>
      <c r="G303" s="30">
        <v>8</v>
      </c>
      <c r="H303" s="30">
        <v>13.91</v>
      </c>
      <c r="I303" s="30">
        <v>1.3075</v>
      </c>
      <c r="J303" s="30">
        <v>3.7025</v>
      </c>
      <c r="K303" s="32">
        <v>0.0707934990439771</v>
      </c>
      <c r="L303" s="30">
        <v>33.3225</v>
      </c>
      <c r="M303" s="30">
        <v>470.7</v>
      </c>
      <c r="N303" s="32">
        <v>0.265965583173996</v>
      </c>
      <c r="O303" s="44">
        <v>0</v>
      </c>
      <c r="P303" s="44">
        <v>1</v>
      </c>
      <c r="Q303" s="34">
        <v>0</v>
      </c>
      <c r="R303" s="34">
        <v>0</v>
      </c>
      <c r="S303" s="38" t="s">
        <v>67</v>
      </c>
    </row>
    <row customHeight="true" ht="23.703703703703702" r="304">
      <c r="A304" s="42">
        <v>46055</v>
      </c>
      <c r="B304" s="28" t="s">
        <v>27</v>
      </c>
      <c r="C304" s="28">
        <v>31</v>
      </c>
      <c r="D304" s="38"/>
      <c r="E304" s="30">
        <v>1786.1</v>
      </c>
      <c r="F304" s="31">
        <v>42.46</v>
      </c>
      <c r="G304" s="30"/>
      <c r="H304" s="30"/>
      <c r="I304" s="30"/>
      <c r="J304" s="30">
        <v>312.0675</v>
      </c>
      <c r="K304" s="32">
        <v>0.174720060466939</v>
      </c>
      <c r="L304" s="30">
        <v>2500.2425</v>
      </c>
      <c r="M304" s="30">
        <v>14341.1</v>
      </c>
      <c r="N304" s="32"/>
      <c r="O304" s="44">
        <v>6</v>
      </c>
      <c r="P304" s="44">
        <v>25</v>
      </c>
      <c r="Q304" s="34">
        <v>0.193548387096774</v>
      </c>
      <c r="R304" s="34"/>
      <c r="S304" s="38"/>
    </row>
    <row customHeight="true" ht="23.703703703703702" r="305">
      <c r="B305" s="26" t="s">
        <v>54</v>
      </c>
    </row>
    <row customHeight="true" ht="23.703703703703702" r="306">
      <c r="A306" s="20" t="s">
        <v>65</v>
      </c>
      <c r="B306" s="21" t="s">
        <v>28</v>
      </c>
      <c r="C306" s="39" t="s">
        <v>29</v>
      </c>
      <c r="D306" s="21" t="s">
        <v>30</v>
      </c>
      <c r="E306" s="22" t="s">
        <v>31</v>
      </c>
      <c r="F306" s="23" t="s">
        <v>32</v>
      </c>
      <c r="G306" s="22" t="s">
        <v>33</v>
      </c>
      <c r="H306" s="40" t="s">
        <v>34</v>
      </c>
      <c r="I306" s="22" t="s">
        <v>35</v>
      </c>
      <c r="J306" s="22" t="s">
        <v>32</v>
      </c>
      <c r="K306" s="24" t="s">
        <v>36</v>
      </c>
      <c r="L306" s="22" t="s">
        <v>37</v>
      </c>
      <c r="M306" s="22" t="s">
        <v>38</v>
      </c>
      <c r="N306" s="21" t="s">
        <v>39</v>
      </c>
      <c r="O306" s="41" t="s">
        <v>40</v>
      </c>
      <c r="P306" s="25" t="s">
        <v>41</v>
      </c>
      <c r="Q306" s="24" t="s">
        <v>42</v>
      </c>
      <c r="R306" s="24" t="s">
        <v>43</v>
      </c>
      <c r="S306" s="24" t="s">
        <v>56</v>
      </c>
    </row>
    <row customHeight="true" ht="23.703703703703702" r="307">
      <c r="A307" s="42">
        <v>46056</v>
      </c>
      <c r="B307" s="28" t="s">
        <v>46</v>
      </c>
      <c r="C307" s="28">
        <v>14</v>
      </c>
      <c r="D307" s="43">
        <v>55.85</v>
      </c>
      <c r="E307" s="30">
        <v>781.9</v>
      </c>
      <c r="F307" s="29">
        <v>5.69</v>
      </c>
      <c r="G307" s="30">
        <v>112</v>
      </c>
      <c r="H307" s="30">
        <v>76.13</v>
      </c>
      <c r="I307" s="30">
        <v>19.5475</v>
      </c>
      <c r="J307" s="30">
        <v>95.9825</v>
      </c>
      <c r="K307" s="32">
        <v>0.122755467451081</v>
      </c>
      <c r="L307" s="30">
        <v>767.86</v>
      </c>
      <c r="M307" s="30">
        <v>6255.2</v>
      </c>
      <c r="N307" s="32">
        <v>0.0973653919938611</v>
      </c>
      <c r="O307" s="44">
        <v>8</v>
      </c>
      <c r="P307" s="44">
        <v>6</v>
      </c>
      <c r="Q307" s="34">
        <v>0.571428571428571</v>
      </c>
      <c r="R307" s="34">
        <v>0.170389435989257</v>
      </c>
      <c r="S307" s="45" t="s">
        <v>61</v>
      </c>
    </row>
    <row customHeight="true" ht="23.703703703703702" r="308">
      <c r="A308" s="42">
        <v>46056</v>
      </c>
      <c r="B308" s="28" t="s">
        <v>47</v>
      </c>
      <c r="C308" s="28">
        <v>1</v>
      </c>
      <c r="D308" s="43">
        <v>58</v>
      </c>
      <c r="E308" s="30">
        <v>58</v>
      </c>
      <c r="F308" s="29">
        <v>7.38</v>
      </c>
      <c r="G308" s="30">
        <v>8</v>
      </c>
      <c r="H308" s="30">
        <v>6.83</v>
      </c>
      <c r="I308" s="30">
        <v>1.45</v>
      </c>
      <c r="J308" s="30">
        <v>7.1</v>
      </c>
      <c r="K308" s="32">
        <v>0.122413793103448</v>
      </c>
      <c r="L308" s="30">
        <v>56.8</v>
      </c>
      <c r="M308" s="30">
        <v>464</v>
      </c>
      <c r="N308" s="32">
        <v>0.117758620689655</v>
      </c>
      <c r="O308" s="44">
        <v>1</v>
      </c>
      <c r="P308" s="44">
        <v>0</v>
      </c>
      <c r="Q308" s="34">
        <v>1</v>
      </c>
      <c r="R308" s="34">
        <v>0.117758620689655</v>
      </c>
      <c r="S308" s="38" t="s">
        <v>66</v>
      </c>
    </row>
    <row customHeight="true" ht="23.703703703703702" r="309">
      <c r="A309" s="42">
        <v>46056</v>
      </c>
      <c r="B309" s="28" t="s">
        <v>49</v>
      </c>
      <c r="C309" s="28">
        <v>6</v>
      </c>
      <c r="D309" s="43">
        <v>58.8</v>
      </c>
      <c r="E309" s="30">
        <v>352.8</v>
      </c>
      <c r="F309" s="29">
        <v>16.27</v>
      </c>
      <c r="G309" s="30">
        <v>48</v>
      </c>
      <c r="H309" s="30">
        <v>69.11</v>
      </c>
      <c r="I309" s="30">
        <v>8.82</v>
      </c>
      <c r="J309" s="30">
        <v>67.69</v>
      </c>
      <c r="K309" s="32">
        <v>0.191865079365079</v>
      </c>
      <c r="L309" s="30">
        <v>541.52</v>
      </c>
      <c r="M309" s="30">
        <v>2822.4</v>
      </c>
      <c r="N309" s="32">
        <v>0.195890022675737</v>
      </c>
      <c r="O309" s="44">
        <v>2</v>
      </c>
      <c r="P309" s="44">
        <v>4</v>
      </c>
      <c r="Q309" s="34">
        <v>0.333333333333333</v>
      </c>
      <c r="R309" s="34">
        <v>0.587670068027212</v>
      </c>
      <c r="S309" s="38" t="s">
        <v>57</v>
      </c>
    </row>
    <row customHeight="true" ht="23.703703703703702" r="310">
      <c r="A310" s="42">
        <v>46056</v>
      </c>
      <c r="B310" s="28" t="s">
        <v>50</v>
      </c>
      <c r="C310" s="28">
        <v>9</v>
      </c>
      <c r="D310" s="43">
        <v>59.35</v>
      </c>
      <c r="E310" s="30">
        <v>534.15</v>
      </c>
      <c r="F310" s="29">
        <v>2.2</v>
      </c>
      <c r="G310" s="30">
        <v>72</v>
      </c>
      <c r="H310" s="30">
        <v>27.44</v>
      </c>
      <c r="I310" s="30">
        <v>13.35375</v>
      </c>
      <c r="J310" s="30">
        <v>51.00625</v>
      </c>
      <c r="K310" s="32">
        <v>0.0954904989235234</v>
      </c>
      <c r="L310" s="30">
        <v>408.05</v>
      </c>
      <c r="M310" s="30">
        <v>4273.2</v>
      </c>
      <c r="N310" s="32">
        <v>0.0513713376392399</v>
      </c>
      <c r="O310" s="44">
        <v>3</v>
      </c>
      <c r="P310" s="44">
        <v>6</v>
      </c>
      <c r="Q310" s="34">
        <v>0.333333333333333</v>
      </c>
      <c r="R310" s="34">
        <v>0.15411401291772</v>
      </c>
      <c r="S310" s="38" t="s">
        <v>68</v>
      </c>
    </row>
    <row customHeight="true" ht="23.703703703703702" r="311">
      <c r="A311" s="42">
        <v>46056</v>
      </c>
      <c r="B311" s="28" t="s">
        <v>52</v>
      </c>
      <c r="C311" s="28">
        <v>1</v>
      </c>
      <c r="D311" s="43">
        <v>52.3</v>
      </c>
      <c r="E311" s="30">
        <v>52.3</v>
      </c>
      <c r="F311" s="29">
        <v>10.92</v>
      </c>
      <c r="G311" s="30">
        <v>8</v>
      </c>
      <c r="H311" s="30">
        <v>9.8</v>
      </c>
      <c r="I311" s="30">
        <v>1.3075</v>
      </c>
      <c r="J311" s="30">
        <v>7.8125</v>
      </c>
      <c r="K311" s="32">
        <v>0.149378585086042</v>
      </c>
      <c r="L311" s="30">
        <v>70.3125</v>
      </c>
      <c r="M311" s="30">
        <v>470.7</v>
      </c>
      <c r="N311" s="32">
        <v>0.187380497131931</v>
      </c>
      <c r="O311" s="44">
        <v>0</v>
      </c>
      <c r="P311" s="44">
        <v>1</v>
      </c>
      <c r="Q311" s="34">
        <v>0</v>
      </c>
      <c r="R311" s="34">
        <v>0</v>
      </c>
      <c r="S311" s="38" t="s">
        <v>67</v>
      </c>
    </row>
    <row customHeight="true" ht="23.703703703703702" r="312">
      <c r="A312" s="42">
        <v>46056</v>
      </c>
      <c r="B312" s="28" t="s">
        <v>27</v>
      </c>
      <c r="C312" s="28">
        <v>31</v>
      </c>
      <c r="D312" s="38"/>
      <c r="E312" s="30">
        <v>1779.15</v>
      </c>
      <c r="F312" s="31">
        <v>42.46</v>
      </c>
      <c r="G312" s="30"/>
      <c r="H312" s="30"/>
      <c r="I312" s="30"/>
      <c r="J312" s="30">
        <v>229.59125</v>
      </c>
      <c r="K312" s="32">
        <v>0.129045471151955</v>
      </c>
      <c r="L312" s="30">
        <v>1844.5425</v>
      </c>
      <c r="M312" s="30">
        <v>14285.5</v>
      </c>
      <c r="N312" s="32"/>
      <c r="O312" s="44">
        <v>14</v>
      </c>
      <c r="P312" s="44">
        <v>17</v>
      </c>
      <c r="Q312" s="34">
        <v>0.451612903225806</v>
      </c>
      <c r="R312" s="34"/>
      <c r="S312" s="38"/>
    </row>
    <row customHeight="true" ht="23.703703703703702" r="313">
      <c r="B313" s="26" t="s">
        <v>54</v>
      </c>
    </row>
    <row customHeight="true" ht="23.703703703703702" r="314">
      <c r="A314" s="20" t="s">
        <v>65</v>
      </c>
      <c r="B314" s="21" t="s">
        <v>28</v>
      </c>
      <c r="C314" s="39" t="s">
        <v>29</v>
      </c>
      <c r="D314" s="21" t="s">
        <v>30</v>
      </c>
      <c r="E314" s="22" t="s">
        <v>31</v>
      </c>
      <c r="F314" s="23" t="s">
        <v>32</v>
      </c>
      <c r="G314" s="22" t="s">
        <v>33</v>
      </c>
      <c r="H314" s="40" t="s">
        <v>34</v>
      </c>
      <c r="I314" s="22" t="s">
        <v>35</v>
      </c>
      <c r="J314" s="22" t="s">
        <v>32</v>
      </c>
      <c r="K314" s="24" t="s">
        <v>36</v>
      </c>
      <c r="L314" s="22" t="s">
        <v>37</v>
      </c>
      <c r="M314" s="22" t="s">
        <v>38</v>
      </c>
      <c r="N314" s="21" t="s">
        <v>39</v>
      </c>
      <c r="O314" s="41" t="s">
        <v>40</v>
      </c>
      <c r="P314" s="25" t="s">
        <v>41</v>
      </c>
      <c r="Q314" s="24" t="s">
        <v>42</v>
      </c>
      <c r="R314" s="24" t="s">
        <v>43</v>
      </c>
      <c r="S314" s="24" t="s">
        <v>56</v>
      </c>
    </row>
    <row customHeight="true" ht="23.703703703703702" r="315">
      <c r="A315" s="42">
        <v>46057</v>
      </c>
      <c r="B315" s="28" t="s">
        <v>46</v>
      </c>
      <c r="C315" s="28">
        <v>15</v>
      </c>
      <c r="D315" s="43">
        <v>55.85</v>
      </c>
      <c r="E315" s="30">
        <v>837.75</v>
      </c>
      <c r="F315" s="29">
        <v>5.69</v>
      </c>
      <c r="G315" s="30">
        <v>120</v>
      </c>
      <c r="H315" s="30">
        <v>57.29</v>
      </c>
      <c r="I315" s="30">
        <v>20.94375</v>
      </c>
      <c r="J315" s="30">
        <v>127.11625</v>
      </c>
      <c r="K315" s="32">
        <v>0.151735302894658</v>
      </c>
      <c r="L315" s="30">
        <v>1016.93</v>
      </c>
      <c r="M315" s="30">
        <v>6702</v>
      </c>
      <c r="N315" s="32">
        <v>0.0683855565502835</v>
      </c>
      <c r="O315" s="44">
        <v>5</v>
      </c>
      <c r="P315" s="44">
        <v>10</v>
      </c>
      <c r="Q315" s="34">
        <v>0.333333333333333</v>
      </c>
      <c r="R315" s="34">
        <v>0.205156669650851</v>
      </c>
      <c r="S315" s="45" t="s">
        <v>61</v>
      </c>
    </row>
    <row customHeight="true" ht="23.703703703703702" r="316">
      <c r="A316" s="42">
        <v>46057</v>
      </c>
      <c r="B316" s="28" t="s">
        <v>47</v>
      </c>
      <c r="C316" s="28">
        <v>0</v>
      </c>
      <c r="D316" s="43">
        <v>58</v>
      </c>
      <c r="E316" s="30">
        <v>0</v>
      </c>
      <c r="F316" s="29">
        <v>15.88</v>
      </c>
      <c r="G316" s="30">
        <v>0</v>
      </c>
      <c r="H316" s="30">
        <v>7.91</v>
      </c>
      <c r="I316" s="30">
        <v>0</v>
      </c>
      <c r="J316" s="30">
        <v>-7.91</v>
      </c>
      <c r="K316" s="32">
        <v>0</v>
      </c>
      <c r="L316" s="30">
        <v>-63.28</v>
      </c>
      <c r="M316" s="30">
        <v>0</v>
      </c>
      <c r="N316" s="32">
        <v>0</v>
      </c>
      <c r="O316" s="44">
        <v>0</v>
      </c>
      <c r="P316" s="44">
        <v>0</v>
      </c>
      <c r="Q316" s="34">
        <v>0</v>
      </c>
      <c r="R316" s="34">
        <v>0</v>
      </c>
      <c r="S316" s="38" t="s">
        <v>57</v>
      </c>
    </row>
    <row customHeight="true" ht="23.703703703703702" r="317">
      <c r="A317" s="42">
        <v>46057</v>
      </c>
      <c r="B317" s="28" t="s">
        <v>49</v>
      </c>
      <c r="C317" s="28">
        <v>8</v>
      </c>
      <c r="D317" s="43">
        <v>58.8</v>
      </c>
      <c r="E317" s="30">
        <v>470.4</v>
      </c>
      <c r="F317" s="29">
        <v>16.27</v>
      </c>
      <c r="G317" s="30">
        <v>64</v>
      </c>
      <c r="H317" s="30">
        <v>84.66</v>
      </c>
      <c r="I317" s="30">
        <v>11.76</v>
      </c>
      <c r="J317" s="30">
        <v>97.74</v>
      </c>
      <c r="K317" s="32">
        <v>0.207780612244898</v>
      </c>
      <c r="L317" s="30">
        <v>781.92</v>
      </c>
      <c r="M317" s="30">
        <v>3763.2</v>
      </c>
      <c r="N317" s="32">
        <v>0.179974489795918</v>
      </c>
      <c r="O317" s="44">
        <v>5</v>
      </c>
      <c r="P317" s="44">
        <v>3</v>
      </c>
      <c r="Q317" s="34">
        <v>0.625</v>
      </c>
      <c r="R317" s="34">
        <v>0.287959183673469</v>
      </c>
      <c r="S317" s="38" t="s">
        <v>57</v>
      </c>
    </row>
    <row customHeight="true" ht="23.703703703703702" r="318">
      <c r="A318" s="42">
        <v>46057</v>
      </c>
      <c r="B318" s="28" t="s">
        <v>50</v>
      </c>
      <c r="C318" s="28">
        <v>13</v>
      </c>
      <c r="D318" s="43">
        <v>59.35</v>
      </c>
      <c r="E318" s="30">
        <v>771.55</v>
      </c>
      <c r="F318" s="29">
        <v>2.2</v>
      </c>
      <c r="G318" s="30">
        <v>104</v>
      </c>
      <c r="H318" s="30">
        <v>22.71</v>
      </c>
      <c r="I318" s="30">
        <v>19.28875</v>
      </c>
      <c r="J318" s="30">
        <v>90.60125</v>
      </c>
      <c r="K318" s="32">
        <v>0.117427580843756</v>
      </c>
      <c r="L318" s="30">
        <v>724.81</v>
      </c>
      <c r="M318" s="30">
        <v>6172.4</v>
      </c>
      <c r="N318" s="32">
        <v>0.0294342557190072</v>
      </c>
      <c r="O318" s="44">
        <v>3</v>
      </c>
      <c r="P318" s="44">
        <v>10</v>
      </c>
      <c r="Q318" s="34">
        <v>0.230769230769231</v>
      </c>
      <c r="R318" s="34">
        <v>0.127548441449031</v>
      </c>
      <c r="S318" s="38" t="s">
        <v>68</v>
      </c>
    </row>
    <row customHeight="true" ht="23.703703703703702" r="319">
      <c r="A319" s="42">
        <v>46057</v>
      </c>
      <c r="B319" s="28" t="s">
        <v>52</v>
      </c>
      <c r="C319" s="28">
        <v>1</v>
      </c>
      <c r="D319" s="43">
        <v>52.3</v>
      </c>
      <c r="E319" s="30">
        <v>52.3</v>
      </c>
      <c r="F319" s="29">
        <v>14.72</v>
      </c>
      <c r="G319" s="30">
        <v>8</v>
      </c>
      <c r="H319" s="30">
        <v>19.27</v>
      </c>
      <c r="I319" s="30">
        <v>1.3075</v>
      </c>
      <c r="J319" s="30">
        <v>2.1425</v>
      </c>
      <c r="K319" s="32">
        <v>0.0409655831739962</v>
      </c>
      <c r="L319" s="30">
        <v>19.2825</v>
      </c>
      <c r="M319" s="30">
        <v>470.7</v>
      </c>
      <c r="N319" s="32">
        <v>0.368451242829828</v>
      </c>
      <c r="O319" s="44">
        <v>0</v>
      </c>
      <c r="P319" s="44">
        <v>1</v>
      </c>
      <c r="Q319" s="34">
        <v>0</v>
      </c>
      <c r="R319" s="34">
        <v>0</v>
      </c>
      <c r="S319" s="38" t="s">
        <v>57</v>
      </c>
    </row>
    <row customHeight="true" ht="23.703703703703702" r="320">
      <c r="A320" s="42">
        <v>46057</v>
      </c>
      <c r="B320" s="28" t="s">
        <v>27</v>
      </c>
      <c r="C320" s="28">
        <v>37</v>
      </c>
      <c r="D320" s="38"/>
      <c r="E320" s="30">
        <v>2132</v>
      </c>
      <c r="F320" s="31">
        <v>54.76</v>
      </c>
      <c r="G320" s="30"/>
      <c r="H320" s="30"/>
      <c r="I320" s="30"/>
      <c r="J320" s="30">
        <v>309.69</v>
      </c>
      <c r="K320" s="32">
        <v>0.145257973733583</v>
      </c>
      <c r="L320" s="30">
        <v>2479.6625</v>
      </c>
      <c r="M320" s="30">
        <v>17108.3</v>
      </c>
      <c r="N320" s="32"/>
      <c r="O320" s="44">
        <v>13</v>
      </c>
      <c r="P320" s="44">
        <v>24</v>
      </c>
      <c r="Q320" s="34">
        <v>0.351351351351351</v>
      </c>
      <c r="R320" s="34"/>
      <c r="S320" s="38"/>
    </row>
    <row customHeight="true" ht="23.703703703703702" r="321">
      <c r="B321" s="26" t="s">
        <v>54</v>
      </c>
    </row>
    <row customHeight="true" ht="23.703703703703702" r="322">
      <c r="A322" s="20" t="s">
        <v>65</v>
      </c>
      <c r="B322" s="21" t="s">
        <v>28</v>
      </c>
      <c r="C322" s="39" t="s">
        <v>29</v>
      </c>
      <c r="D322" s="21" t="s">
        <v>30</v>
      </c>
      <c r="E322" s="22" t="s">
        <v>31</v>
      </c>
      <c r="F322" s="23" t="s">
        <v>32</v>
      </c>
      <c r="G322" s="22" t="s">
        <v>33</v>
      </c>
      <c r="H322" s="40" t="s">
        <v>34</v>
      </c>
      <c r="I322" s="22" t="s">
        <v>35</v>
      </c>
      <c r="J322" s="22" t="s">
        <v>32</v>
      </c>
      <c r="K322" s="24" t="s">
        <v>36</v>
      </c>
      <c r="L322" s="22" t="s">
        <v>37</v>
      </c>
      <c r="M322" s="22" t="s">
        <v>38</v>
      </c>
      <c r="N322" s="21" t="s">
        <v>39</v>
      </c>
      <c r="O322" s="41" t="s">
        <v>40</v>
      </c>
      <c r="P322" s="25" t="s">
        <v>41</v>
      </c>
      <c r="Q322" s="24" t="s">
        <v>42</v>
      </c>
      <c r="R322" s="24" t="s">
        <v>43</v>
      </c>
      <c r="S322" s="24" t="s">
        <v>56</v>
      </c>
    </row>
    <row customHeight="true" ht="23.703703703703702" r="323">
      <c r="A323" s="42">
        <v>46058</v>
      </c>
      <c r="B323" s="28" t="s">
        <v>46</v>
      </c>
      <c r="C323" s="28">
        <v>7</v>
      </c>
      <c r="D323" s="43">
        <v>55.85</v>
      </c>
      <c r="E323" s="30">
        <v>390.95</v>
      </c>
      <c r="F323" s="29">
        <v>5.69</v>
      </c>
      <c r="G323" s="30">
        <v>56</v>
      </c>
      <c r="H323" s="30">
        <v>63.28</v>
      </c>
      <c r="I323" s="30">
        <v>9.77375</v>
      </c>
      <c r="J323" s="30">
        <v>22.77625</v>
      </c>
      <c r="K323" s="32">
        <v>0.0582587287376903</v>
      </c>
      <c r="L323" s="30">
        <v>182.21</v>
      </c>
      <c r="M323" s="30">
        <v>3127.6</v>
      </c>
      <c r="N323" s="32">
        <v>0.161862130707252</v>
      </c>
      <c r="O323" s="44">
        <v>4</v>
      </c>
      <c r="P323" s="44">
        <v>3</v>
      </c>
      <c r="Q323" s="34">
        <v>0.571428571428571</v>
      </c>
      <c r="R323" s="34">
        <v>0.28325872873769</v>
      </c>
      <c r="S323" s="45" t="s">
        <v>61</v>
      </c>
    </row>
    <row customHeight="true" ht="23.703703703703702" r="324">
      <c r="A324" s="42">
        <v>46058</v>
      </c>
      <c r="B324" s="28" t="s">
        <v>47</v>
      </c>
      <c r="C324" s="28">
        <v>1</v>
      </c>
      <c r="D324" s="43">
        <v>58</v>
      </c>
      <c r="E324" s="30">
        <v>58</v>
      </c>
      <c r="F324" s="29">
        <v>15.88</v>
      </c>
      <c r="G324" s="30">
        <v>8</v>
      </c>
      <c r="H324" s="30">
        <v>6.16</v>
      </c>
      <c r="I324" s="30">
        <v>1.45</v>
      </c>
      <c r="J324" s="30">
        <v>16.27</v>
      </c>
      <c r="K324" s="32">
        <v>0.28051724137931</v>
      </c>
      <c r="L324" s="30">
        <v>130.16</v>
      </c>
      <c r="M324" s="30">
        <v>464</v>
      </c>
      <c r="N324" s="32">
        <v>0.106206896551724</v>
      </c>
      <c r="O324" s="44">
        <v>0</v>
      </c>
      <c r="P324" s="44">
        <v>1</v>
      </c>
      <c r="Q324" s="34">
        <v>0</v>
      </c>
      <c r="R324" s="34">
        <v>0</v>
      </c>
      <c r="S324" s="38" t="s">
        <v>57</v>
      </c>
    </row>
    <row customHeight="true" ht="23.703703703703702" r="325">
      <c r="A325" s="42">
        <v>46058</v>
      </c>
      <c r="B325" s="28" t="s">
        <v>49</v>
      </c>
      <c r="C325" s="28">
        <v>4</v>
      </c>
      <c r="D325" s="43">
        <v>58.8</v>
      </c>
      <c r="E325" s="30">
        <v>235.2</v>
      </c>
      <c r="F325" s="29">
        <v>16.27</v>
      </c>
      <c r="G325" s="30">
        <v>32</v>
      </c>
      <c r="H325" s="30">
        <v>81.17</v>
      </c>
      <c r="I325" s="30">
        <v>5.88</v>
      </c>
      <c r="J325" s="30">
        <v>10.03</v>
      </c>
      <c r="K325" s="32">
        <v>0.0426445578231292</v>
      </c>
      <c r="L325" s="30">
        <v>80.24</v>
      </c>
      <c r="M325" s="30">
        <v>1881.6</v>
      </c>
      <c r="N325" s="32">
        <v>0.345110544217687</v>
      </c>
      <c r="O325" s="44">
        <v>2</v>
      </c>
      <c r="P325" s="44">
        <v>2</v>
      </c>
      <c r="Q325" s="34">
        <v>0.5</v>
      </c>
      <c r="R325" s="34">
        <v>0.690221088435374</v>
      </c>
      <c r="S325" s="38" t="s">
        <v>57</v>
      </c>
    </row>
    <row customHeight="true" ht="23.703703703703702" r="326">
      <c r="A326" s="42">
        <v>46058</v>
      </c>
      <c r="B326" s="28" t="s">
        <v>50</v>
      </c>
      <c r="C326" s="28">
        <v>9</v>
      </c>
      <c r="D326" s="43">
        <v>59.35</v>
      </c>
      <c r="E326" s="30">
        <v>534.15</v>
      </c>
      <c r="F326" s="29">
        <v>2.2</v>
      </c>
      <c r="G326" s="30">
        <v>72</v>
      </c>
      <c r="H326" s="30">
        <v>47.55</v>
      </c>
      <c r="I326" s="30">
        <v>13.35375</v>
      </c>
      <c r="J326" s="30">
        <v>30.89625</v>
      </c>
      <c r="K326" s="32">
        <v>0.057841898343162</v>
      </c>
      <c r="L326" s="30">
        <v>247.17</v>
      </c>
      <c r="M326" s="30">
        <v>4273.2</v>
      </c>
      <c r="N326" s="32">
        <v>0.0890199382196012</v>
      </c>
      <c r="O326" s="44">
        <v>6</v>
      </c>
      <c r="P326" s="44">
        <v>3</v>
      </c>
      <c r="Q326" s="34">
        <v>0.666666666666667</v>
      </c>
      <c r="R326" s="34">
        <v>0.133529907329402</v>
      </c>
      <c r="S326" s="38" t="s">
        <v>68</v>
      </c>
    </row>
    <row customHeight="true" ht="23.703703703703702" r="327">
      <c r="A327" s="42">
        <v>46058</v>
      </c>
      <c r="B327" s="28" t="s">
        <v>52</v>
      </c>
      <c r="C327" s="28">
        <v>1</v>
      </c>
      <c r="D327" s="43">
        <v>52.3</v>
      </c>
      <c r="E327" s="30">
        <v>52.3</v>
      </c>
      <c r="F327" s="29">
        <v>14.72</v>
      </c>
      <c r="G327" s="30">
        <v>8</v>
      </c>
      <c r="H327" s="30">
        <v>23.39</v>
      </c>
      <c r="I327" s="30">
        <v>1.3075</v>
      </c>
      <c r="J327" s="30">
        <v>-1.9775</v>
      </c>
      <c r="K327" s="32">
        <v>-0.037810707456979</v>
      </c>
      <c r="L327" s="30">
        <v>-17.7975</v>
      </c>
      <c r="M327" s="30">
        <v>470.7</v>
      </c>
      <c r="N327" s="32">
        <v>0.447227533460803</v>
      </c>
      <c r="O327" s="44">
        <v>0</v>
      </c>
      <c r="P327" s="44">
        <v>1</v>
      </c>
      <c r="Q327" s="34">
        <v>0</v>
      </c>
      <c r="R327" s="34">
        <v>0</v>
      </c>
      <c r="S327" s="38" t="s">
        <v>57</v>
      </c>
    </row>
    <row customHeight="true" ht="23.703703703703702" r="328">
      <c r="A328" s="42">
        <v>46058</v>
      </c>
      <c r="B328" s="28" t="s">
        <v>27</v>
      </c>
      <c r="C328" s="28">
        <v>22</v>
      </c>
      <c r="D328" s="38"/>
      <c r="E328" s="30">
        <v>1270.6</v>
      </c>
      <c r="F328" s="31">
        <v>54.76</v>
      </c>
      <c r="G328" s="30"/>
      <c r="H328" s="30"/>
      <c r="I328" s="30"/>
      <c r="J328" s="30">
        <v>77.995</v>
      </c>
      <c r="K328" s="32">
        <v>0.0613843853297655</v>
      </c>
      <c r="L328" s="30">
        <v>621.9825</v>
      </c>
      <c r="M328" s="30">
        <v>10217.1</v>
      </c>
      <c r="N328" s="32"/>
      <c r="O328" s="44">
        <v>12</v>
      </c>
      <c r="P328" s="44">
        <v>10</v>
      </c>
      <c r="Q328" s="34">
        <v>0.545454545454545</v>
      </c>
      <c r="R328" s="34"/>
      <c r="S328" s="38"/>
    </row>
    <row customHeight="true" ht="23.703703703703702" r="329">
      <c r="B329" s="26" t="s">
        <v>54</v>
      </c>
    </row>
    <row customHeight="true" ht="23.703703703703702" r="330">
      <c r="A330" s="20" t="s">
        <v>65</v>
      </c>
      <c r="B330" s="21" t="s">
        <v>28</v>
      </c>
      <c r="C330" s="39" t="s">
        <v>29</v>
      </c>
      <c r="D330" s="21" t="s">
        <v>30</v>
      </c>
      <c r="E330" s="22" t="s">
        <v>31</v>
      </c>
      <c r="F330" s="23" t="s">
        <v>32</v>
      </c>
      <c r="G330" s="22" t="s">
        <v>33</v>
      </c>
      <c r="H330" s="40" t="s">
        <v>34</v>
      </c>
      <c r="I330" s="22" t="s">
        <v>35</v>
      </c>
      <c r="J330" s="22" t="s">
        <v>32</v>
      </c>
      <c r="K330" s="24" t="s">
        <v>36</v>
      </c>
      <c r="L330" s="22" t="s">
        <v>37</v>
      </c>
      <c r="M330" s="22" t="s">
        <v>38</v>
      </c>
      <c r="N330" s="21" t="s">
        <v>39</v>
      </c>
      <c r="O330" s="41" t="s">
        <v>40</v>
      </c>
      <c r="P330" s="25" t="s">
        <v>41</v>
      </c>
      <c r="Q330" s="24" t="s">
        <v>42</v>
      </c>
      <c r="R330" s="24" t="s">
        <v>43</v>
      </c>
      <c r="S330" s="24" t="s">
        <v>56</v>
      </c>
    </row>
    <row customHeight="true" ht="23.703703703703702" r="331">
      <c r="A331" s="42">
        <v>46059</v>
      </c>
      <c r="B331" s="28" t="s">
        <v>46</v>
      </c>
      <c r="C331" s="28">
        <v>20</v>
      </c>
      <c r="D331" s="43">
        <v>55.85</v>
      </c>
      <c r="E331" s="30">
        <v>1117</v>
      </c>
      <c r="F331" s="29">
        <v>5.69</v>
      </c>
      <c r="G331" s="30">
        <v>160</v>
      </c>
      <c r="H331" s="30">
        <v>81.94</v>
      </c>
      <c r="I331" s="30">
        <v>27.925</v>
      </c>
      <c r="J331" s="30">
        <v>163.935</v>
      </c>
      <c r="K331" s="32">
        <v>0.146763652641003</v>
      </c>
      <c r="L331" s="30">
        <v>1311.48</v>
      </c>
      <c r="M331" s="30">
        <v>8936</v>
      </c>
      <c r="N331" s="32">
        <v>0.0733572068039391</v>
      </c>
      <c r="O331" s="44">
        <v>12</v>
      </c>
      <c r="P331" s="44">
        <v>8</v>
      </c>
      <c r="Q331" s="34">
        <v>0.6</v>
      </c>
      <c r="R331" s="34">
        <v>0.122262011339899</v>
      </c>
      <c r="S331" s="45" t="s">
        <v>61</v>
      </c>
    </row>
    <row customHeight="true" ht="23.703703703703702" r="332">
      <c r="A332" s="42">
        <v>46059</v>
      </c>
      <c r="B332" s="28" t="s">
        <v>47</v>
      </c>
      <c r="C332" s="28">
        <v>4</v>
      </c>
      <c r="D332" s="43">
        <v>58</v>
      </c>
      <c r="E332" s="30">
        <v>232</v>
      </c>
      <c r="F332" s="29">
        <v>6.67</v>
      </c>
      <c r="G332" s="30">
        <v>32</v>
      </c>
      <c r="H332" s="30">
        <v>8.26</v>
      </c>
      <c r="I332" s="30">
        <v>5.8</v>
      </c>
      <c r="J332" s="30">
        <v>44.62</v>
      </c>
      <c r="K332" s="32">
        <v>0.192327586206897</v>
      </c>
      <c r="L332" s="30">
        <v>356.96</v>
      </c>
      <c r="M332" s="30">
        <v>1856</v>
      </c>
      <c r="N332" s="32">
        <v>0.0356034482758621</v>
      </c>
      <c r="O332" s="44">
        <v>1</v>
      </c>
      <c r="P332" s="44">
        <v>3</v>
      </c>
      <c r="Q332" s="34">
        <v>0.25</v>
      </c>
      <c r="R332" s="34">
        <v>0.142413793103448</v>
      </c>
      <c r="S332" s="45" t="s">
        <v>69</v>
      </c>
    </row>
    <row customHeight="true" ht="23.703703703703702" r="333">
      <c r="A333" s="42">
        <v>46059</v>
      </c>
      <c r="B333" s="28" t="s">
        <v>49</v>
      </c>
      <c r="C333" s="28">
        <v>4</v>
      </c>
      <c r="D333" s="43">
        <v>58.8</v>
      </c>
      <c r="E333" s="30">
        <v>235.2</v>
      </c>
      <c r="F333" s="29">
        <v>16.27</v>
      </c>
      <c r="G333" s="30">
        <v>32</v>
      </c>
      <c r="H333" s="30">
        <v>68.46</v>
      </c>
      <c r="I333" s="30">
        <v>5.88</v>
      </c>
      <c r="J333" s="30">
        <v>22.74</v>
      </c>
      <c r="K333" s="32">
        <v>0.0966836734693878</v>
      </c>
      <c r="L333" s="30">
        <v>181.92</v>
      </c>
      <c r="M333" s="30">
        <v>1881.6</v>
      </c>
      <c r="N333" s="32">
        <v>0.291071428571429</v>
      </c>
      <c r="O333" s="44">
        <v>2</v>
      </c>
      <c r="P333" s="44">
        <v>2</v>
      </c>
      <c r="Q333" s="34">
        <v>0.5</v>
      </c>
      <c r="R333" s="34">
        <v>0.582142857142857</v>
      </c>
      <c r="S333" s="38" t="s">
        <v>57</v>
      </c>
    </row>
    <row customHeight="true" ht="23.703703703703702" r="334">
      <c r="A334" s="42">
        <v>46059</v>
      </c>
      <c r="B334" s="28" t="s">
        <v>50</v>
      </c>
      <c r="C334" s="28">
        <v>4</v>
      </c>
      <c r="D334" s="43">
        <v>59.35</v>
      </c>
      <c r="E334" s="30">
        <v>237.4</v>
      </c>
      <c r="F334" s="29">
        <v>2.2</v>
      </c>
      <c r="G334" s="30">
        <v>32</v>
      </c>
      <c r="H334" s="30">
        <v>41.99</v>
      </c>
      <c r="I334" s="30">
        <v>5.935</v>
      </c>
      <c r="J334" s="30">
        <v>-7.12500000000001</v>
      </c>
      <c r="K334" s="32">
        <v>-0.0300126368997473</v>
      </c>
      <c r="L334" s="30">
        <v>-57</v>
      </c>
      <c r="M334" s="30">
        <v>1899.2</v>
      </c>
      <c r="N334" s="32">
        <v>0.176874473462511</v>
      </c>
      <c r="O334" s="44">
        <v>1</v>
      </c>
      <c r="P334" s="44">
        <v>3</v>
      </c>
      <c r="Q334" s="34">
        <v>0.25</v>
      </c>
      <c r="R334" s="34">
        <v>0.707497893850042</v>
      </c>
      <c r="S334" s="38" t="s">
        <v>68</v>
      </c>
    </row>
    <row customHeight="true" ht="23.703703703703702" r="335">
      <c r="A335" s="42">
        <v>46059</v>
      </c>
      <c r="B335" s="28" t="s">
        <v>52</v>
      </c>
      <c r="C335" s="28">
        <v>1</v>
      </c>
      <c r="D335" s="43">
        <v>52.3</v>
      </c>
      <c r="E335" s="30">
        <v>52.3</v>
      </c>
      <c r="F335" s="29">
        <v>14.72</v>
      </c>
      <c r="G335" s="30">
        <v>8</v>
      </c>
      <c r="H335" s="30">
        <v>21.5</v>
      </c>
      <c r="I335" s="30">
        <v>1.3075</v>
      </c>
      <c r="J335" s="30">
        <v>-0.0875000000000012</v>
      </c>
      <c r="K335" s="32">
        <v>-0.0016730401529637</v>
      </c>
      <c r="L335" s="30">
        <v>-0.787500000000011</v>
      </c>
      <c r="M335" s="30">
        <v>470.7</v>
      </c>
      <c r="N335" s="32">
        <v>0.411089866156788</v>
      </c>
      <c r="O335" s="44">
        <v>1</v>
      </c>
      <c r="P335" s="44">
        <v>0</v>
      </c>
      <c r="Q335" s="34">
        <v>1</v>
      </c>
      <c r="R335" s="34">
        <v>0.411089866156788</v>
      </c>
      <c r="S335" s="38" t="s">
        <v>57</v>
      </c>
    </row>
    <row customHeight="true" ht="23.703703703703702" r="336">
      <c r="A336" s="42">
        <v>46059</v>
      </c>
      <c r="B336" s="28" t="s">
        <v>27</v>
      </c>
      <c r="C336" s="28">
        <v>33</v>
      </c>
      <c r="D336" s="38"/>
      <c r="E336" s="30">
        <v>1873.9</v>
      </c>
      <c r="F336" s="31">
        <v>45.55</v>
      </c>
      <c r="G336" s="30"/>
      <c r="H336" s="30"/>
      <c r="I336" s="30"/>
      <c r="J336" s="30">
        <v>224.0825</v>
      </c>
      <c r="K336" s="32">
        <v>0.119580820748172</v>
      </c>
      <c r="L336" s="30">
        <v>1792.5725</v>
      </c>
      <c r="M336" s="30">
        <v>15043.5</v>
      </c>
      <c r="N336" s="32"/>
      <c r="O336" s="44">
        <v>17</v>
      </c>
      <c r="P336" s="44">
        <v>16</v>
      </c>
      <c r="Q336" s="34">
        <v>0.515151515151515</v>
      </c>
      <c r="R336" s="34"/>
      <c r="S336" s="38"/>
    </row>
    <row customHeight="true" ht="23.703703703703702" r="337">
      <c r="B337" s="26" t="s">
        <v>54</v>
      </c>
    </row>
    <row customHeight="true" ht="23.703703703703702" r="338">
      <c r="A338" s="20" t="s">
        <v>65</v>
      </c>
      <c r="B338" s="21" t="s">
        <v>28</v>
      </c>
      <c r="C338" s="39" t="s">
        <v>29</v>
      </c>
      <c r="D338" s="21" t="s">
        <v>30</v>
      </c>
      <c r="E338" s="22" t="s">
        <v>31</v>
      </c>
      <c r="F338" s="23" t="s">
        <v>32</v>
      </c>
      <c r="G338" s="22" t="s">
        <v>33</v>
      </c>
      <c r="H338" s="40" t="s">
        <v>34</v>
      </c>
      <c r="I338" s="22" t="s">
        <v>35</v>
      </c>
      <c r="J338" s="22" t="s">
        <v>32</v>
      </c>
      <c r="K338" s="24" t="s">
        <v>36</v>
      </c>
      <c r="L338" s="22" t="s">
        <v>37</v>
      </c>
      <c r="M338" s="22" t="s">
        <v>38</v>
      </c>
      <c r="N338" s="21" t="s">
        <v>39</v>
      </c>
      <c r="O338" s="41" t="s">
        <v>40</v>
      </c>
      <c r="P338" s="25" t="s">
        <v>41</v>
      </c>
      <c r="Q338" s="24" t="s">
        <v>42</v>
      </c>
      <c r="R338" s="24" t="s">
        <v>43</v>
      </c>
      <c r="S338" s="24" t="s">
        <v>56</v>
      </c>
    </row>
    <row customHeight="true" ht="23.703703703703702" r="339">
      <c r="A339" s="42">
        <v>46060</v>
      </c>
      <c r="B339" s="28" t="s">
        <v>46</v>
      </c>
      <c r="C339" s="28">
        <v>15</v>
      </c>
      <c r="D339" s="43">
        <v>55.85</v>
      </c>
      <c r="E339" s="30">
        <v>837.75</v>
      </c>
      <c r="F339" s="29">
        <v>5.69</v>
      </c>
      <c r="G339" s="30">
        <v>120</v>
      </c>
      <c r="H339" s="30">
        <v>68</v>
      </c>
      <c r="I339" s="30">
        <v>20.94375</v>
      </c>
      <c r="J339" s="30">
        <v>116.40625</v>
      </c>
      <c r="K339" s="32">
        <v>0.138951059385258</v>
      </c>
      <c r="L339" s="30">
        <v>931.25</v>
      </c>
      <c r="M339" s="30">
        <v>6702</v>
      </c>
      <c r="N339" s="32">
        <v>0.0811698000596837</v>
      </c>
      <c r="O339" s="44">
        <v>7</v>
      </c>
      <c r="P339" s="44">
        <v>8</v>
      </c>
      <c r="Q339" s="34">
        <v>0.466666666666667</v>
      </c>
      <c r="R339" s="34">
        <v>0.173935285842179</v>
      </c>
      <c r="S339" s="45" t="s">
        <v>61</v>
      </c>
    </row>
    <row customHeight="true" ht="23.703703703703702" r="340">
      <c r="A340" s="42">
        <v>46060</v>
      </c>
      <c r="B340" s="28" t="s">
        <v>47</v>
      </c>
      <c r="C340" s="28">
        <v>5</v>
      </c>
      <c r="D340" s="43">
        <v>58</v>
      </c>
      <c r="E340" s="30">
        <v>290</v>
      </c>
      <c r="F340" s="29">
        <v>6.67</v>
      </c>
      <c r="G340" s="30">
        <v>40</v>
      </c>
      <c r="H340" s="30">
        <v>23.06</v>
      </c>
      <c r="I340" s="30">
        <v>7.25</v>
      </c>
      <c r="J340" s="30">
        <v>43.04</v>
      </c>
      <c r="K340" s="32">
        <v>0.148413793103448</v>
      </c>
      <c r="L340" s="30">
        <v>344.32</v>
      </c>
      <c r="M340" s="30">
        <v>2320</v>
      </c>
      <c r="N340" s="32">
        <v>0.0795172413793103</v>
      </c>
      <c r="O340" s="44">
        <v>2</v>
      </c>
      <c r="P340" s="44">
        <v>3</v>
      </c>
      <c r="Q340" s="34">
        <v>0.4</v>
      </c>
      <c r="R340" s="34">
        <v>0.198793103448276</v>
      </c>
      <c r="S340" s="45" t="s">
        <v>69</v>
      </c>
    </row>
    <row customHeight="true" ht="23.703703703703702" r="341">
      <c r="A341" s="42">
        <v>46060</v>
      </c>
      <c r="B341" s="28" t="s">
        <v>49</v>
      </c>
      <c r="C341" s="28">
        <v>5</v>
      </c>
      <c r="D341" s="43">
        <v>58.8</v>
      </c>
      <c r="E341" s="30">
        <v>294</v>
      </c>
      <c r="F341" s="29">
        <v>16.27</v>
      </c>
      <c r="G341" s="30">
        <v>40</v>
      </c>
      <c r="H341" s="30">
        <v>87.3</v>
      </c>
      <c r="I341" s="30">
        <v>7.35</v>
      </c>
      <c r="J341" s="30">
        <v>26.7</v>
      </c>
      <c r="K341" s="32">
        <v>0.0908163265306122</v>
      </c>
      <c r="L341" s="30">
        <v>213.6</v>
      </c>
      <c r="M341" s="30">
        <v>2352</v>
      </c>
      <c r="N341" s="32">
        <v>0.296938775510204</v>
      </c>
      <c r="O341" s="44">
        <v>2</v>
      </c>
      <c r="P341" s="44">
        <v>3</v>
      </c>
      <c r="Q341" s="34">
        <v>0.4</v>
      </c>
      <c r="R341" s="34">
        <v>0.74234693877551</v>
      </c>
      <c r="S341" s="38" t="s">
        <v>57</v>
      </c>
    </row>
    <row customHeight="true" ht="23.703703703703702" r="342">
      <c r="A342" s="42">
        <v>46060</v>
      </c>
      <c r="B342" s="28" t="s">
        <v>50</v>
      </c>
      <c r="C342" s="28">
        <v>8</v>
      </c>
      <c r="D342" s="43">
        <v>59.35</v>
      </c>
      <c r="E342" s="30">
        <v>474.8</v>
      </c>
      <c r="F342" s="29">
        <v>2.2</v>
      </c>
      <c r="G342" s="30">
        <v>64</v>
      </c>
      <c r="H342" s="30">
        <v>61.04</v>
      </c>
      <c r="I342" s="30">
        <v>11.87</v>
      </c>
      <c r="J342" s="30">
        <v>8.68999999999999</v>
      </c>
      <c r="K342" s="32">
        <v>0.0183024431339511</v>
      </c>
      <c r="L342" s="30">
        <v>69.52</v>
      </c>
      <c r="M342" s="30">
        <v>3798.4</v>
      </c>
      <c r="N342" s="32">
        <v>0.128559393428812</v>
      </c>
      <c r="O342" s="44">
        <v>4</v>
      </c>
      <c r="P342" s="44">
        <v>4</v>
      </c>
      <c r="Q342" s="34">
        <v>0.5</v>
      </c>
      <c r="R342" s="34">
        <v>0.257118786857624</v>
      </c>
      <c r="S342" s="38" t="s">
        <v>68</v>
      </c>
    </row>
    <row customHeight="true" ht="23.703703703703702" r="343">
      <c r="A343" s="42">
        <v>46060</v>
      </c>
      <c r="B343" s="28" t="s">
        <v>52</v>
      </c>
      <c r="C343" s="28">
        <v>0</v>
      </c>
      <c r="D343" s="43">
        <v>52.3</v>
      </c>
      <c r="E343" s="30">
        <v>0</v>
      </c>
      <c r="F343" s="29">
        <v>14.72</v>
      </c>
      <c r="G343" s="30">
        <v>0</v>
      </c>
      <c r="H343" s="30">
        <v>40.06</v>
      </c>
      <c r="I343" s="30">
        <v>0</v>
      </c>
      <c r="J343" s="30">
        <v>-40.06</v>
      </c>
      <c r="K343" s="32">
        <v>0</v>
      </c>
      <c r="L343" s="30">
        <v>-360.54</v>
      </c>
      <c r="M343" s="30">
        <v>0</v>
      </c>
      <c r="N343" s="32">
        <v>0</v>
      </c>
      <c r="O343" s="44">
        <v>1</v>
      </c>
      <c r="P343" s="44">
        <v>-1</v>
      </c>
      <c r="Q343" s="34">
        <v>0</v>
      </c>
      <c r="R343" s="34">
        <v>0</v>
      </c>
      <c r="S343" s="38" t="s">
        <v>57</v>
      </c>
    </row>
    <row customHeight="true" ht="23.703703703703702" r="344">
      <c r="A344" s="42">
        <v>46060</v>
      </c>
      <c r="B344" s="28" t="s">
        <v>27</v>
      </c>
      <c r="C344" s="28">
        <v>33</v>
      </c>
      <c r="D344" s="38"/>
      <c r="E344" s="30">
        <v>1896.55</v>
      </c>
      <c r="F344" s="31">
        <v>45.55</v>
      </c>
      <c r="G344" s="30"/>
      <c r="H344" s="30"/>
      <c r="I344" s="30"/>
      <c r="J344" s="30">
        <v>154.77625</v>
      </c>
      <c r="K344" s="32">
        <v>0.0816093696448815</v>
      </c>
      <c r="L344" s="30">
        <v>1198.15</v>
      </c>
      <c r="M344" s="30">
        <v>15172.4</v>
      </c>
      <c r="N344" s="32"/>
      <c r="O344" s="44">
        <v>16</v>
      </c>
      <c r="P344" s="44">
        <v>17</v>
      </c>
      <c r="Q344" s="34">
        <v>0.484848484848485</v>
      </c>
      <c r="R344" s="34"/>
      <c r="S344" s="38"/>
    </row>
    <row customHeight="true" ht="23.703703703703702" r="345">
      <c r="B345" s="26" t="s">
        <v>54</v>
      </c>
    </row>
    <row customHeight="true" ht="23.703703703703702" r="346">
      <c r="A346" s="20" t="s">
        <v>65</v>
      </c>
      <c r="B346" s="21" t="s">
        <v>28</v>
      </c>
      <c r="C346" s="39" t="s">
        <v>29</v>
      </c>
      <c r="D346" s="21" t="s">
        <v>30</v>
      </c>
      <c r="E346" s="22" t="s">
        <v>31</v>
      </c>
      <c r="F346" s="23" t="s">
        <v>32</v>
      </c>
      <c r="G346" s="22" t="s">
        <v>33</v>
      </c>
      <c r="H346" s="40" t="s">
        <v>34</v>
      </c>
      <c r="I346" s="22" t="s">
        <v>35</v>
      </c>
      <c r="J346" s="22" t="s">
        <v>32</v>
      </c>
      <c r="K346" s="24" t="s">
        <v>36</v>
      </c>
      <c r="L346" s="22" t="s">
        <v>37</v>
      </c>
      <c r="M346" s="22" t="s">
        <v>38</v>
      </c>
      <c r="N346" s="21" t="s">
        <v>39</v>
      </c>
      <c r="O346" s="41" t="s">
        <v>40</v>
      </c>
      <c r="P346" s="25" t="s">
        <v>41</v>
      </c>
      <c r="Q346" s="24" t="s">
        <v>42</v>
      </c>
      <c r="R346" s="24" t="s">
        <v>43</v>
      </c>
      <c r="S346" s="24" t="s">
        <v>56</v>
      </c>
    </row>
    <row customHeight="true" ht="23.703703703703702" r="347">
      <c r="A347" s="42">
        <v>46061</v>
      </c>
      <c r="B347" s="28" t="s">
        <v>46</v>
      </c>
      <c r="C347" s="28">
        <v>17</v>
      </c>
      <c r="D347" s="43">
        <v>55.85</v>
      </c>
      <c r="E347" s="30">
        <v>949.45</v>
      </c>
      <c r="F347" s="29">
        <v>5.69</v>
      </c>
      <c r="G347" s="30">
        <v>136</v>
      </c>
      <c r="H347" s="30">
        <v>142.73</v>
      </c>
      <c r="I347" s="30">
        <v>23.73625</v>
      </c>
      <c r="J347" s="30">
        <v>66.26375</v>
      </c>
      <c r="K347" s="32">
        <v>0.069791721522987</v>
      </c>
      <c r="L347" s="30">
        <v>530.11</v>
      </c>
      <c r="M347" s="30">
        <v>7595.6</v>
      </c>
      <c r="N347" s="32">
        <v>0.150329137921955</v>
      </c>
      <c r="O347" s="44">
        <v>10</v>
      </c>
      <c r="P347" s="44">
        <v>7</v>
      </c>
      <c r="Q347" s="34">
        <v>0.588235294117647</v>
      </c>
      <c r="R347" s="34">
        <v>0.255559534467323</v>
      </c>
      <c r="S347" s="45" t="s">
        <v>61</v>
      </c>
    </row>
    <row customHeight="true" ht="23.703703703703702" r="348">
      <c r="A348" s="42">
        <v>46061</v>
      </c>
      <c r="B348" s="28" t="s">
        <v>47</v>
      </c>
      <c r="C348" s="28">
        <v>8</v>
      </c>
      <c r="D348" s="43">
        <v>58</v>
      </c>
      <c r="E348" s="30">
        <v>464</v>
      </c>
      <c r="F348" s="29">
        <v>6.67</v>
      </c>
      <c r="G348" s="30">
        <v>64</v>
      </c>
      <c r="H348" s="30">
        <v>24.76</v>
      </c>
      <c r="I348" s="30">
        <v>11.6</v>
      </c>
      <c r="J348" s="30">
        <v>81</v>
      </c>
      <c r="K348" s="32">
        <v>0.174568965517241</v>
      </c>
      <c r="L348" s="30">
        <v>648</v>
      </c>
      <c r="M348" s="30">
        <v>3712</v>
      </c>
      <c r="N348" s="32">
        <v>0.0533620689655172</v>
      </c>
      <c r="O348" s="44">
        <v>3</v>
      </c>
      <c r="P348" s="44">
        <v>5</v>
      </c>
      <c r="Q348" s="34">
        <v>0.375</v>
      </c>
      <c r="R348" s="34">
        <v>0.142298850574713</v>
      </c>
      <c r="S348" s="45" t="s">
        <v>69</v>
      </c>
    </row>
    <row customHeight="true" ht="23.703703703703702" r="349">
      <c r="A349" s="42">
        <v>46061</v>
      </c>
      <c r="B349" s="28" t="s">
        <v>49</v>
      </c>
      <c r="C349" s="28">
        <v>6</v>
      </c>
      <c r="D349" s="43">
        <v>58.8</v>
      </c>
      <c r="E349" s="30">
        <v>352.8</v>
      </c>
      <c r="F349" s="29">
        <v>16.27</v>
      </c>
      <c r="G349" s="30">
        <v>48</v>
      </c>
      <c r="H349" s="30">
        <v>101.04</v>
      </c>
      <c r="I349" s="30">
        <v>8.82</v>
      </c>
      <c r="J349" s="30">
        <v>35.76</v>
      </c>
      <c r="K349" s="32">
        <v>0.101360544217687</v>
      </c>
      <c r="L349" s="30">
        <v>286.08</v>
      </c>
      <c r="M349" s="30">
        <v>2822.4</v>
      </c>
      <c r="N349" s="32">
        <v>0.286394557823129</v>
      </c>
      <c r="O349" s="44">
        <v>3</v>
      </c>
      <c r="P349" s="44">
        <v>3</v>
      </c>
      <c r="Q349" s="34">
        <v>0.5</v>
      </c>
      <c r="R349" s="34">
        <v>0.572789115646259</v>
      </c>
      <c r="S349" s="38" t="s">
        <v>57</v>
      </c>
    </row>
    <row customHeight="true" ht="23.703703703703702" r="350">
      <c r="A350" s="42">
        <v>46061</v>
      </c>
      <c r="B350" s="28" t="s">
        <v>50</v>
      </c>
      <c r="C350" s="28">
        <v>22</v>
      </c>
      <c r="D350" s="43">
        <v>59.35</v>
      </c>
      <c r="E350" s="30">
        <v>1305.7</v>
      </c>
      <c r="F350" s="29">
        <v>2.2</v>
      </c>
      <c r="G350" s="30">
        <v>176</v>
      </c>
      <c r="H350" s="30">
        <v>82.92</v>
      </c>
      <c r="I350" s="30">
        <v>32.6425</v>
      </c>
      <c r="J350" s="30">
        <v>108.8375</v>
      </c>
      <c r="K350" s="32">
        <v>0.083355671287432</v>
      </c>
      <c r="L350" s="30">
        <v>870.7</v>
      </c>
      <c r="M350" s="30">
        <v>10445.6</v>
      </c>
      <c r="N350" s="32">
        <v>0.0635061652753312</v>
      </c>
      <c r="O350" s="44">
        <v>10</v>
      </c>
      <c r="P350" s="44">
        <v>12</v>
      </c>
      <c r="Q350" s="34">
        <v>0.454545454545455</v>
      </c>
      <c r="R350" s="34">
        <v>0.139713563605729</v>
      </c>
      <c r="S350" s="38" t="s">
        <v>68</v>
      </c>
    </row>
    <row customHeight="true" ht="23.703703703703702" r="351">
      <c r="A351" s="42">
        <v>46061</v>
      </c>
      <c r="B351" s="28" t="s">
        <v>52</v>
      </c>
      <c r="C351" s="28">
        <v>4</v>
      </c>
      <c r="D351" s="43">
        <v>52.3</v>
      </c>
      <c r="E351" s="30">
        <v>209.2</v>
      </c>
      <c r="F351" s="29">
        <v>14.72</v>
      </c>
      <c r="G351" s="30">
        <v>32</v>
      </c>
      <c r="H351" s="30">
        <v>32.2</v>
      </c>
      <c r="I351" s="30">
        <v>5.23</v>
      </c>
      <c r="J351" s="30">
        <v>53.45</v>
      </c>
      <c r="K351" s="32">
        <v>0.255497131931166</v>
      </c>
      <c r="L351" s="30">
        <v>481.05</v>
      </c>
      <c r="M351" s="30">
        <v>1882.8</v>
      </c>
      <c r="N351" s="32">
        <v>0.153919694072658</v>
      </c>
      <c r="O351" s="44">
        <v>2</v>
      </c>
      <c r="P351" s="44">
        <v>2</v>
      </c>
      <c r="Q351" s="34">
        <v>0.5</v>
      </c>
      <c r="R351" s="34">
        <v>0.307839388145316</v>
      </c>
      <c r="S351" s="38" t="s">
        <v>57</v>
      </c>
    </row>
    <row customHeight="true" ht="23.703703703703702" r="352">
      <c r="A352" s="42">
        <v>46061</v>
      </c>
      <c r="B352" s="28" t="s">
        <v>27</v>
      </c>
      <c r="C352" s="28">
        <v>57</v>
      </c>
      <c r="D352" s="38"/>
      <c r="E352" s="30">
        <v>3281.15</v>
      </c>
      <c r="F352" s="31">
        <v>45.55</v>
      </c>
      <c r="G352" s="30"/>
      <c r="H352" s="30"/>
      <c r="I352" s="30"/>
      <c r="J352" s="30">
        <v>345.31125</v>
      </c>
      <c r="K352" s="32">
        <v>0.105240921628088</v>
      </c>
      <c r="L352" s="30">
        <v>2815.94</v>
      </c>
      <c r="M352" s="30">
        <v>26458.4</v>
      </c>
      <c r="N352" s="32"/>
      <c r="O352" s="44">
        <v>28</v>
      </c>
      <c r="P352" s="44">
        <v>29</v>
      </c>
      <c r="Q352" s="34">
        <v>0.491228070175439</v>
      </c>
      <c r="R352" s="34"/>
      <c r="S352" s="38"/>
    </row>
    <row customHeight="true" ht="23.703703703703702" r="353">
      <c r="B353" s="26" t="s">
        <v>54</v>
      </c>
    </row>
    <row customHeight="true" ht="23.703703703703702" r="354">
      <c r="A354" s="20" t="s">
        <v>65</v>
      </c>
      <c r="B354" s="21" t="s">
        <v>28</v>
      </c>
      <c r="C354" s="39" t="s">
        <v>29</v>
      </c>
      <c r="D354" s="21" t="s">
        <v>30</v>
      </c>
      <c r="E354" s="22" t="s">
        <v>31</v>
      </c>
      <c r="F354" s="23" t="s">
        <v>32</v>
      </c>
      <c r="G354" s="22" t="s">
        <v>33</v>
      </c>
      <c r="H354" s="40" t="s">
        <v>34</v>
      </c>
      <c r="I354" s="22" t="s">
        <v>35</v>
      </c>
      <c r="J354" s="22" t="s">
        <v>32</v>
      </c>
      <c r="K354" s="24" t="s">
        <v>36</v>
      </c>
      <c r="L354" s="22" t="s">
        <v>37</v>
      </c>
      <c r="M354" s="22" t="s">
        <v>38</v>
      </c>
      <c r="N354" s="21" t="s">
        <v>39</v>
      </c>
      <c r="O354" s="41" t="s">
        <v>40</v>
      </c>
      <c r="P354" s="25" t="s">
        <v>41</v>
      </c>
      <c r="Q354" s="24" t="s">
        <v>42</v>
      </c>
      <c r="R354" s="24" t="s">
        <v>43</v>
      </c>
      <c r="S354" s="24" t="s">
        <v>56</v>
      </c>
    </row>
    <row customHeight="true" ht="23.703703703703702" r="355">
      <c r="A355" s="42">
        <v>46062</v>
      </c>
      <c r="B355" s="28" t="s">
        <v>46</v>
      </c>
      <c r="C355" s="28">
        <v>14</v>
      </c>
      <c r="D355" s="43">
        <v>55.85</v>
      </c>
      <c r="E355" s="30">
        <v>781.9</v>
      </c>
      <c r="F355" s="29">
        <v>5.69</v>
      </c>
      <c r="G355" s="30">
        <v>112</v>
      </c>
      <c r="H355" s="30">
        <v>99.81</v>
      </c>
      <c r="I355" s="30">
        <v>19.5475</v>
      </c>
      <c r="J355" s="30">
        <v>72.3025</v>
      </c>
      <c r="K355" s="32">
        <v>0.0924702647397366</v>
      </c>
      <c r="L355" s="30">
        <v>578.42</v>
      </c>
      <c r="M355" s="30">
        <v>6255.2</v>
      </c>
      <c r="N355" s="32">
        <v>0.127650594705205</v>
      </c>
      <c r="O355" s="44">
        <v>7</v>
      </c>
      <c r="P355" s="44">
        <v>7</v>
      </c>
      <c r="Q355" s="34">
        <v>0.5</v>
      </c>
      <c r="R355" s="34">
        <v>0.255301189410411</v>
      </c>
      <c r="S355" s="45" t="s">
        <v>61</v>
      </c>
    </row>
    <row customHeight="true" ht="23.703703703703702" r="356">
      <c r="A356" s="42">
        <v>46062</v>
      </c>
      <c r="B356" s="28" t="s">
        <v>47</v>
      </c>
      <c r="C356" s="28">
        <v>6</v>
      </c>
      <c r="D356" s="43">
        <v>58</v>
      </c>
      <c r="E356" s="30">
        <v>348</v>
      </c>
      <c r="F356" s="29">
        <v>6.67</v>
      </c>
      <c r="G356" s="30">
        <v>48</v>
      </c>
      <c r="H356" s="30">
        <v>14.16</v>
      </c>
      <c r="I356" s="30">
        <v>8.7</v>
      </c>
      <c r="J356" s="30">
        <v>65.16</v>
      </c>
      <c r="K356" s="32">
        <v>0.187241379310345</v>
      </c>
      <c r="L356" s="30">
        <v>521.28</v>
      </c>
      <c r="M356" s="30">
        <v>2784</v>
      </c>
      <c r="N356" s="32">
        <v>0.0406896551724138</v>
      </c>
      <c r="O356" s="44">
        <v>1</v>
      </c>
      <c r="P356" s="44">
        <v>5</v>
      </c>
      <c r="Q356" s="34">
        <v>0.166666666666667</v>
      </c>
      <c r="R356" s="34">
        <v>0.244137931034482</v>
      </c>
      <c r="S356" s="45" t="s">
        <v>69</v>
      </c>
    </row>
    <row customHeight="true" ht="23.703703703703702" r="357">
      <c r="A357" s="42">
        <v>46062</v>
      </c>
      <c r="B357" s="28" t="s">
        <v>49</v>
      </c>
      <c r="C357" s="28">
        <v>5</v>
      </c>
      <c r="D357" s="43">
        <v>58.8</v>
      </c>
      <c r="E357" s="30">
        <v>294</v>
      </c>
      <c r="F357" s="29">
        <v>16.27</v>
      </c>
      <c r="G357" s="30">
        <v>40</v>
      </c>
      <c r="H357" s="30">
        <v>60.13</v>
      </c>
      <c r="I357" s="30">
        <v>7.35</v>
      </c>
      <c r="J357" s="30">
        <v>53.87</v>
      </c>
      <c r="K357" s="32">
        <v>0.183231292517007</v>
      </c>
      <c r="L357" s="30">
        <v>430.96</v>
      </c>
      <c r="M357" s="30">
        <v>2352</v>
      </c>
      <c r="N357" s="32">
        <v>0.20452380952381</v>
      </c>
      <c r="O357" s="44">
        <v>1</v>
      </c>
      <c r="P357" s="44">
        <v>4</v>
      </c>
      <c r="Q357" s="34">
        <v>0.2</v>
      </c>
      <c r="R357" s="34">
        <v>1.02261904761905</v>
      </c>
      <c r="S357" s="38" t="s">
        <v>57</v>
      </c>
    </row>
    <row customHeight="true" ht="23.703703703703702" r="358">
      <c r="A358" s="42">
        <v>46062</v>
      </c>
      <c r="B358" s="28" t="s">
        <v>50</v>
      </c>
      <c r="C358" s="28">
        <v>5</v>
      </c>
      <c r="D358" s="43">
        <v>59.35</v>
      </c>
      <c r="E358" s="30">
        <v>296.75</v>
      </c>
      <c r="F358" s="29">
        <v>7.22</v>
      </c>
      <c r="G358" s="30">
        <v>40</v>
      </c>
      <c r="H358" s="30">
        <v>39.67</v>
      </c>
      <c r="I358" s="30">
        <v>7.41875</v>
      </c>
      <c r="J358" s="30">
        <v>29.01125</v>
      </c>
      <c r="K358" s="32">
        <v>0.0977632687447346</v>
      </c>
      <c r="L358" s="30">
        <v>232.09</v>
      </c>
      <c r="M358" s="30">
        <v>2374</v>
      </c>
      <c r="N358" s="32">
        <v>0.133681550126369</v>
      </c>
      <c r="O358" s="44">
        <v>2</v>
      </c>
      <c r="P358" s="44">
        <v>3</v>
      </c>
      <c r="Q358" s="34">
        <v>0.4</v>
      </c>
      <c r="R358" s="34">
        <v>0.334203875315922</v>
      </c>
      <c r="S358" s="38" t="s">
        <v>66</v>
      </c>
    </row>
    <row customHeight="true" ht="23.703703703703702" r="359">
      <c r="A359" s="42">
        <v>46062</v>
      </c>
      <c r="B359" s="28" t="s">
        <v>52</v>
      </c>
      <c r="C359" s="28">
        <v>1</v>
      </c>
      <c r="D359" s="43">
        <v>52.3</v>
      </c>
      <c r="E359" s="30">
        <v>52.3</v>
      </c>
      <c r="F359" s="29">
        <v>5.97</v>
      </c>
      <c r="G359" s="30">
        <v>8</v>
      </c>
      <c r="H359" s="30">
        <v>38.54</v>
      </c>
      <c r="I359" s="30">
        <v>1.3075</v>
      </c>
      <c r="J359" s="30">
        <v>-25.8775</v>
      </c>
      <c r="K359" s="32">
        <v>-0.494789674952199</v>
      </c>
      <c r="L359" s="30">
        <v>-232.8975</v>
      </c>
      <c r="M359" s="30">
        <v>470.7</v>
      </c>
      <c r="N359" s="32">
        <v>0.736902485659656</v>
      </c>
      <c r="O359" s="44">
        <v>1</v>
      </c>
      <c r="P359" s="44">
        <v>0</v>
      </c>
      <c r="Q359" s="34">
        <v>1</v>
      </c>
      <c r="R359" s="34">
        <v>0.736902485659656</v>
      </c>
      <c r="S359" s="38" t="s">
        <v>66</v>
      </c>
    </row>
    <row customHeight="true" ht="23.703703703703702" r="360">
      <c r="A360" s="42">
        <v>46062</v>
      </c>
      <c r="B360" s="28" t="s">
        <v>27</v>
      </c>
      <c r="C360" s="28">
        <v>31</v>
      </c>
      <c r="D360" s="38"/>
      <c r="E360" s="30">
        <v>1772.95</v>
      </c>
      <c r="F360" s="31">
        <v>41.82</v>
      </c>
      <c r="G360" s="30"/>
      <c r="H360" s="30"/>
      <c r="I360" s="30"/>
      <c r="J360" s="30">
        <v>194.46625</v>
      </c>
      <c r="K360" s="32">
        <v>0.109685129304267</v>
      </c>
      <c r="L360" s="30">
        <v>1529.8525</v>
      </c>
      <c r="M360" s="30">
        <v>14235.9</v>
      </c>
      <c r="N360" s="32"/>
      <c r="O360" s="44">
        <v>12</v>
      </c>
      <c r="P360" s="44">
        <v>19</v>
      </c>
      <c r="Q360" s="34">
        <v>0.387096774193548</v>
      </c>
      <c r="R360" s="34"/>
      <c r="S360" s="38"/>
    </row>
    <row customHeight="true" ht="23.703703703703702" r="361">
      <c r="B361" s="26" t="s">
        <v>54</v>
      </c>
    </row>
    <row customHeight="true" ht="23.703703703703702" r="362">
      <c r="A362" s="20" t="s">
        <v>65</v>
      </c>
      <c r="B362" s="21" t="s">
        <v>28</v>
      </c>
      <c r="C362" s="39" t="s">
        <v>29</v>
      </c>
      <c r="D362" s="21" t="s">
        <v>30</v>
      </c>
      <c r="E362" s="22" t="s">
        <v>31</v>
      </c>
      <c r="F362" s="23" t="s">
        <v>32</v>
      </c>
      <c r="G362" s="22" t="s">
        <v>33</v>
      </c>
      <c r="H362" s="40" t="s">
        <v>34</v>
      </c>
      <c r="I362" s="22" t="s">
        <v>35</v>
      </c>
      <c r="J362" s="22" t="s">
        <v>32</v>
      </c>
      <c r="K362" s="24" t="s">
        <v>36</v>
      </c>
      <c r="L362" s="22" t="s">
        <v>37</v>
      </c>
      <c r="M362" s="22" t="s">
        <v>38</v>
      </c>
      <c r="N362" s="21" t="s">
        <v>39</v>
      </c>
      <c r="O362" s="41" t="s">
        <v>40</v>
      </c>
      <c r="P362" s="25" t="s">
        <v>41</v>
      </c>
      <c r="Q362" s="24" t="s">
        <v>42</v>
      </c>
      <c r="R362" s="24" t="s">
        <v>43</v>
      </c>
      <c r="S362" s="24" t="s">
        <v>56</v>
      </c>
    </row>
    <row customHeight="true" ht="23.703703703703702" r="363">
      <c r="A363" s="42">
        <v>46063</v>
      </c>
      <c r="B363" s="28" t="s">
        <v>46</v>
      </c>
      <c r="C363" s="28">
        <v>23</v>
      </c>
      <c r="D363" s="43">
        <v>55.85</v>
      </c>
      <c r="E363" s="30">
        <v>1284.55</v>
      </c>
      <c r="F363" s="29">
        <v>5.69</v>
      </c>
      <c r="G363" s="30">
        <v>184</v>
      </c>
      <c r="H363" s="30">
        <v>93.18</v>
      </c>
      <c r="I363" s="30">
        <v>32.11375</v>
      </c>
      <c r="J363" s="30">
        <v>189.57625</v>
      </c>
      <c r="K363" s="32">
        <v>0.147581837997742</v>
      </c>
      <c r="L363" s="30">
        <v>1516.61</v>
      </c>
      <c r="M363" s="30">
        <v>10276.4</v>
      </c>
      <c r="N363" s="32">
        <v>0.0725390214471994</v>
      </c>
      <c r="O363" s="44">
        <v>10</v>
      </c>
      <c r="P363" s="44">
        <v>13</v>
      </c>
      <c r="Q363" s="34">
        <v>0.434782608695652</v>
      </c>
      <c r="R363" s="34">
        <v>0.166839749328559</v>
      </c>
      <c r="S363" s="45" t="s">
        <v>61</v>
      </c>
    </row>
    <row customHeight="true" ht="23.703703703703702" r="364">
      <c r="A364" s="42">
        <v>46063</v>
      </c>
      <c r="B364" s="28" t="s">
        <v>47</v>
      </c>
      <c r="C364" s="28">
        <v>4</v>
      </c>
      <c r="D364" s="43">
        <v>58</v>
      </c>
      <c r="E364" s="30">
        <v>232</v>
      </c>
      <c r="F364" s="29">
        <v>6.67</v>
      </c>
      <c r="G364" s="30">
        <v>32</v>
      </c>
      <c r="H364" s="30">
        <v>24.82</v>
      </c>
      <c r="I364" s="30">
        <v>5.8</v>
      </c>
      <c r="J364" s="30">
        <v>28.06</v>
      </c>
      <c r="K364" s="32">
        <v>0.120948275862069</v>
      </c>
      <c r="L364" s="30">
        <v>224.48</v>
      </c>
      <c r="M364" s="30">
        <v>1856</v>
      </c>
      <c r="N364" s="32">
        <v>0.10698275862069</v>
      </c>
      <c r="O364" s="44">
        <v>2</v>
      </c>
      <c r="P364" s="44">
        <v>2</v>
      </c>
      <c r="Q364" s="34">
        <v>0.5</v>
      </c>
      <c r="R364" s="34">
        <v>0.213965517241379</v>
      </c>
      <c r="S364" s="45" t="s">
        <v>69</v>
      </c>
    </row>
    <row customHeight="true" ht="23.703703703703702" r="365">
      <c r="A365" s="42">
        <v>46063</v>
      </c>
      <c r="B365" s="28" t="s">
        <v>49</v>
      </c>
      <c r="C365" s="28">
        <v>4</v>
      </c>
      <c r="D365" s="43">
        <v>58.8</v>
      </c>
      <c r="E365" s="30">
        <v>235.2</v>
      </c>
      <c r="F365" s="29">
        <v>12.02</v>
      </c>
      <c r="G365" s="30">
        <v>32</v>
      </c>
      <c r="H365" s="30">
        <v>56.88</v>
      </c>
      <c r="I365" s="30">
        <v>5.88</v>
      </c>
      <c r="J365" s="30">
        <v>17.32</v>
      </c>
      <c r="K365" s="32">
        <v>0.0736394557823129</v>
      </c>
      <c r="L365" s="30">
        <v>138.56</v>
      </c>
      <c r="M365" s="30">
        <v>1881.6</v>
      </c>
      <c r="N365" s="32">
        <v>0.241836734693878</v>
      </c>
      <c r="O365" s="44">
        <v>2</v>
      </c>
      <c r="P365" s="44">
        <v>2</v>
      </c>
      <c r="Q365" s="34">
        <v>0.5</v>
      </c>
      <c r="R365" s="34">
        <v>0.483673469387755</v>
      </c>
      <c r="S365" s="38" t="s">
        <v>67</v>
      </c>
    </row>
    <row customHeight="true" ht="23.703703703703702" r="366">
      <c r="A366" s="42">
        <v>46063</v>
      </c>
      <c r="B366" s="28" t="s">
        <v>50</v>
      </c>
      <c r="C366" s="28">
        <v>2</v>
      </c>
      <c r="D366" s="43">
        <v>59.35</v>
      </c>
      <c r="E366" s="30">
        <v>118.7</v>
      </c>
      <c r="F366" s="29">
        <v>15.72</v>
      </c>
      <c r="G366" s="30">
        <v>16</v>
      </c>
      <c r="H366" s="30">
        <v>37.83</v>
      </c>
      <c r="I366" s="30">
        <v>2.9675</v>
      </c>
      <c r="J366" s="30">
        <v>6.6425</v>
      </c>
      <c r="K366" s="32">
        <v>0.0559604043807919</v>
      </c>
      <c r="L366" s="30">
        <v>53.14</v>
      </c>
      <c r="M366" s="30">
        <v>949.6</v>
      </c>
      <c r="N366" s="32">
        <v>0.318702611625948</v>
      </c>
      <c r="O366" s="44">
        <v>0</v>
      </c>
      <c r="P366" s="44">
        <v>2</v>
      </c>
      <c r="Q366" s="34">
        <v>0</v>
      </c>
      <c r="R366" s="34">
        <v>0</v>
      </c>
      <c r="S366" s="38" t="s">
        <v>57</v>
      </c>
    </row>
    <row customHeight="true" ht="23.703703703703702" r="367">
      <c r="A367" s="42">
        <v>46063</v>
      </c>
      <c r="B367" s="28" t="s">
        <v>52</v>
      </c>
      <c r="C367" s="28">
        <v>5</v>
      </c>
      <c r="D367" s="43">
        <v>52.3</v>
      </c>
      <c r="E367" s="30">
        <v>261.5</v>
      </c>
      <c r="F367" s="29">
        <v>10.92</v>
      </c>
      <c r="G367" s="30">
        <v>40</v>
      </c>
      <c r="H367" s="30">
        <v>24.77</v>
      </c>
      <c r="I367" s="30">
        <v>6.5375</v>
      </c>
      <c r="J367" s="30">
        <v>63.2925</v>
      </c>
      <c r="K367" s="32">
        <v>0.242036328871893</v>
      </c>
      <c r="L367" s="30">
        <v>569.6325</v>
      </c>
      <c r="M367" s="30">
        <v>2353.5</v>
      </c>
      <c r="N367" s="32">
        <v>0.0947227533460803</v>
      </c>
      <c r="O367" s="44">
        <v>2</v>
      </c>
      <c r="P367" s="44">
        <v>3</v>
      </c>
      <c r="Q367" s="34">
        <v>0.4</v>
      </c>
      <c r="R367" s="34">
        <v>0.236806883365201</v>
      </c>
      <c r="S367" s="38" t="s">
        <v>67</v>
      </c>
    </row>
    <row customHeight="true" ht="23.703703703703702" r="368">
      <c r="A368" s="42">
        <v>46063</v>
      </c>
      <c r="B368" s="28" t="s">
        <v>27</v>
      </c>
      <c r="C368" s="28">
        <v>38</v>
      </c>
      <c r="D368" s="38"/>
      <c r="E368" s="30">
        <v>2131.95</v>
      </c>
      <c r="F368" s="31">
        <v>51.02</v>
      </c>
      <c r="G368" s="30"/>
      <c r="H368" s="30"/>
      <c r="I368" s="30"/>
      <c r="J368" s="30">
        <v>304.89125</v>
      </c>
      <c r="K368" s="32">
        <v>0.143010506813012</v>
      </c>
      <c r="L368" s="30">
        <v>2502.4225</v>
      </c>
      <c r="M368" s="30">
        <v>17317.1</v>
      </c>
      <c r="N368" s="32"/>
      <c r="O368" s="44">
        <v>16</v>
      </c>
      <c r="P368" s="44">
        <v>22</v>
      </c>
      <c r="Q368" s="34">
        <v>0.421052631578947</v>
      </c>
      <c r="R368" s="34"/>
      <c r="S368" s="38"/>
    </row>
    <row customHeight="true" ht="23.703703703703702" r="369">
      <c r="B369" s="26" t="s">
        <v>54</v>
      </c>
    </row>
    <row customHeight="true" ht="23.703703703703702" r="370">
      <c r="A370" s="20" t="s">
        <v>65</v>
      </c>
      <c r="B370" s="21" t="s">
        <v>28</v>
      </c>
      <c r="C370" s="39" t="s">
        <v>29</v>
      </c>
      <c r="D370" s="21" t="s">
        <v>30</v>
      </c>
      <c r="E370" s="22" t="s">
        <v>31</v>
      </c>
      <c r="F370" s="23" t="s">
        <v>32</v>
      </c>
      <c r="G370" s="22" t="s">
        <v>33</v>
      </c>
      <c r="H370" s="40" t="s">
        <v>34</v>
      </c>
      <c r="I370" s="22" t="s">
        <v>35</v>
      </c>
      <c r="J370" s="22" t="s">
        <v>32</v>
      </c>
      <c r="K370" s="24" t="s">
        <v>36</v>
      </c>
      <c r="L370" s="22" t="s">
        <v>37</v>
      </c>
      <c r="M370" s="22" t="s">
        <v>38</v>
      </c>
      <c r="N370" s="21" t="s">
        <v>39</v>
      </c>
      <c r="O370" s="41" t="s">
        <v>40</v>
      </c>
      <c r="P370" s="25" t="s">
        <v>41</v>
      </c>
      <c r="Q370" s="24" t="s">
        <v>42</v>
      </c>
      <c r="R370" s="24" t="s">
        <v>43</v>
      </c>
      <c r="S370" s="24" t="s">
        <v>56</v>
      </c>
    </row>
    <row customHeight="true" ht="23.703703703703702" r="371">
      <c r="A371" s="42">
        <v>46064</v>
      </c>
      <c r="B371" s="28" t="s">
        <v>46</v>
      </c>
      <c r="C371" s="28">
        <v>12</v>
      </c>
      <c r="D371" s="43">
        <v>55.85</v>
      </c>
      <c r="E371" s="30">
        <v>670.2</v>
      </c>
      <c r="F371" s="29">
        <v>5.69</v>
      </c>
      <c r="G371" s="30">
        <v>96</v>
      </c>
      <c r="H371" s="30">
        <v>78.97</v>
      </c>
      <c r="I371" s="30">
        <v>16.755</v>
      </c>
      <c r="J371" s="30">
        <v>68.555</v>
      </c>
      <c r="K371" s="32">
        <v>0.102290361086243</v>
      </c>
      <c r="L371" s="30">
        <v>548.44</v>
      </c>
      <c r="M371" s="30">
        <v>5361.6</v>
      </c>
      <c r="N371" s="32">
        <v>0.117830498358699</v>
      </c>
      <c r="O371" s="44">
        <v>7</v>
      </c>
      <c r="P371" s="44">
        <v>5</v>
      </c>
      <c r="Q371" s="34">
        <v>0.583333333333333</v>
      </c>
      <c r="R371" s="34">
        <v>0.201995140043484</v>
      </c>
      <c r="S371" s="45" t="s">
        <v>61</v>
      </c>
    </row>
    <row customHeight="true" ht="23.703703703703702" r="372">
      <c r="A372" s="42">
        <v>46064</v>
      </c>
      <c r="B372" s="28" t="s">
        <v>47</v>
      </c>
      <c r="C372" s="28">
        <v>11</v>
      </c>
      <c r="D372" s="43">
        <v>58</v>
      </c>
      <c r="E372" s="30">
        <v>638</v>
      </c>
      <c r="F372" s="29">
        <v>6.67</v>
      </c>
      <c r="G372" s="30">
        <v>88</v>
      </c>
      <c r="H372" s="30">
        <v>31.08</v>
      </c>
      <c r="I372" s="30">
        <v>15.95</v>
      </c>
      <c r="J372" s="30">
        <v>114.34</v>
      </c>
      <c r="K372" s="32">
        <v>0.179216300940439</v>
      </c>
      <c r="L372" s="30">
        <v>914.72</v>
      </c>
      <c r="M372" s="30">
        <v>5104</v>
      </c>
      <c r="N372" s="32">
        <v>0.0487147335423197</v>
      </c>
      <c r="O372" s="44">
        <v>6</v>
      </c>
      <c r="P372" s="44">
        <v>5</v>
      </c>
      <c r="Q372" s="34">
        <v>0.545454545454545</v>
      </c>
      <c r="R372" s="34">
        <v>0.0893103448275863</v>
      </c>
      <c r="S372" s="45" t="s">
        <v>69</v>
      </c>
    </row>
    <row customHeight="true" ht="23.703703703703702" r="373">
      <c r="A373" s="42">
        <v>46064</v>
      </c>
      <c r="B373" s="28" t="s">
        <v>49</v>
      </c>
      <c r="C373" s="28">
        <v>8</v>
      </c>
      <c r="D373" s="43">
        <v>58.8</v>
      </c>
      <c r="E373" s="30">
        <v>470.4</v>
      </c>
      <c r="F373" s="29">
        <v>16.27</v>
      </c>
      <c r="G373" s="30">
        <v>64</v>
      </c>
      <c r="H373" s="30">
        <v>41.49</v>
      </c>
      <c r="I373" s="30">
        <v>11.76</v>
      </c>
      <c r="J373" s="30">
        <v>140.91</v>
      </c>
      <c r="K373" s="32">
        <v>0.299553571428571</v>
      </c>
      <c r="L373" s="30">
        <v>1127.28</v>
      </c>
      <c r="M373" s="30">
        <v>3763.2</v>
      </c>
      <c r="N373" s="32">
        <v>0.0882015306122449</v>
      </c>
      <c r="O373" s="44">
        <v>5</v>
      </c>
      <c r="P373" s="44">
        <v>3</v>
      </c>
      <c r="Q373" s="34">
        <v>0.625</v>
      </c>
      <c r="R373" s="34">
        <v>0.141122448979592</v>
      </c>
      <c r="S373" s="38" t="s">
        <v>57</v>
      </c>
    </row>
    <row customHeight="true" ht="23.703703703703702" r="374">
      <c r="A374" s="42">
        <v>46064</v>
      </c>
      <c r="B374" s="28" t="s">
        <v>50</v>
      </c>
      <c r="C374" s="28">
        <v>4</v>
      </c>
      <c r="D374" s="43">
        <v>59.35</v>
      </c>
      <c r="E374" s="30">
        <v>237.4</v>
      </c>
      <c r="F374" s="29">
        <v>15.72</v>
      </c>
      <c r="G374" s="30">
        <v>32</v>
      </c>
      <c r="H374" s="30">
        <v>28.95</v>
      </c>
      <c r="I374" s="30">
        <v>5.935</v>
      </c>
      <c r="J374" s="30">
        <v>59.995</v>
      </c>
      <c r="K374" s="32">
        <v>0.252716933445661</v>
      </c>
      <c r="L374" s="30">
        <v>479.96</v>
      </c>
      <c r="M374" s="30">
        <v>1899.2</v>
      </c>
      <c r="N374" s="32">
        <v>0.121946082561078</v>
      </c>
      <c r="O374" s="44">
        <v>2</v>
      </c>
      <c r="P374" s="44">
        <v>2</v>
      </c>
      <c r="Q374" s="34">
        <v>0.5</v>
      </c>
      <c r="R374" s="34">
        <v>0.243892165122157</v>
      </c>
      <c r="S374" s="38" t="s">
        <v>57</v>
      </c>
    </row>
    <row customHeight="true" ht="23.703703703703702" r="375">
      <c r="A375" s="42">
        <v>46064</v>
      </c>
      <c r="B375" s="28" t="s">
        <v>52</v>
      </c>
      <c r="C375" s="28">
        <v>1</v>
      </c>
      <c r="D375" s="43">
        <v>52.3</v>
      </c>
      <c r="E375" s="30">
        <v>52.3</v>
      </c>
      <c r="F375" s="29">
        <v>14.72</v>
      </c>
      <c r="G375" s="30">
        <v>8</v>
      </c>
      <c r="H375" s="30">
        <v>14.39</v>
      </c>
      <c r="I375" s="30">
        <v>1.3075</v>
      </c>
      <c r="J375" s="30">
        <v>7.0225</v>
      </c>
      <c r="K375" s="32">
        <v>0.134273422562141</v>
      </c>
      <c r="L375" s="30">
        <v>63.2025</v>
      </c>
      <c r="M375" s="30">
        <v>470.7</v>
      </c>
      <c r="N375" s="32">
        <v>0.275143403441683</v>
      </c>
      <c r="O375" s="44">
        <v>1</v>
      </c>
      <c r="P375" s="44">
        <v>0</v>
      </c>
      <c r="Q375" s="34">
        <v>1</v>
      </c>
      <c r="R375" s="34">
        <v>0.275143403441683</v>
      </c>
      <c r="S375" s="38" t="s">
        <v>57</v>
      </c>
    </row>
    <row customHeight="true" ht="23.703703703703702" r="376">
      <c r="A376" s="42">
        <v>46064</v>
      </c>
      <c r="B376" s="28" t="s">
        <v>27</v>
      </c>
      <c r="C376" s="28">
        <v>36</v>
      </c>
      <c r="D376" s="38"/>
      <c r="E376" s="30">
        <v>2068.3</v>
      </c>
      <c r="F376" s="31">
        <v>59.07</v>
      </c>
      <c r="G376" s="30"/>
      <c r="H376" s="30"/>
      <c r="I376" s="30"/>
      <c r="J376" s="30">
        <v>390.8225</v>
      </c>
      <c r="K376" s="32">
        <v>0.188958323260649</v>
      </c>
      <c r="L376" s="30">
        <v>3133.6025</v>
      </c>
      <c r="M376" s="30">
        <v>16598.7</v>
      </c>
      <c r="N376" s="32"/>
      <c r="O376" s="44">
        <v>21</v>
      </c>
      <c r="P376" s="44">
        <v>15</v>
      </c>
      <c r="Q376" s="34">
        <v>0.583333333333333</v>
      </c>
      <c r="R376" s="34"/>
      <c r="S376" s="38"/>
    </row>
    <row customHeight="true" ht="23.703703703703702" r="377">
      <c r="B377" s="26" t="s">
        <v>54</v>
      </c>
    </row>
    <row customHeight="true" ht="23.703703703703702" r="378">
      <c r="A378" s="20" t="s">
        <v>65</v>
      </c>
      <c r="B378" s="21" t="s">
        <v>28</v>
      </c>
      <c r="C378" s="39" t="s">
        <v>29</v>
      </c>
      <c r="D378" s="21" t="s">
        <v>30</v>
      </c>
      <c r="E378" s="22" t="s">
        <v>31</v>
      </c>
      <c r="F378" s="23" t="s">
        <v>32</v>
      </c>
      <c r="G378" s="22" t="s">
        <v>33</v>
      </c>
      <c r="H378" s="40" t="s">
        <v>34</v>
      </c>
      <c r="I378" s="22" t="s">
        <v>35</v>
      </c>
      <c r="J378" s="22" t="s">
        <v>32</v>
      </c>
      <c r="K378" s="24" t="s">
        <v>36</v>
      </c>
      <c r="L378" s="22" t="s">
        <v>37</v>
      </c>
      <c r="M378" s="22" t="s">
        <v>38</v>
      </c>
      <c r="N378" s="21" t="s">
        <v>39</v>
      </c>
      <c r="O378" s="41" t="s">
        <v>40</v>
      </c>
      <c r="P378" s="25" t="s">
        <v>41</v>
      </c>
      <c r="Q378" s="24" t="s">
        <v>42</v>
      </c>
      <c r="R378" s="24" t="s">
        <v>43</v>
      </c>
      <c r="S378" s="24" t="s">
        <v>56</v>
      </c>
    </row>
    <row customHeight="true" ht="23.703703703703702" r="379">
      <c r="A379" s="42">
        <v>46065</v>
      </c>
      <c r="B379" s="28" t="s">
        <v>46</v>
      </c>
      <c r="C379" s="28">
        <v>20</v>
      </c>
      <c r="D379" s="43">
        <v>55.85</v>
      </c>
      <c r="E379" s="30">
        <v>1117</v>
      </c>
      <c r="F379" s="29">
        <v>5.69</v>
      </c>
      <c r="G379" s="30">
        <v>160</v>
      </c>
      <c r="H379" s="30">
        <v>79.83</v>
      </c>
      <c r="I379" s="30">
        <v>27.925</v>
      </c>
      <c r="J379" s="30">
        <v>166.045</v>
      </c>
      <c r="K379" s="32">
        <v>0.148652641002686</v>
      </c>
      <c r="L379" s="30">
        <v>1328.36</v>
      </c>
      <c r="M379" s="30">
        <v>8936</v>
      </c>
      <c r="N379" s="32">
        <v>0.071468218442256</v>
      </c>
      <c r="O379" s="44">
        <v>10</v>
      </c>
      <c r="P379" s="44">
        <v>10</v>
      </c>
      <c r="Q379" s="34">
        <v>0.5</v>
      </c>
      <c r="R379" s="34">
        <v>0.142936436884512</v>
      </c>
      <c r="S379" s="45" t="s">
        <v>61</v>
      </c>
    </row>
    <row customHeight="true" ht="23.703703703703702" r="380">
      <c r="A380" s="42">
        <v>46065</v>
      </c>
      <c r="B380" s="28" t="s">
        <v>47</v>
      </c>
      <c r="C380" s="28">
        <v>11</v>
      </c>
      <c r="D380" s="43">
        <v>58</v>
      </c>
      <c r="E380" s="30">
        <v>638</v>
      </c>
      <c r="F380" s="29">
        <v>6.67</v>
      </c>
      <c r="G380" s="30">
        <v>88</v>
      </c>
      <c r="H380" s="30">
        <v>32.46</v>
      </c>
      <c r="I380" s="30">
        <v>15.95</v>
      </c>
      <c r="J380" s="30">
        <v>112.96</v>
      </c>
      <c r="K380" s="32">
        <v>0.17705329153605</v>
      </c>
      <c r="L380" s="30">
        <v>903.68</v>
      </c>
      <c r="M380" s="30">
        <v>5104</v>
      </c>
      <c r="N380" s="32">
        <v>0.0508777429467085</v>
      </c>
      <c r="O380" s="44">
        <v>5</v>
      </c>
      <c r="P380" s="44">
        <v>6</v>
      </c>
      <c r="Q380" s="34">
        <v>0.454545454545455</v>
      </c>
      <c r="R380" s="34">
        <v>0.111931034482759</v>
      </c>
      <c r="S380" s="45" t="s">
        <v>69</v>
      </c>
    </row>
    <row customHeight="true" ht="23.703703703703702" r="381">
      <c r="A381" s="42">
        <v>46065</v>
      </c>
      <c r="B381" s="28" t="s">
        <v>49</v>
      </c>
      <c r="C381" s="28">
        <v>4</v>
      </c>
      <c r="D381" s="43">
        <v>58.8</v>
      </c>
      <c r="E381" s="30">
        <v>235.2</v>
      </c>
      <c r="F381" s="29">
        <v>16.27</v>
      </c>
      <c r="G381" s="30">
        <v>32</v>
      </c>
      <c r="H381" s="30">
        <v>28.01</v>
      </c>
      <c r="I381" s="30">
        <v>5.88</v>
      </c>
      <c r="J381" s="30">
        <v>63.19</v>
      </c>
      <c r="K381" s="32">
        <v>0.268664965986395</v>
      </c>
      <c r="L381" s="30">
        <v>505.52</v>
      </c>
      <c r="M381" s="30">
        <v>1881.6</v>
      </c>
      <c r="N381" s="32">
        <v>0.119090136054422</v>
      </c>
      <c r="O381" s="44">
        <v>1</v>
      </c>
      <c r="P381" s="44">
        <v>3</v>
      </c>
      <c r="Q381" s="34">
        <v>0.25</v>
      </c>
      <c r="R381" s="34">
        <v>0.476360544217687</v>
      </c>
      <c r="S381" s="38" t="s">
        <v>57</v>
      </c>
    </row>
    <row customHeight="true" ht="23.703703703703702" r="382">
      <c r="A382" s="42">
        <v>46065</v>
      </c>
      <c r="B382" s="28" t="s">
        <v>50</v>
      </c>
      <c r="C382" s="28">
        <v>0</v>
      </c>
      <c r="D382" s="43">
        <v>59.35</v>
      </c>
      <c r="E382" s="30">
        <v>0</v>
      </c>
      <c r="F382" s="29">
        <v>15.72</v>
      </c>
      <c r="G382" s="30">
        <v>0</v>
      </c>
      <c r="H382" s="30">
        <v>16.57</v>
      </c>
      <c r="I382" s="30">
        <v>0</v>
      </c>
      <c r="J382" s="30">
        <v>-16.57</v>
      </c>
      <c r="K382" s="32">
        <v>0</v>
      </c>
      <c r="L382" s="30">
        <v>-132.56</v>
      </c>
      <c r="M382" s="30">
        <v>0</v>
      </c>
      <c r="N382" s="32">
        <v>0</v>
      </c>
      <c r="O382" s="44">
        <v>0</v>
      </c>
      <c r="P382" s="44">
        <v>0</v>
      </c>
      <c r="Q382" s="34">
        <v>0</v>
      </c>
      <c r="R382" s="34">
        <v>0</v>
      </c>
      <c r="S382" s="38" t="s">
        <v>57</v>
      </c>
    </row>
    <row customHeight="true" ht="23.703703703703702" r="383">
      <c r="A383" s="42">
        <v>46065</v>
      </c>
      <c r="B383" s="28" t="s">
        <v>52</v>
      </c>
      <c r="C383" s="28">
        <v>0</v>
      </c>
      <c r="D383" s="43">
        <v>52.3</v>
      </c>
      <c r="E383" s="30">
        <v>0</v>
      </c>
      <c r="F383" s="29">
        <v>14.72</v>
      </c>
      <c r="G383" s="30">
        <v>0</v>
      </c>
      <c r="H383" s="30">
        <v>17.11</v>
      </c>
      <c r="I383" s="30">
        <v>0</v>
      </c>
      <c r="J383" s="30">
        <v>-17.11</v>
      </c>
      <c r="K383" s="32">
        <v>0</v>
      </c>
      <c r="L383" s="30">
        <v>-153.99</v>
      </c>
      <c r="M383" s="30">
        <v>0</v>
      </c>
      <c r="N383" s="32">
        <v>0</v>
      </c>
      <c r="O383" s="44">
        <v>0</v>
      </c>
      <c r="P383" s="44">
        <v>0</v>
      </c>
      <c r="Q383" s="34">
        <v>0</v>
      </c>
      <c r="R383" s="34">
        <v>0</v>
      </c>
      <c r="S383" s="38" t="s">
        <v>57</v>
      </c>
    </row>
    <row customHeight="true" ht="23.703703703703702" r="384">
      <c r="A384" s="42">
        <v>46065</v>
      </c>
      <c r="B384" s="28" t="s">
        <v>27</v>
      </c>
      <c r="C384" s="28">
        <v>35</v>
      </c>
      <c r="D384" s="38"/>
      <c r="E384" s="30">
        <v>1990.2</v>
      </c>
      <c r="F384" s="31">
        <v>59.07</v>
      </c>
      <c r="G384" s="30"/>
      <c r="H384" s="30"/>
      <c r="I384" s="30"/>
      <c r="J384" s="30">
        <v>308.515</v>
      </c>
      <c r="K384" s="32">
        <v>0.15501708371018</v>
      </c>
      <c r="L384" s="30">
        <v>2451.01</v>
      </c>
      <c r="M384" s="30">
        <v>15921.6</v>
      </c>
      <c r="N384" s="32"/>
      <c r="O384" s="44">
        <v>16</v>
      </c>
      <c r="P384" s="44">
        <v>19</v>
      </c>
      <c r="Q384" s="34">
        <v>0.457142857142857</v>
      </c>
      <c r="R384" s="34"/>
      <c r="S384" s="38"/>
    </row>
    <row customHeight="true" ht="23.703703703703702" r="385">
      <c r="B385" s="26" t="s">
        <v>54</v>
      </c>
    </row>
    <row customHeight="true" ht="23.703703703703702" r="386">
      <c r="A386" s="20" t="s">
        <v>65</v>
      </c>
      <c r="B386" s="21" t="s">
        <v>28</v>
      </c>
      <c r="C386" s="39" t="s">
        <v>29</v>
      </c>
      <c r="D386" s="21" t="s">
        <v>30</v>
      </c>
      <c r="E386" s="22" t="s">
        <v>31</v>
      </c>
      <c r="F386" s="23" t="s">
        <v>32</v>
      </c>
      <c r="G386" s="22" t="s">
        <v>33</v>
      </c>
      <c r="H386" s="40" t="s">
        <v>34</v>
      </c>
      <c r="I386" s="22" t="s">
        <v>35</v>
      </c>
      <c r="J386" s="22" t="s">
        <v>32</v>
      </c>
      <c r="K386" s="24" t="s">
        <v>36</v>
      </c>
      <c r="L386" s="22" t="s">
        <v>37</v>
      </c>
      <c r="M386" s="22" t="s">
        <v>38</v>
      </c>
      <c r="N386" s="21" t="s">
        <v>39</v>
      </c>
      <c r="O386" s="41" t="s">
        <v>40</v>
      </c>
      <c r="P386" s="25" t="s">
        <v>41</v>
      </c>
      <c r="Q386" s="24" t="s">
        <v>42</v>
      </c>
      <c r="R386" s="24" t="s">
        <v>43</v>
      </c>
      <c r="S386" s="24" t="s">
        <v>56</v>
      </c>
    </row>
    <row customHeight="true" ht="23.703703703703702" r="387">
      <c r="A387" s="42">
        <v>46066</v>
      </c>
      <c r="B387" s="28" t="s">
        <v>46</v>
      </c>
      <c r="C387" s="28">
        <v>2</v>
      </c>
      <c r="D387" s="43">
        <v>55.85</v>
      </c>
      <c r="E387" s="30">
        <v>111.7</v>
      </c>
      <c r="F387" s="29">
        <v>15.78</v>
      </c>
      <c r="G387" s="30">
        <v>16</v>
      </c>
      <c r="H387" s="30">
        <v>30.96</v>
      </c>
      <c r="I387" s="30">
        <v>2.7925</v>
      </c>
      <c r="J387" s="30">
        <v>13.8075</v>
      </c>
      <c r="K387" s="32">
        <v>0.123612354521038</v>
      </c>
      <c r="L387" s="30">
        <v>110.46</v>
      </c>
      <c r="M387" s="30">
        <v>893.6</v>
      </c>
      <c r="N387" s="32">
        <v>0.277170993733214</v>
      </c>
      <c r="O387" s="44">
        <v>1</v>
      </c>
      <c r="P387" s="44">
        <v>1</v>
      </c>
      <c r="Q387" s="34">
        <v>0.5</v>
      </c>
      <c r="R387" s="34">
        <v>0.554341987466428</v>
      </c>
      <c r="S387" s="45" t="s">
        <v>57</v>
      </c>
    </row>
    <row customHeight="true" ht="23.703703703703702" r="388">
      <c r="A388" s="42">
        <v>46066</v>
      </c>
      <c r="B388" s="28" t="s">
        <v>47</v>
      </c>
      <c r="C388" s="28">
        <v>2</v>
      </c>
      <c r="D388" s="43">
        <v>58</v>
      </c>
      <c r="E388" s="30">
        <v>116</v>
      </c>
      <c r="F388" s="29">
        <v>15.88</v>
      </c>
      <c r="G388" s="30">
        <v>16</v>
      </c>
      <c r="H388" s="30">
        <v>23.41</v>
      </c>
      <c r="I388" s="30">
        <v>2.9</v>
      </c>
      <c r="J388" s="30">
        <v>21.45</v>
      </c>
      <c r="K388" s="32">
        <v>0.184913793103448</v>
      </c>
      <c r="L388" s="30">
        <v>171.6</v>
      </c>
      <c r="M388" s="30">
        <v>928</v>
      </c>
      <c r="N388" s="32">
        <v>0.201810344827586</v>
      </c>
      <c r="O388" s="44">
        <v>0</v>
      </c>
      <c r="P388" s="44">
        <v>2</v>
      </c>
      <c r="Q388" s="34">
        <v>0</v>
      </c>
      <c r="R388" s="34">
        <v>0</v>
      </c>
      <c r="S388" s="45" t="s">
        <v>57</v>
      </c>
    </row>
    <row customHeight="true" ht="23.703703703703702" r="389">
      <c r="A389" s="42">
        <v>46066</v>
      </c>
      <c r="B389" s="28" t="s">
        <v>49</v>
      </c>
      <c r="C389" s="28">
        <v>3</v>
      </c>
      <c r="D389" s="43">
        <v>58.8</v>
      </c>
      <c r="E389" s="30">
        <v>176.4</v>
      </c>
      <c r="F389" s="29">
        <v>16.27</v>
      </c>
      <c r="G389" s="30">
        <v>24</v>
      </c>
      <c r="H389" s="30">
        <v>21.27</v>
      </c>
      <c r="I389" s="30">
        <v>4.41</v>
      </c>
      <c r="J389" s="30">
        <v>47.13</v>
      </c>
      <c r="K389" s="32">
        <v>0.267176870748299</v>
      </c>
      <c r="L389" s="30">
        <v>377.04</v>
      </c>
      <c r="M389" s="30">
        <v>1411.2</v>
      </c>
      <c r="N389" s="32">
        <v>0.120578231292517</v>
      </c>
      <c r="O389" s="44">
        <v>2</v>
      </c>
      <c r="P389" s="44">
        <v>1</v>
      </c>
      <c r="Q389" s="34">
        <v>0.666666666666667</v>
      </c>
      <c r="R389" s="34">
        <v>0.180867346938775</v>
      </c>
      <c r="S389" s="38" t="s">
        <v>57</v>
      </c>
    </row>
    <row customHeight="true" ht="23.703703703703702" r="390">
      <c r="A390" s="42">
        <v>46066</v>
      </c>
      <c r="B390" s="28" t="s">
        <v>50</v>
      </c>
      <c r="C390" s="28">
        <v>2</v>
      </c>
      <c r="D390" s="43">
        <v>59.35</v>
      </c>
      <c r="E390" s="30">
        <v>118.7</v>
      </c>
      <c r="F390" s="29">
        <v>15.72</v>
      </c>
      <c r="G390" s="30">
        <v>16</v>
      </c>
      <c r="H390" s="30">
        <v>23.13</v>
      </c>
      <c r="I390" s="30">
        <v>2.9675</v>
      </c>
      <c r="J390" s="30">
        <v>21.3425</v>
      </c>
      <c r="K390" s="32">
        <v>0.17980202190396</v>
      </c>
      <c r="L390" s="30">
        <v>170.74</v>
      </c>
      <c r="M390" s="30">
        <v>949.6</v>
      </c>
      <c r="N390" s="32">
        <v>0.19486099410278</v>
      </c>
      <c r="O390" s="44">
        <v>1</v>
      </c>
      <c r="P390" s="44">
        <v>1</v>
      </c>
      <c r="Q390" s="34">
        <v>0.5</v>
      </c>
      <c r="R390" s="34">
        <v>0.38972198820556</v>
      </c>
      <c r="S390" s="38" t="s">
        <v>57</v>
      </c>
    </row>
    <row customHeight="true" ht="23.703703703703702" r="391">
      <c r="A391" s="42">
        <v>46066</v>
      </c>
      <c r="B391" s="28" t="s">
        <v>52</v>
      </c>
      <c r="C391" s="28">
        <v>4</v>
      </c>
      <c r="D391" s="43">
        <v>52.3</v>
      </c>
      <c r="E391" s="30">
        <v>209.2</v>
      </c>
      <c r="F391" s="29">
        <v>14.72</v>
      </c>
      <c r="G391" s="30">
        <v>32</v>
      </c>
      <c r="H391" s="30">
        <v>23.02</v>
      </c>
      <c r="I391" s="30">
        <v>5.23</v>
      </c>
      <c r="J391" s="30">
        <v>62.63</v>
      </c>
      <c r="K391" s="32">
        <v>0.299378585086042</v>
      </c>
      <c r="L391" s="30">
        <v>563.67</v>
      </c>
      <c r="M391" s="30">
        <v>1882.8</v>
      </c>
      <c r="N391" s="32">
        <v>0.110038240917782</v>
      </c>
      <c r="O391" s="44">
        <v>4</v>
      </c>
      <c r="P391" s="44">
        <v>0</v>
      </c>
      <c r="Q391" s="34">
        <v>1</v>
      </c>
      <c r="R391" s="34">
        <v>0.110038240917782</v>
      </c>
      <c r="S391" s="38" t="s">
        <v>57</v>
      </c>
    </row>
    <row customHeight="true" ht="23.703703703703702" r="392">
      <c r="A392" s="42">
        <v>46066</v>
      </c>
      <c r="B392" s="28" t="s">
        <v>27</v>
      </c>
      <c r="C392" s="28">
        <v>13</v>
      </c>
      <c r="D392" s="38"/>
      <c r="E392" s="30">
        <v>732</v>
      </c>
      <c r="F392" s="31">
        <v>78.37</v>
      </c>
      <c r="G392" s="30"/>
      <c r="H392" s="30"/>
      <c r="I392" s="30"/>
      <c r="J392" s="30">
        <v>166.36</v>
      </c>
      <c r="K392" s="32">
        <v>0.227267759562842</v>
      </c>
      <c r="L392" s="30">
        <v>1393.51</v>
      </c>
      <c r="M392" s="30">
        <v>6065.2</v>
      </c>
      <c r="N392" s="32"/>
      <c r="O392" s="44">
        <v>8</v>
      </c>
      <c r="P392" s="44">
        <v>5</v>
      </c>
      <c r="Q392" s="34">
        <v>0.615384615384615</v>
      </c>
      <c r="R392" s="34"/>
      <c r="S392" s="38"/>
    </row>
    <row customHeight="true" ht="23.703703703703702" r="393">
      <c r="B393" s="26" t="s">
        <v>54</v>
      </c>
    </row>
    <row customHeight="true" ht="23.703703703703702" r="394">
      <c r="A394" s="20" t="s">
        <v>65</v>
      </c>
      <c r="B394" s="21" t="s">
        <v>28</v>
      </c>
      <c r="C394" s="39" t="s">
        <v>29</v>
      </c>
      <c r="D394" s="21" t="s">
        <v>30</v>
      </c>
      <c r="E394" s="22" t="s">
        <v>31</v>
      </c>
      <c r="F394" s="23" t="s">
        <v>32</v>
      </c>
      <c r="G394" s="22" t="s">
        <v>33</v>
      </c>
      <c r="H394" s="40" t="s">
        <v>34</v>
      </c>
      <c r="I394" s="22" t="s">
        <v>35</v>
      </c>
      <c r="J394" s="22" t="s">
        <v>32</v>
      </c>
      <c r="K394" s="24" t="s">
        <v>36</v>
      </c>
      <c r="L394" s="22" t="s">
        <v>37</v>
      </c>
      <c r="M394" s="22" t="s">
        <v>38</v>
      </c>
      <c r="N394" s="21" t="s">
        <v>39</v>
      </c>
      <c r="O394" s="41" t="s">
        <v>40</v>
      </c>
      <c r="P394" s="25" t="s">
        <v>41</v>
      </c>
      <c r="Q394" s="24" t="s">
        <v>42</v>
      </c>
      <c r="R394" s="24" t="s">
        <v>43</v>
      </c>
      <c r="S394" s="24" t="s">
        <v>56</v>
      </c>
    </row>
    <row customHeight="true" ht="23.703703703703702" r="395">
      <c r="A395" s="42">
        <v>46067</v>
      </c>
      <c r="B395" s="28" t="s">
        <v>46</v>
      </c>
      <c r="C395" s="28">
        <v>1</v>
      </c>
      <c r="D395" s="43">
        <v>55.85</v>
      </c>
      <c r="E395" s="30">
        <v>55.85</v>
      </c>
      <c r="F395" s="29">
        <v>15.78</v>
      </c>
      <c r="G395" s="30">
        <v>8</v>
      </c>
      <c r="H395" s="30">
        <v>7.37</v>
      </c>
      <c r="I395" s="30">
        <v>1.39625</v>
      </c>
      <c r="J395" s="30">
        <v>15.01375</v>
      </c>
      <c r="K395" s="32">
        <v>0.268822739480752</v>
      </c>
      <c r="L395" s="30">
        <v>120.11</v>
      </c>
      <c r="M395" s="30">
        <v>446.8</v>
      </c>
      <c r="N395" s="32">
        <v>0.1319606087735</v>
      </c>
      <c r="O395" s="44">
        <v>0</v>
      </c>
      <c r="P395" s="44">
        <v>1</v>
      </c>
      <c r="Q395" s="34">
        <v>0</v>
      </c>
      <c r="R395" s="34">
        <v>0</v>
      </c>
      <c r="S395" s="45" t="s">
        <v>57</v>
      </c>
    </row>
    <row customHeight="true" ht="23.703703703703702" r="396">
      <c r="A396" s="42">
        <v>46067</v>
      </c>
      <c r="B396" s="28" t="s">
        <v>47</v>
      </c>
      <c r="C396" s="28">
        <v>3</v>
      </c>
      <c r="D396" s="43">
        <v>58</v>
      </c>
      <c r="E396" s="30">
        <v>174</v>
      </c>
      <c r="F396" s="29">
        <v>15.88</v>
      </c>
      <c r="G396" s="30">
        <v>24</v>
      </c>
      <c r="H396" s="30">
        <v>8.81</v>
      </c>
      <c r="I396" s="30">
        <v>4.35</v>
      </c>
      <c r="J396" s="30">
        <v>58.48</v>
      </c>
      <c r="K396" s="32">
        <v>0.336091954022988</v>
      </c>
      <c r="L396" s="30">
        <v>467.84</v>
      </c>
      <c r="M396" s="30">
        <v>1392</v>
      </c>
      <c r="N396" s="32">
        <v>0.050632183908046</v>
      </c>
      <c r="O396" s="44">
        <v>0</v>
      </c>
      <c r="P396" s="44">
        <v>3</v>
      </c>
      <c r="Q396" s="34">
        <v>0</v>
      </c>
      <c r="R396" s="34">
        <v>0</v>
      </c>
      <c r="S396" s="45" t="s">
        <v>57</v>
      </c>
    </row>
    <row customHeight="true" ht="23.703703703703702" r="397">
      <c r="A397" s="42">
        <v>46067</v>
      </c>
      <c r="B397" s="28" t="s">
        <v>49</v>
      </c>
      <c r="C397" s="28">
        <v>5</v>
      </c>
      <c r="D397" s="43">
        <v>58.8</v>
      </c>
      <c r="E397" s="30">
        <v>294</v>
      </c>
      <c r="F397" s="29">
        <v>16.27</v>
      </c>
      <c r="G397" s="30">
        <v>40</v>
      </c>
      <c r="H397" s="30">
        <v>8.18</v>
      </c>
      <c r="I397" s="30">
        <v>7.35</v>
      </c>
      <c r="J397" s="30">
        <v>105.82</v>
      </c>
      <c r="K397" s="32">
        <v>0.359931972789116</v>
      </c>
      <c r="L397" s="30">
        <v>846.56</v>
      </c>
      <c r="M397" s="30">
        <v>2352</v>
      </c>
      <c r="N397" s="32">
        <v>0.0278231292517007</v>
      </c>
      <c r="O397" s="44">
        <v>0</v>
      </c>
      <c r="P397" s="44">
        <v>5</v>
      </c>
      <c r="Q397" s="34">
        <v>0</v>
      </c>
      <c r="R397" s="34">
        <v>0</v>
      </c>
      <c r="S397" s="38" t="s">
        <v>57</v>
      </c>
    </row>
    <row customHeight="true" ht="23.703703703703702" r="398">
      <c r="A398" s="42">
        <v>46067</v>
      </c>
      <c r="B398" s="28" t="s">
        <v>50</v>
      </c>
      <c r="C398" s="28">
        <v>1</v>
      </c>
      <c r="D398" s="43">
        <v>59.35</v>
      </c>
      <c r="E398" s="30">
        <v>59.35</v>
      </c>
      <c r="F398" s="29">
        <v>15.72</v>
      </c>
      <c r="G398" s="30">
        <v>8</v>
      </c>
      <c r="H398" s="30">
        <v>27.65</v>
      </c>
      <c r="I398" s="30">
        <v>1.48375</v>
      </c>
      <c r="J398" s="30">
        <v>-5.41375</v>
      </c>
      <c r="K398" s="32">
        <v>-0.0912173546756529</v>
      </c>
      <c r="L398" s="30">
        <v>-43.31</v>
      </c>
      <c r="M398" s="30">
        <v>474.8</v>
      </c>
      <c r="N398" s="32">
        <v>0.465880370682393</v>
      </c>
      <c r="O398" s="44">
        <v>1</v>
      </c>
      <c r="P398" s="44">
        <v>0</v>
      </c>
      <c r="Q398" s="34">
        <v>1</v>
      </c>
      <c r="R398" s="34">
        <v>0.465880370682393</v>
      </c>
      <c r="S398" s="38" t="s">
        <v>57</v>
      </c>
    </row>
    <row customHeight="true" ht="23.703703703703702" r="399">
      <c r="A399" s="42">
        <v>46067</v>
      </c>
      <c r="B399" s="28" t="s">
        <v>52</v>
      </c>
      <c r="C399" s="28">
        <v>7</v>
      </c>
      <c r="D399" s="43">
        <v>52.3</v>
      </c>
      <c r="E399" s="30">
        <v>366.1</v>
      </c>
      <c r="F399" s="29">
        <v>5.39</v>
      </c>
      <c r="G399" s="30">
        <v>56</v>
      </c>
      <c r="H399" s="30">
        <v>43.12</v>
      </c>
      <c r="I399" s="30">
        <v>9.1525</v>
      </c>
      <c r="J399" s="30">
        <v>41.4575</v>
      </c>
      <c r="K399" s="32">
        <v>0.113240917782027</v>
      </c>
      <c r="L399" s="30">
        <v>373.1175</v>
      </c>
      <c r="M399" s="30">
        <v>3294.9</v>
      </c>
      <c r="N399" s="32">
        <v>0.117782026768642</v>
      </c>
      <c r="O399" s="44">
        <v>4</v>
      </c>
      <c r="P399" s="44">
        <v>3</v>
      </c>
      <c r="Q399" s="34">
        <v>0.571428571428571</v>
      </c>
      <c r="R399" s="34">
        <v>0.206118546845124</v>
      </c>
      <c r="S399" s="38" t="s">
        <v>63</v>
      </c>
    </row>
    <row customHeight="true" ht="23.703703703703702" r="400">
      <c r="A400" s="42">
        <v>46067</v>
      </c>
      <c r="B400" s="28" t="s">
        <v>27</v>
      </c>
      <c r="C400" s="28">
        <v>17</v>
      </c>
      <c r="D400" s="38"/>
      <c r="E400" s="30">
        <v>949.3</v>
      </c>
      <c r="F400" s="31">
        <v>69.04</v>
      </c>
      <c r="G400" s="30"/>
      <c r="H400" s="30"/>
      <c r="I400" s="30"/>
      <c r="J400" s="30">
        <v>215.3575</v>
      </c>
      <c r="K400" s="32">
        <v>0.226859264721374</v>
      </c>
      <c r="L400" s="30">
        <v>1764.3175</v>
      </c>
      <c r="M400" s="30">
        <v>7960.5</v>
      </c>
      <c r="N400" s="32"/>
      <c r="O400" s="44">
        <v>5</v>
      </c>
      <c r="P400" s="44">
        <v>12</v>
      </c>
      <c r="Q400" s="34">
        <v>0.294117647058824</v>
      </c>
      <c r="R400" s="34"/>
      <c r="S400" s="38"/>
    </row>
    <row customHeight="true" ht="23.703703703703702" r="401">
      <c r="B401" s="26" t="s">
        <v>54</v>
      </c>
    </row>
    <row customHeight="true" ht="23.703703703703702" r="402">
      <c r="A402" s="20" t="s">
        <v>65</v>
      </c>
      <c r="B402" s="21" t="s">
        <v>28</v>
      </c>
      <c r="C402" s="39" t="s">
        <v>29</v>
      </c>
      <c r="D402" s="21" t="s">
        <v>30</v>
      </c>
      <c r="E402" s="22" t="s">
        <v>31</v>
      </c>
      <c r="F402" s="23" t="s">
        <v>32</v>
      </c>
      <c r="G402" s="22" t="s">
        <v>33</v>
      </c>
      <c r="H402" s="40" t="s">
        <v>34</v>
      </c>
      <c r="I402" s="22" t="s">
        <v>35</v>
      </c>
      <c r="J402" s="22" t="s">
        <v>32</v>
      </c>
      <c r="K402" s="24" t="s">
        <v>36</v>
      </c>
      <c r="L402" s="22" t="s">
        <v>37</v>
      </c>
      <c r="M402" s="22" t="s">
        <v>38</v>
      </c>
      <c r="N402" s="21" t="s">
        <v>39</v>
      </c>
      <c r="O402" s="41" t="s">
        <v>40</v>
      </c>
      <c r="P402" s="25" t="s">
        <v>41</v>
      </c>
      <c r="Q402" s="24" t="s">
        <v>42</v>
      </c>
      <c r="R402" s="24" t="s">
        <v>43</v>
      </c>
      <c r="S402" s="24" t="s">
        <v>56</v>
      </c>
    </row>
    <row customHeight="true" ht="23.703703703703702" r="403">
      <c r="A403" s="42">
        <v>46068</v>
      </c>
      <c r="B403" s="28" t="s">
        <v>46</v>
      </c>
      <c r="C403" s="28">
        <v>7</v>
      </c>
      <c r="D403" s="43">
        <v>55.85</v>
      </c>
      <c r="E403" s="30">
        <v>390.95</v>
      </c>
      <c r="F403" s="29">
        <v>15.78</v>
      </c>
      <c r="G403" s="30">
        <v>56</v>
      </c>
      <c r="H403" s="30">
        <v>85.95</v>
      </c>
      <c r="I403" s="30">
        <v>9.77375</v>
      </c>
      <c r="J403" s="30">
        <v>70.73625</v>
      </c>
      <c r="K403" s="32">
        <v>0.180934262693439</v>
      </c>
      <c r="L403" s="30">
        <v>565.89</v>
      </c>
      <c r="M403" s="30">
        <v>3127.6</v>
      </c>
      <c r="N403" s="32">
        <v>0.219849085560813</v>
      </c>
      <c r="O403" s="44">
        <v>8</v>
      </c>
      <c r="P403" s="44">
        <v>-1</v>
      </c>
      <c r="Q403" s="34">
        <v>1.14285714285714</v>
      </c>
      <c r="R403" s="34">
        <v>0.192367949865712</v>
      </c>
      <c r="S403" s="45" t="s">
        <v>57</v>
      </c>
    </row>
    <row customHeight="true" ht="23.703703703703702" r="404">
      <c r="A404" s="42">
        <v>46068</v>
      </c>
      <c r="B404" s="28" t="s">
        <v>47</v>
      </c>
      <c r="C404" s="28">
        <v>2</v>
      </c>
      <c r="D404" s="43">
        <v>58</v>
      </c>
      <c r="E404" s="30">
        <v>116</v>
      </c>
      <c r="F404" s="29">
        <v>15.88</v>
      </c>
      <c r="G404" s="30">
        <v>16</v>
      </c>
      <c r="H404" s="30">
        <v>35.27</v>
      </c>
      <c r="I404" s="30">
        <v>2.9</v>
      </c>
      <c r="J404" s="30">
        <v>9.59</v>
      </c>
      <c r="K404" s="32">
        <v>0.0826724137931035</v>
      </c>
      <c r="L404" s="30">
        <v>76.72</v>
      </c>
      <c r="M404" s="30">
        <v>928</v>
      </c>
      <c r="N404" s="32">
        <v>0.304051724137931</v>
      </c>
      <c r="O404" s="44">
        <v>0</v>
      </c>
      <c r="P404" s="44">
        <v>2</v>
      </c>
      <c r="Q404" s="34">
        <v>0</v>
      </c>
      <c r="R404" s="34">
        <v>0</v>
      </c>
      <c r="S404" s="45" t="s">
        <v>57</v>
      </c>
    </row>
    <row customHeight="true" ht="23.703703703703702" r="405">
      <c r="A405" s="42">
        <v>46068</v>
      </c>
      <c r="B405" s="28" t="s">
        <v>49</v>
      </c>
      <c r="C405" s="28">
        <v>2</v>
      </c>
      <c r="D405" s="43">
        <v>58.8</v>
      </c>
      <c r="E405" s="30">
        <v>117.6</v>
      </c>
      <c r="F405" s="29">
        <v>16.27</v>
      </c>
      <c r="G405" s="30">
        <v>16</v>
      </c>
      <c r="H405" s="30">
        <v>17.84</v>
      </c>
      <c r="I405" s="30">
        <v>2.94</v>
      </c>
      <c r="J405" s="30">
        <v>27.76</v>
      </c>
      <c r="K405" s="32">
        <v>0.236054421768707</v>
      </c>
      <c r="L405" s="30">
        <v>222.08</v>
      </c>
      <c r="M405" s="30">
        <v>940.8</v>
      </c>
      <c r="N405" s="32">
        <v>0.151700680272109</v>
      </c>
      <c r="O405" s="44">
        <v>2</v>
      </c>
      <c r="P405" s="44">
        <v>0</v>
      </c>
      <c r="Q405" s="34">
        <v>1</v>
      </c>
      <c r="R405" s="34">
        <v>0.151700680272109</v>
      </c>
      <c r="S405" s="38" t="s">
        <v>57</v>
      </c>
    </row>
    <row customHeight="true" ht="23.703703703703702" r="406">
      <c r="A406" s="42">
        <v>46068</v>
      </c>
      <c r="B406" s="28" t="s">
        <v>50</v>
      </c>
      <c r="C406" s="28">
        <v>0</v>
      </c>
      <c r="D406" s="43">
        <v>59.35</v>
      </c>
      <c r="E406" s="30">
        <v>0</v>
      </c>
      <c r="F406" s="29">
        <v>15.72</v>
      </c>
      <c r="G406" s="30">
        <v>0</v>
      </c>
      <c r="H406" s="30">
        <v>37.85</v>
      </c>
      <c r="I406" s="30">
        <v>0</v>
      </c>
      <c r="J406" s="30">
        <v>-37.85</v>
      </c>
      <c r="K406" s="32">
        <v>0</v>
      </c>
      <c r="L406" s="30">
        <v>-302.8</v>
      </c>
      <c r="M406" s="30">
        <v>0</v>
      </c>
      <c r="N406" s="32">
        <v>0</v>
      </c>
      <c r="O406" s="44">
        <v>0</v>
      </c>
      <c r="P406" s="44">
        <v>0</v>
      </c>
      <c r="Q406" s="34">
        <v>0</v>
      </c>
      <c r="R406" s="34">
        <v>0</v>
      </c>
      <c r="S406" s="38" t="s">
        <v>57</v>
      </c>
    </row>
    <row customHeight="true" ht="23.703703703703702" r="407">
      <c r="A407" s="42">
        <v>46068</v>
      </c>
      <c r="B407" s="28" t="s">
        <v>52</v>
      </c>
      <c r="C407" s="28">
        <v>8</v>
      </c>
      <c r="D407" s="43">
        <v>52.3</v>
      </c>
      <c r="E407" s="30">
        <v>418.4</v>
      </c>
      <c r="F407" s="29">
        <v>5.39</v>
      </c>
      <c r="G407" s="30">
        <v>64</v>
      </c>
      <c r="H407" s="30">
        <v>42.73</v>
      </c>
      <c r="I407" s="30">
        <v>10.46</v>
      </c>
      <c r="J407" s="30">
        <v>53.93</v>
      </c>
      <c r="K407" s="32">
        <v>0.128895793499044</v>
      </c>
      <c r="L407" s="30">
        <v>485.37</v>
      </c>
      <c r="M407" s="30">
        <v>3765.6</v>
      </c>
      <c r="N407" s="32">
        <v>0.102127151051625</v>
      </c>
      <c r="O407" s="44">
        <v>3</v>
      </c>
      <c r="P407" s="44">
        <v>5</v>
      </c>
      <c r="Q407" s="34">
        <v>0.375</v>
      </c>
      <c r="R407" s="34">
        <v>0.272339069471001</v>
      </c>
      <c r="S407" s="38" t="s">
        <v>63</v>
      </c>
    </row>
    <row customHeight="true" ht="23.703703703703702" r="408">
      <c r="A408" s="42">
        <v>46068</v>
      </c>
      <c r="B408" s="28" t="s">
        <v>27</v>
      </c>
      <c r="C408" s="28">
        <v>19</v>
      </c>
      <c r="D408" s="38"/>
      <c r="E408" s="30">
        <v>1042.95</v>
      </c>
      <c r="F408" s="31">
        <v>69.04</v>
      </c>
      <c r="G408" s="30"/>
      <c r="H408" s="30"/>
      <c r="I408" s="30"/>
      <c r="J408" s="30">
        <v>124.16625</v>
      </c>
      <c r="K408" s="32">
        <v>0.11905292679419</v>
      </c>
      <c r="L408" s="30">
        <v>1047.26</v>
      </c>
      <c r="M408" s="30">
        <v>8762</v>
      </c>
      <c r="N408" s="32"/>
      <c r="O408" s="44">
        <v>13</v>
      </c>
      <c r="P408" s="44">
        <v>6</v>
      </c>
      <c r="Q408" s="34">
        <v>0.684210526315789</v>
      </c>
      <c r="R408" s="34"/>
      <c r="S408" s="38"/>
    </row>
    <row customHeight="true" ht="23.703703703703702" r="409">
      <c r="B409" s="26" t="s">
        <v>54</v>
      </c>
    </row>
    <row customHeight="true" ht="23.703703703703702" r="410">
      <c r="A410" s="20" t="s">
        <v>65</v>
      </c>
      <c r="B410" s="21" t="s">
        <v>28</v>
      </c>
      <c r="C410" s="39" t="s">
        <v>29</v>
      </c>
      <c r="D410" s="21" t="s">
        <v>30</v>
      </c>
      <c r="E410" s="22" t="s">
        <v>31</v>
      </c>
      <c r="F410" s="23" t="s">
        <v>32</v>
      </c>
      <c r="G410" s="22" t="s">
        <v>33</v>
      </c>
      <c r="H410" s="40" t="s">
        <v>34</v>
      </c>
      <c r="I410" s="22" t="s">
        <v>35</v>
      </c>
      <c r="J410" s="22" t="s">
        <v>32</v>
      </c>
      <c r="K410" s="24" t="s">
        <v>36</v>
      </c>
      <c r="L410" s="22" t="s">
        <v>37</v>
      </c>
      <c r="M410" s="22" t="s">
        <v>38</v>
      </c>
      <c r="N410" s="21" t="s">
        <v>39</v>
      </c>
      <c r="O410" s="41" t="s">
        <v>40</v>
      </c>
      <c r="P410" s="25" t="s">
        <v>41</v>
      </c>
      <c r="Q410" s="24" t="s">
        <v>42</v>
      </c>
      <c r="R410" s="24" t="s">
        <v>43</v>
      </c>
      <c r="S410" s="24" t="s">
        <v>56</v>
      </c>
    </row>
    <row customHeight="true" ht="23.703703703703702" r="411">
      <c r="A411" s="42">
        <v>46069</v>
      </c>
      <c r="B411" s="28" t="s">
        <v>46</v>
      </c>
      <c r="C411" s="28">
        <v>6</v>
      </c>
      <c r="D411" s="43">
        <v>55.85</v>
      </c>
      <c r="E411" s="30">
        <v>335.1</v>
      </c>
      <c r="F411" s="29">
        <v>5.69</v>
      </c>
      <c r="G411" s="30">
        <v>48</v>
      </c>
      <c r="H411" s="30">
        <v>53.44</v>
      </c>
      <c r="I411" s="30">
        <v>8.3775</v>
      </c>
      <c r="J411" s="30">
        <v>20.3225</v>
      </c>
      <c r="K411" s="32">
        <v>0.0606460757982692</v>
      </c>
      <c r="L411" s="30">
        <v>162.58</v>
      </c>
      <c r="M411" s="30">
        <v>2680.8</v>
      </c>
      <c r="N411" s="32">
        <v>0.159474783646673</v>
      </c>
      <c r="O411" s="44">
        <v>5</v>
      </c>
      <c r="P411" s="44">
        <v>1</v>
      </c>
      <c r="Q411" s="34">
        <v>0.833333333333333</v>
      </c>
      <c r="R411" s="34">
        <v>0.191369740376007</v>
      </c>
      <c r="S411" s="45" t="s">
        <v>61</v>
      </c>
    </row>
    <row customHeight="true" ht="23.703703703703702" r="412">
      <c r="A412" s="42">
        <v>46069</v>
      </c>
      <c r="B412" s="28" t="s">
        <v>47</v>
      </c>
      <c r="C412" s="28">
        <v>7</v>
      </c>
      <c r="D412" s="43">
        <v>58</v>
      </c>
      <c r="E412" s="30">
        <v>406</v>
      </c>
      <c r="F412" s="29">
        <v>10.01</v>
      </c>
      <c r="G412" s="30">
        <v>56</v>
      </c>
      <c r="H412" s="30">
        <v>38.41</v>
      </c>
      <c r="I412" s="30">
        <v>10.15</v>
      </c>
      <c r="J412" s="30">
        <v>77.51</v>
      </c>
      <c r="K412" s="32">
        <v>0.190911330049261</v>
      </c>
      <c r="L412" s="30">
        <v>620.08</v>
      </c>
      <c r="M412" s="30">
        <v>3248</v>
      </c>
      <c r="N412" s="32">
        <v>0.0946059113300493</v>
      </c>
      <c r="O412" s="44">
        <v>1</v>
      </c>
      <c r="P412" s="44">
        <v>6</v>
      </c>
      <c r="Q412" s="34">
        <v>0.142857142857143</v>
      </c>
      <c r="R412" s="34">
        <v>0.662241379310344</v>
      </c>
      <c r="S412" s="45" t="s">
        <v>70</v>
      </c>
    </row>
    <row customHeight="true" ht="23.703703703703702" r="413">
      <c r="A413" s="42">
        <v>46069</v>
      </c>
      <c r="B413" s="28" t="s">
        <v>49</v>
      </c>
      <c r="C413" s="28">
        <v>4</v>
      </c>
      <c r="D413" s="43">
        <v>58.8</v>
      </c>
      <c r="E413" s="30">
        <v>235.2</v>
      </c>
      <c r="F413" s="29">
        <v>16.27</v>
      </c>
      <c r="G413" s="30">
        <v>32</v>
      </c>
      <c r="H413" s="30">
        <v>10.6</v>
      </c>
      <c r="I413" s="30">
        <v>5.88</v>
      </c>
      <c r="J413" s="30">
        <v>80.6</v>
      </c>
      <c r="K413" s="32">
        <v>0.342687074829932</v>
      </c>
      <c r="L413" s="30">
        <v>644.8</v>
      </c>
      <c r="M413" s="30">
        <v>1881.6</v>
      </c>
      <c r="N413" s="32">
        <v>0.0450680272108844</v>
      </c>
      <c r="O413" s="44">
        <v>1</v>
      </c>
      <c r="P413" s="44">
        <v>3</v>
      </c>
      <c r="Q413" s="34">
        <v>0.25</v>
      </c>
      <c r="R413" s="34">
        <v>0.180272108843537</v>
      </c>
      <c r="S413" s="38" t="s">
        <v>57</v>
      </c>
    </row>
    <row customHeight="true" ht="23.703703703703702" r="414">
      <c r="A414" s="42">
        <v>46069</v>
      </c>
      <c r="B414" s="28" t="s">
        <v>50</v>
      </c>
      <c r="C414" s="28">
        <v>0</v>
      </c>
      <c r="D414" s="43">
        <v>59.35</v>
      </c>
      <c r="E414" s="30">
        <v>0</v>
      </c>
      <c r="F414" s="29">
        <v>15.72</v>
      </c>
      <c r="G414" s="30">
        <v>0</v>
      </c>
      <c r="H414" s="30">
        <v>21.67</v>
      </c>
      <c r="I414" s="30">
        <v>0</v>
      </c>
      <c r="J414" s="30">
        <v>-21.67</v>
      </c>
      <c r="K414" s="32">
        <v>0</v>
      </c>
      <c r="L414" s="30">
        <v>-173.36</v>
      </c>
      <c r="M414" s="30">
        <v>0</v>
      </c>
      <c r="N414" s="32">
        <v>0</v>
      </c>
      <c r="O414" s="44">
        <v>1</v>
      </c>
      <c r="P414" s="44">
        <v>-1</v>
      </c>
      <c r="Q414" s="34">
        <v>0</v>
      </c>
      <c r="R414" s="34">
        <v>0</v>
      </c>
      <c r="S414" s="38" t="s">
        <v>57</v>
      </c>
    </row>
    <row customHeight="true" ht="23.703703703703702" r="415">
      <c r="A415" s="42">
        <v>46069</v>
      </c>
      <c r="B415" s="28" t="s">
        <v>52</v>
      </c>
      <c r="C415" s="28">
        <v>11</v>
      </c>
      <c r="D415" s="43">
        <v>52.3</v>
      </c>
      <c r="E415" s="30">
        <v>575.3</v>
      </c>
      <c r="F415" s="29">
        <v>5.39</v>
      </c>
      <c r="G415" s="30">
        <v>88</v>
      </c>
      <c r="H415" s="30">
        <v>36.81</v>
      </c>
      <c r="I415" s="30">
        <v>14.3825</v>
      </c>
      <c r="J415" s="30">
        <v>96.0975</v>
      </c>
      <c r="K415" s="32">
        <v>0.167038936207196</v>
      </c>
      <c r="L415" s="30">
        <v>864.8775</v>
      </c>
      <c r="M415" s="30">
        <v>5177.7</v>
      </c>
      <c r="N415" s="32">
        <v>0.063984008343473</v>
      </c>
      <c r="O415" s="44">
        <v>4</v>
      </c>
      <c r="P415" s="44">
        <v>7</v>
      </c>
      <c r="Q415" s="34">
        <v>0.363636363636364</v>
      </c>
      <c r="R415" s="34">
        <v>0.175956022944551</v>
      </c>
      <c r="S415" s="38" t="s">
        <v>63</v>
      </c>
    </row>
    <row customHeight="true" ht="23.703703703703702" r="416">
      <c r="A416" s="42">
        <v>46069</v>
      </c>
      <c r="B416" s="28" t="s">
        <v>27</v>
      </c>
      <c r="C416" s="28">
        <v>28</v>
      </c>
      <c r="D416" s="38"/>
      <c r="E416" s="30">
        <v>1551.6</v>
      </c>
      <c r="F416" s="31">
        <v>53.08</v>
      </c>
      <c r="G416" s="30"/>
      <c r="H416" s="30"/>
      <c r="I416" s="30"/>
      <c r="J416" s="30">
        <v>252.86</v>
      </c>
      <c r="K416" s="32">
        <v>0.16296725960299</v>
      </c>
      <c r="L416" s="30">
        <v>2118.9775</v>
      </c>
      <c r="M416" s="30">
        <v>12988.1</v>
      </c>
      <c r="N416" s="32"/>
      <c r="O416" s="44">
        <v>12</v>
      </c>
      <c r="P416" s="44">
        <v>16</v>
      </c>
      <c r="Q416" s="34">
        <v>0.428571428571429</v>
      </c>
      <c r="R416" s="34"/>
      <c r="S416" s="38"/>
    </row>
    <row customHeight="true" ht="23.703703703703702" r="417">
      <c r="B417" s="26" t="s">
        <v>54</v>
      </c>
    </row>
    <row customHeight="true" ht="23.703703703703702" r="418">
      <c r="A418" s="20" t="s">
        <v>65</v>
      </c>
      <c r="B418" s="21" t="s">
        <v>28</v>
      </c>
      <c r="C418" s="39" t="s">
        <v>29</v>
      </c>
      <c r="D418" s="21" t="s">
        <v>30</v>
      </c>
      <c r="E418" s="22" t="s">
        <v>31</v>
      </c>
      <c r="F418" s="23" t="s">
        <v>32</v>
      </c>
      <c r="G418" s="22" t="s">
        <v>33</v>
      </c>
      <c r="H418" s="40" t="s">
        <v>34</v>
      </c>
      <c r="I418" s="22" t="s">
        <v>35</v>
      </c>
      <c r="J418" s="22" t="s">
        <v>32</v>
      </c>
      <c r="K418" s="24" t="s">
        <v>36</v>
      </c>
      <c r="L418" s="22" t="s">
        <v>37</v>
      </c>
      <c r="M418" s="22" t="s">
        <v>38</v>
      </c>
      <c r="N418" s="21" t="s">
        <v>39</v>
      </c>
      <c r="O418" s="41" t="s">
        <v>40</v>
      </c>
      <c r="P418" s="25" t="s">
        <v>41</v>
      </c>
      <c r="Q418" s="24" t="s">
        <v>42</v>
      </c>
      <c r="R418" s="24" t="s">
        <v>43</v>
      </c>
      <c r="S418" s="24" t="s">
        <v>56</v>
      </c>
    </row>
    <row customHeight="true" ht="23.703703703703702" r="419">
      <c r="A419" s="42">
        <v>46070</v>
      </c>
      <c r="B419" s="28" t="s">
        <v>46</v>
      </c>
      <c r="C419" s="28">
        <v>5</v>
      </c>
      <c r="D419" s="43">
        <v>55.85</v>
      </c>
      <c r="E419" s="30">
        <v>279.25</v>
      </c>
      <c r="F419" s="29">
        <v>5.69</v>
      </c>
      <c r="G419" s="30">
        <v>40</v>
      </c>
      <c r="H419" s="30">
        <v>55.34</v>
      </c>
      <c r="I419" s="30">
        <v>6.98125</v>
      </c>
      <c r="J419" s="30">
        <v>6.12875</v>
      </c>
      <c r="K419" s="32">
        <v>0.0219471799462847</v>
      </c>
      <c r="L419" s="30">
        <v>49.03</v>
      </c>
      <c r="M419" s="30">
        <v>2234</v>
      </c>
      <c r="N419" s="32">
        <v>0.198173679498657</v>
      </c>
      <c r="O419" s="44">
        <v>2</v>
      </c>
      <c r="P419" s="44">
        <v>3</v>
      </c>
      <c r="Q419" s="34">
        <v>0.4</v>
      </c>
      <c r="R419" s="34">
        <v>0.495434198746643</v>
      </c>
      <c r="S419" s="45" t="s">
        <v>61</v>
      </c>
    </row>
    <row customHeight="true" ht="23.703703703703702" r="420">
      <c r="A420" s="42">
        <v>46070</v>
      </c>
      <c r="B420" s="28" t="s">
        <v>47</v>
      </c>
      <c r="C420" s="28">
        <v>4</v>
      </c>
      <c r="D420" s="43">
        <v>58</v>
      </c>
      <c r="E420" s="30">
        <v>232</v>
      </c>
      <c r="F420" s="29">
        <v>10.01</v>
      </c>
      <c r="G420" s="30">
        <v>32</v>
      </c>
      <c r="H420" s="30">
        <v>18.36</v>
      </c>
      <c r="I420" s="30">
        <v>5.8</v>
      </c>
      <c r="J420" s="30">
        <v>47.88</v>
      </c>
      <c r="K420" s="32">
        <v>0.206379310344828</v>
      </c>
      <c r="L420" s="30">
        <v>383.04</v>
      </c>
      <c r="M420" s="30">
        <v>1856</v>
      </c>
      <c r="N420" s="32">
        <v>0.0791379310344828</v>
      </c>
      <c r="O420" s="44">
        <v>5</v>
      </c>
      <c r="P420" s="44">
        <v>-1</v>
      </c>
      <c r="Q420" s="34">
        <v>1.25</v>
      </c>
      <c r="R420" s="34">
        <v>0.0633103448275862</v>
      </c>
      <c r="S420" s="45" t="s">
        <v>70</v>
      </c>
    </row>
    <row customHeight="true" ht="23.703703703703702" r="421">
      <c r="A421" s="42">
        <v>46070</v>
      </c>
      <c r="B421" s="28" t="s">
        <v>49</v>
      </c>
      <c r="C421" s="28">
        <v>3</v>
      </c>
      <c r="D421" s="43">
        <v>58.8</v>
      </c>
      <c r="E421" s="30">
        <v>176.4</v>
      </c>
      <c r="F421" s="29">
        <v>16.27</v>
      </c>
      <c r="G421" s="30">
        <v>24</v>
      </c>
      <c r="H421" s="30">
        <v>13.44</v>
      </c>
      <c r="I421" s="30">
        <v>4.41</v>
      </c>
      <c r="J421" s="30">
        <v>54.96</v>
      </c>
      <c r="K421" s="32">
        <v>0.31156462585034</v>
      </c>
      <c r="L421" s="30">
        <v>439.68</v>
      </c>
      <c r="M421" s="30">
        <v>1411.2</v>
      </c>
      <c r="N421" s="32">
        <v>0.0761904761904762</v>
      </c>
      <c r="O421" s="44">
        <v>2</v>
      </c>
      <c r="P421" s="44">
        <v>1</v>
      </c>
      <c r="Q421" s="34">
        <v>0.666666666666667</v>
      </c>
      <c r="R421" s="34">
        <v>0.114285714285714</v>
      </c>
      <c r="S421" s="38" t="s">
        <v>57</v>
      </c>
    </row>
    <row customHeight="true" ht="23.703703703703702" r="422">
      <c r="A422" s="42">
        <v>46070</v>
      </c>
      <c r="B422" s="28" t="s">
        <v>50</v>
      </c>
      <c r="C422" s="28">
        <v>2</v>
      </c>
      <c r="D422" s="43">
        <v>59.35</v>
      </c>
      <c r="E422" s="30">
        <v>118.7</v>
      </c>
      <c r="F422" s="29">
        <v>15.72</v>
      </c>
      <c r="G422" s="30">
        <v>16</v>
      </c>
      <c r="H422" s="30">
        <v>23.53</v>
      </c>
      <c r="I422" s="30">
        <v>2.9675</v>
      </c>
      <c r="J422" s="30">
        <v>20.9425</v>
      </c>
      <c r="K422" s="32">
        <v>0.176432181971356</v>
      </c>
      <c r="L422" s="30">
        <v>167.54</v>
      </c>
      <c r="M422" s="30">
        <v>949.6</v>
      </c>
      <c r="N422" s="32">
        <v>0.198230834035383</v>
      </c>
      <c r="O422" s="44">
        <v>2</v>
      </c>
      <c r="P422" s="44">
        <v>0</v>
      </c>
      <c r="Q422" s="34">
        <v>1</v>
      </c>
      <c r="R422" s="34">
        <v>0.198230834035383</v>
      </c>
      <c r="S422" s="38" t="s">
        <v>57</v>
      </c>
    </row>
    <row customHeight="true" ht="23.703703703703702" r="423">
      <c r="A423" s="42">
        <v>46070</v>
      </c>
      <c r="B423" s="28" t="s">
        <v>52</v>
      </c>
      <c r="C423" s="28">
        <v>4</v>
      </c>
      <c r="D423" s="43">
        <v>52.3</v>
      </c>
      <c r="E423" s="30">
        <v>209.2</v>
      </c>
      <c r="F423" s="29">
        <v>5.39</v>
      </c>
      <c r="G423" s="30">
        <v>32</v>
      </c>
      <c r="H423" s="30">
        <v>39.83</v>
      </c>
      <c r="I423" s="30">
        <v>5.23</v>
      </c>
      <c r="J423" s="30">
        <v>8.5</v>
      </c>
      <c r="K423" s="32">
        <v>0.0406309751434035</v>
      </c>
      <c r="L423" s="30">
        <v>76.5</v>
      </c>
      <c r="M423" s="30">
        <v>1882.8</v>
      </c>
      <c r="N423" s="32">
        <v>0.190391969407266</v>
      </c>
      <c r="O423" s="44">
        <v>4</v>
      </c>
      <c r="P423" s="44">
        <v>0</v>
      </c>
      <c r="Q423" s="34">
        <v>1</v>
      </c>
      <c r="R423" s="34">
        <v>0.190391969407266</v>
      </c>
      <c r="S423" s="38" t="s">
        <v>63</v>
      </c>
    </row>
    <row customHeight="true" ht="23.703703703703702" r="424">
      <c r="A424" s="42">
        <v>46070</v>
      </c>
      <c r="B424" s="28" t="s">
        <v>27</v>
      </c>
      <c r="C424" s="28">
        <v>18</v>
      </c>
      <c r="D424" s="38"/>
      <c r="E424" s="30">
        <v>1015.55</v>
      </c>
      <c r="F424" s="31">
        <v>53.08</v>
      </c>
      <c r="G424" s="30"/>
      <c r="H424" s="30"/>
      <c r="I424" s="30"/>
      <c r="J424" s="30">
        <v>138.41125</v>
      </c>
      <c r="K424" s="32">
        <v>0.136291910787258</v>
      </c>
      <c r="L424" s="30">
        <v>1115.79</v>
      </c>
      <c r="M424" s="30">
        <v>8333.6</v>
      </c>
      <c r="N424" s="32"/>
      <c r="O424" s="44">
        <v>15</v>
      </c>
      <c r="P424" s="44">
        <v>3</v>
      </c>
      <c r="Q424" s="34">
        <v>0.833333333333333</v>
      </c>
      <c r="R424" s="34"/>
      <c r="S424" s="38"/>
    </row>
    <row customHeight="true" ht="23.703703703703702" r="425">
      <c r="B425" s="26" t="s">
        <v>54</v>
      </c>
    </row>
    <row customHeight="true" ht="23.703703703703702" r="426">
      <c r="A426" s="20" t="s">
        <v>65</v>
      </c>
      <c r="B426" s="21" t="s">
        <v>28</v>
      </c>
      <c r="C426" s="39" t="s">
        <v>29</v>
      </c>
      <c r="D426" s="21" t="s">
        <v>30</v>
      </c>
      <c r="E426" s="22" t="s">
        <v>31</v>
      </c>
      <c r="F426" s="23" t="s">
        <v>32</v>
      </c>
      <c r="G426" s="22" t="s">
        <v>33</v>
      </c>
      <c r="H426" s="40" t="s">
        <v>34</v>
      </c>
      <c r="I426" s="22" t="s">
        <v>35</v>
      </c>
      <c r="J426" s="22" t="s">
        <v>32</v>
      </c>
      <c r="K426" s="24" t="s">
        <v>36</v>
      </c>
      <c r="L426" s="22" t="s">
        <v>37</v>
      </c>
      <c r="M426" s="22" t="s">
        <v>38</v>
      </c>
      <c r="N426" s="21" t="s">
        <v>39</v>
      </c>
      <c r="O426" s="41" t="s">
        <v>40</v>
      </c>
      <c r="P426" s="25" t="s">
        <v>41</v>
      </c>
      <c r="Q426" s="24" t="s">
        <v>42</v>
      </c>
      <c r="R426" s="24" t="s">
        <v>43</v>
      </c>
      <c r="S426" s="24" t="s">
        <v>56</v>
      </c>
    </row>
    <row customHeight="true" ht="23.703703703703702" r="427">
      <c r="A427" s="42">
        <v>46071</v>
      </c>
      <c r="B427" s="28" t="s">
        <v>46</v>
      </c>
      <c r="C427" s="28">
        <v>11</v>
      </c>
      <c r="D427" s="43">
        <v>55.85</v>
      </c>
      <c r="E427" s="30">
        <v>614.35</v>
      </c>
      <c r="F427" s="29">
        <v>5.69</v>
      </c>
      <c r="G427" s="30">
        <v>88</v>
      </c>
      <c r="H427" s="30">
        <v>60.5</v>
      </c>
      <c r="I427" s="30">
        <v>15.35875</v>
      </c>
      <c r="J427" s="30">
        <v>74.73125</v>
      </c>
      <c r="K427" s="32">
        <v>0.121642793196061</v>
      </c>
      <c r="L427" s="30">
        <v>597.85</v>
      </c>
      <c r="M427" s="30">
        <v>4914.8</v>
      </c>
      <c r="N427" s="32">
        <v>0.0984780662488809</v>
      </c>
      <c r="O427" s="44">
        <v>5</v>
      </c>
      <c r="P427" s="44">
        <v>6</v>
      </c>
      <c r="Q427" s="34">
        <v>0.454545454545455</v>
      </c>
      <c r="R427" s="34">
        <v>0.216651745747538</v>
      </c>
      <c r="S427" s="45" t="s">
        <v>61</v>
      </c>
    </row>
    <row customHeight="true" ht="23.703703703703702" r="428">
      <c r="A428" s="42">
        <v>46071</v>
      </c>
      <c r="B428" s="28" t="s">
        <v>47</v>
      </c>
      <c r="C428" s="28">
        <v>8</v>
      </c>
      <c r="D428" s="43">
        <v>58</v>
      </c>
      <c r="E428" s="30">
        <v>464</v>
      </c>
      <c r="F428" s="29">
        <v>10.01</v>
      </c>
      <c r="G428" s="30">
        <v>64</v>
      </c>
      <c r="H428" s="30">
        <v>10.19</v>
      </c>
      <c r="I428" s="30">
        <v>11.6</v>
      </c>
      <c r="J428" s="30">
        <v>122.29</v>
      </c>
      <c r="K428" s="32">
        <v>0.263556034482759</v>
      </c>
      <c r="L428" s="30">
        <v>978.32</v>
      </c>
      <c r="M428" s="30">
        <v>3712</v>
      </c>
      <c r="N428" s="32">
        <v>0.0219612068965517</v>
      </c>
      <c r="O428" s="44">
        <v>0</v>
      </c>
      <c r="P428" s="44">
        <v>8</v>
      </c>
      <c r="Q428" s="34">
        <v>0</v>
      </c>
      <c r="R428" s="34">
        <v>0</v>
      </c>
      <c r="S428" s="45" t="s">
        <v>70</v>
      </c>
    </row>
    <row customHeight="true" ht="23.703703703703702" r="429">
      <c r="A429" s="42">
        <v>46071</v>
      </c>
      <c r="B429" s="28" t="s">
        <v>49</v>
      </c>
      <c r="C429" s="28">
        <v>35</v>
      </c>
      <c r="D429" s="43">
        <v>58.8</v>
      </c>
      <c r="E429" s="30">
        <v>2058</v>
      </c>
      <c r="F429" s="29">
        <v>1.91</v>
      </c>
      <c r="G429" s="30">
        <v>280</v>
      </c>
      <c r="H429" s="30">
        <v>34.45</v>
      </c>
      <c r="I429" s="30">
        <v>51.45</v>
      </c>
      <c r="J429" s="30">
        <v>260.95</v>
      </c>
      <c r="K429" s="32">
        <v>0.126797862001944</v>
      </c>
      <c r="L429" s="30">
        <v>2087.6</v>
      </c>
      <c r="M429" s="30">
        <v>16464</v>
      </c>
      <c r="N429" s="32">
        <v>0.0167395529640428</v>
      </c>
      <c r="O429" s="44">
        <v>13</v>
      </c>
      <c r="P429" s="44">
        <v>22</v>
      </c>
      <c r="Q429" s="34">
        <v>0.371428571428571</v>
      </c>
      <c r="R429" s="34">
        <v>0.0450680272108844</v>
      </c>
      <c r="S429" s="38" t="s">
        <v>71</v>
      </c>
    </row>
    <row customHeight="true" ht="23.703703703703702" r="430">
      <c r="A430" s="42">
        <v>46071</v>
      </c>
      <c r="B430" s="28" t="s">
        <v>50</v>
      </c>
      <c r="C430" s="28">
        <v>1</v>
      </c>
      <c r="D430" s="43">
        <v>59.35</v>
      </c>
      <c r="E430" s="30">
        <v>59.35</v>
      </c>
      <c r="F430" s="29">
        <v>15.72</v>
      </c>
      <c r="G430" s="30">
        <v>8</v>
      </c>
      <c r="H430" s="30">
        <v>20.84</v>
      </c>
      <c r="I430" s="30">
        <v>1.48375</v>
      </c>
      <c r="J430" s="30">
        <v>1.39625</v>
      </c>
      <c r="K430" s="32">
        <v>0.0235256950294861</v>
      </c>
      <c r="L430" s="30">
        <v>11.17</v>
      </c>
      <c r="M430" s="30">
        <v>474.8</v>
      </c>
      <c r="N430" s="32">
        <v>0.351137320977254</v>
      </c>
      <c r="O430" s="44">
        <v>0</v>
      </c>
      <c r="P430" s="44">
        <v>1</v>
      </c>
      <c r="Q430" s="34">
        <v>0</v>
      </c>
      <c r="R430" s="34">
        <v>0</v>
      </c>
      <c r="S430" s="38" t="s">
        <v>57</v>
      </c>
    </row>
    <row customHeight="true" ht="23.703703703703702" r="431">
      <c r="A431" s="42">
        <v>46071</v>
      </c>
      <c r="B431" s="28" t="s">
        <v>52</v>
      </c>
      <c r="C431" s="28">
        <v>12</v>
      </c>
      <c r="D431" s="43">
        <v>52.3</v>
      </c>
      <c r="E431" s="30">
        <v>627.6</v>
      </c>
      <c r="F431" s="29">
        <v>5.39</v>
      </c>
      <c r="G431" s="30">
        <v>96</v>
      </c>
      <c r="H431" s="30">
        <v>40.8</v>
      </c>
      <c r="I431" s="30">
        <v>15.69</v>
      </c>
      <c r="J431" s="30">
        <v>104.19</v>
      </c>
      <c r="K431" s="32">
        <v>0.166013384321224</v>
      </c>
      <c r="L431" s="30">
        <v>937.71</v>
      </c>
      <c r="M431" s="30">
        <v>5648.4</v>
      </c>
      <c r="N431" s="32">
        <v>0.0650095602294455</v>
      </c>
      <c r="O431" s="44">
        <v>4</v>
      </c>
      <c r="P431" s="44">
        <v>8</v>
      </c>
      <c r="Q431" s="34">
        <v>0.333333333333333</v>
      </c>
      <c r="R431" s="34">
        <v>0.195028680688337</v>
      </c>
      <c r="S431" s="38" t="s">
        <v>63</v>
      </c>
    </row>
    <row customHeight="true" ht="23.703703703703702" r="432">
      <c r="A432" s="42">
        <v>46071</v>
      </c>
      <c r="B432" s="28" t="s">
        <v>27</v>
      </c>
      <c r="C432" s="28">
        <v>67</v>
      </c>
      <c r="D432" s="38"/>
      <c r="E432" s="30">
        <v>3823.3</v>
      </c>
      <c r="F432" s="31">
        <v>38.72</v>
      </c>
      <c r="G432" s="30"/>
      <c r="H432" s="30"/>
      <c r="I432" s="30"/>
      <c r="J432" s="30">
        <v>563.5575</v>
      </c>
      <c r="K432" s="32">
        <v>0.147400805586797</v>
      </c>
      <c r="L432" s="30">
        <v>4612.65</v>
      </c>
      <c r="M432" s="30">
        <v>31214</v>
      </c>
      <c r="N432" s="32"/>
      <c r="O432" s="44">
        <v>22</v>
      </c>
      <c r="P432" s="44">
        <v>45</v>
      </c>
      <c r="Q432" s="34">
        <v>0.328358208955224</v>
      </c>
      <c r="R432" s="34"/>
      <c r="S432" s="38"/>
    </row>
    <row customHeight="true" ht="23.703703703703702" r="433">
      <c r="B433" s="26" t="s">
        <v>54</v>
      </c>
    </row>
    <row customHeight="true" ht="23.703703703703702" r="434">
      <c r="A434" s="20" t="s">
        <v>65</v>
      </c>
      <c r="B434" s="21" t="s">
        <v>28</v>
      </c>
      <c r="C434" s="39" t="s">
        <v>29</v>
      </c>
      <c r="D434" s="21" t="s">
        <v>30</v>
      </c>
      <c r="E434" s="22" t="s">
        <v>31</v>
      </c>
      <c r="F434" s="23" t="s">
        <v>32</v>
      </c>
      <c r="G434" s="22" t="s">
        <v>33</v>
      </c>
      <c r="H434" s="40" t="s">
        <v>34</v>
      </c>
      <c r="I434" s="22" t="s">
        <v>35</v>
      </c>
      <c r="J434" s="22" t="s">
        <v>32</v>
      </c>
      <c r="K434" s="24" t="s">
        <v>36</v>
      </c>
      <c r="L434" s="22" t="s">
        <v>37</v>
      </c>
      <c r="M434" s="22" t="s">
        <v>38</v>
      </c>
      <c r="N434" s="21" t="s">
        <v>39</v>
      </c>
      <c r="O434" s="41" t="s">
        <v>40</v>
      </c>
      <c r="P434" s="25" t="s">
        <v>41</v>
      </c>
      <c r="Q434" s="24" t="s">
        <v>42</v>
      </c>
      <c r="R434" s="24" t="s">
        <v>43</v>
      </c>
      <c r="S434" s="24" t="s">
        <v>56</v>
      </c>
    </row>
    <row customHeight="true" ht="23.703703703703702" r="435">
      <c r="A435" s="42">
        <v>46072</v>
      </c>
      <c r="B435" s="28" t="s">
        <v>46</v>
      </c>
      <c r="C435" s="28">
        <v>9</v>
      </c>
      <c r="D435" s="43">
        <v>55.85</v>
      </c>
      <c r="E435" s="30">
        <v>502.65</v>
      </c>
      <c r="F435" s="29">
        <v>5.69</v>
      </c>
      <c r="G435" s="30">
        <v>72</v>
      </c>
      <c r="H435" s="30">
        <v>77.53</v>
      </c>
      <c r="I435" s="30">
        <v>12.56625</v>
      </c>
      <c r="J435" s="30">
        <v>33.11375</v>
      </c>
      <c r="K435" s="32">
        <v>0.0658783447727047</v>
      </c>
      <c r="L435" s="30">
        <v>264.91</v>
      </c>
      <c r="M435" s="30">
        <v>4021.2</v>
      </c>
      <c r="N435" s="32">
        <v>0.154242514672237</v>
      </c>
      <c r="O435" s="44">
        <v>7</v>
      </c>
      <c r="P435" s="44">
        <v>2</v>
      </c>
      <c r="Q435" s="34">
        <v>0.777777777777778</v>
      </c>
      <c r="R435" s="34">
        <v>0.198311804578591</v>
      </c>
      <c r="S435" s="45" t="s">
        <v>61</v>
      </c>
    </row>
    <row customHeight="true" ht="23.703703703703702" r="436">
      <c r="A436" s="42">
        <v>46072</v>
      </c>
      <c r="B436" s="28" t="s">
        <v>47</v>
      </c>
      <c r="C436" s="28">
        <v>6</v>
      </c>
      <c r="D436" s="43">
        <v>58</v>
      </c>
      <c r="E436" s="30">
        <v>348</v>
      </c>
      <c r="F436" s="29">
        <v>10.01</v>
      </c>
      <c r="G436" s="30">
        <v>48</v>
      </c>
      <c r="H436" s="30">
        <v>17.84</v>
      </c>
      <c r="I436" s="30">
        <v>8.7</v>
      </c>
      <c r="J436" s="30">
        <v>81.52</v>
      </c>
      <c r="K436" s="32">
        <v>0.234252873563218</v>
      </c>
      <c r="L436" s="30">
        <v>652.16</v>
      </c>
      <c r="M436" s="30">
        <v>2784</v>
      </c>
      <c r="N436" s="32">
        <v>0.051264367816092</v>
      </c>
      <c r="O436" s="44">
        <v>0</v>
      </c>
      <c r="P436" s="44">
        <v>6</v>
      </c>
      <c r="Q436" s="34">
        <v>0</v>
      </c>
      <c r="R436" s="34">
        <v>0</v>
      </c>
      <c r="S436" s="45" t="s">
        <v>70</v>
      </c>
    </row>
    <row customHeight="true" ht="23.703703703703702" r="437">
      <c r="A437" s="42">
        <v>46072</v>
      </c>
      <c r="B437" s="28" t="s">
        <v>49</v>
      </c>
      <c r="C437" s="28">
        <v>37</v>
      </c>
      <c r="D437" s="43">
        <v>58.8</v>
      </c>
      <c r="E437" s="30">
        <v>2175.6</v>
      </c>
      <c r="F437" s="29">
        <v>1.91</v>
      </c>
      <c r="G437" s="30">
        <v>296</v>
      </c>
      <c r="H437" s="30">
        <v>37.99</v>
      </c>
      <c r="I437" s="30">
        <v>54.39</v>
      </c>
      <c r="J437" s="30">
        <v>274.29</v>
      </c>
      <c r="K437" s="32">
        <v>0.12607556536128</v>
      </c>
      <c r="L437" s="30">
        <v>2194.32</v>
      </c>
      <c r="M437" s="30">
        <v>17404.8</v>
      </c>
      <c r="N437" s="32">
        <v>0.0174618496047067</v>
      </c>
      <c r="O437" s="44">
        <v>7</v>
      </c>
      <c r="P437" s="44">
        <v>30</v>
      </c>
      <c r="Q437" s="34">
        <v>0.189189189189189</v>
      </c>
      <c r="R437" s="34">
        <v>0.0922983479105929</v>
      </c>
      <c r="S437" s="38" t="s">
        <v>71</v>
      </c>
    </row>
    <row customHeight="true" ht="23.703703703703702" r="438">
      <c r="A438" s="42">
        <v>46072</v>
      </c>
      <c r="B438" s="28" t="s">
        <v>50</v>
      </c>
      <c r="C438" s="28">
        <v>2</v>
      </c>
      <c r="D438" s="43">
        <v>59.35</v>
      </c>
      <c r="E438" s="30">
        <v>118.7</v>
      </c>
      <c r="F438" s="29">
        <v>15.72</v>
      </c>
      <c r="G438" s="30">
        <v>16</v>
      </c>
      <c r="H438" s="30">
        <v>17.26</v>
      </c>
      <c r="I438" s="30">
        <v>2.9675</v>
      </c>
      <c r="J438" s="30">
        <v>27.2125</v>
      </c>
      <c r="K438" s="32">
        <v>0.229254422914911</v>
      </c>
      <c r="L438" s="30">
        <v>217.7</v>
      </c>
      <c r="M438" s="30">
        <v>949.6</v>
      </c>
      <c r="N438" s="32">
        <v>0.145408593091828</v>
      </c>
      <c r="O438" s="44">
        <v>2</v>
      </c>
      <c r="P438" s="44">
        <v>0</v>
      </c>
      <c r="Q438" s="34">
        <v>1</v>
      </c>
      <c r="R438" s="34">
        <v>0.145408593091828</v>
      </c>
      <c r="S438" s="38" t="s">
        <v>57</v>
      </c>
    </row>
    <row customHeight="true" ht="23.703703703703702" r="439">
      <c r="A439" s="42">
        <v>46072</v>
      </c>
      <c r="B439" s="28" t="s">
        <v>52</v>
      </c>
      <c r="C439" s="28">
        <v>10</v>
      </c>
      <c r="D439" s="43">
        <v>52.3</v>
      </c>
      <c r="E439" s="30">
        <v>523</v>
      </c>
      <c r="F439" s="29">
        <v>5.39</v>
      </c>
      <c r="G439" s="30">
        <v>80</v>
      </c>
      <c r="H439" s="30">
        <v>63.96</v>
      </c>
      <c r="I439" s="30">
        <v>13.075</v>
      </c>
      <c r="J439" s="30">
        <v>56.865</v>
      </c>
      <c r="K439" s="32">
        <v>0.108728489483748</v>
      </c>
      <c r="L439" s="30">
        <v>511.785</v>
      </c>
      <c r="M439" s="30">
        <v>4707</v>
      </c>
      <c r="N439" s="32">
        <v>0.122294455066922</v>
      </c>
      <c r="O439" s="44">
        <v>5</v>
      </c>
      <c r="P439" s="44">
        <v>5</v>
      </c>
      <c r="Q439" s="34">
        <v>0.5</v>
      </c>
      <c r="R439" s="34">
        <v>0.244588910133843</v>
      </c>
      <c r="S439" s="38" t="s">
        <v>63</v>
      </c>
    </row>
    <row customHeight="true" ht="23.703703703703702" r="440">
      <c r="A440" s="42">
        <v>46072</v>
      </c>
      <c r="B440" s="28" t="s">
        <v>27</v>
      </c>
      <c r="C440" s="28">
        <v>64</v>
      </c>
      <c r="D440" s="38"/>
      <c r="E440" s="30">
        <v>3667.95</v>
      </c>
      <c r="F440" s="31">
        <v>38.72</v>
      </c>
      <c r="G440" s="30"/>
      <c r="H440" s="30"/>
      <c r="I440" s="30"/>
      <c r="J440" s="30">
        <v>473.00125</v>
      </c>
      <c r="K440" s="32">
        <v>0.128955206586786</v>
      </c>
      <c r="L440" s="30">
        <v>3840.875</v>
      </c>
      <c r="M440" s="30">
        <v>29866.6</v>
      </c>
      <c r="N440" s="32"/>
      <c r="O440" s="44">
        <v>21</v>
      </c>
      <c r="P440" s="44">
        <v>43</v>
      </c>
      <c r="Q440" s="34">
        <v>0.328125</v>
      </c>
      <c r="R440" s="34"/>
      <c r="S440" s="38"/>
    </row>
    <row customHeight="true" ht="23.703703703703702" r="441">
      <c r="B441" s="26" t="s">
        <v>54</v>
      </c>
    </row>
    <row customHeight="true" ht="23.703703703703702" r="442">
      <c r="A442" s="20" t="s">
        <v>65</v>
      </c>
      <c r="B442" s="21" t="s">
        <v>28</v>
      </c>
      <c r="C442" s="39" t="s">
        <v>29</v>
      </c>
      <c r="D442" s="21" t="s">
        <v>30</v>
      </c>
      <c r="E442" s="22" t="s">
        <v>31</v>
      </c>
      <c r="F442" s="23" t="s">
        <v>32</v>
      </c>
      <c r="G442" s="22" t="s">
        <v>33</v>
      </c>
      <c r="H442" s="40" t="s">
        <v>34</v>
      </c>
      <c r="I442" s="22" t="s">
        <v>35</v>
      </c>
      <c r="J442" s="22" t="s">
        <v>32</v>
      </c>
      <c r="K442" s="24" t="s">
        <v>36</v>
      </c>
      <c r="L442" s="22" t="s">
        <v>37</v>
      </c>
      <c r="M442" s="22" t="s">
        <v>38</v>
      </c>
      <c r="N442" s="21" t="s">
        <v>39</v>
      </c>
      <c r="O442" s="41" t="s">
        <v>40</v>
      </c>
      <c r="P442" s="25" t="s">
        <v>41</v>
      </c>
      <c r="Q442" s="24" t="s">
        <v>42</v>
      </c>
      <c r="R442" s="24" t="s">
        <v>43</v>
      </c>
      <c r="S442" s="24" t="s">
        <v>56</v>
      </c>
    </row>
    <row customHeight="true" ht="23.703703703703702" r="443">
      <c r="A443" s="42">
        <v>46073</v>
      </c>
      <c r="B443" s="28" t="s">
        <v>46</v>
      </c>
      <c r="C443" s="28">
        <v>4</v>
      </c>
      <c r="D443" s="43">
        <v>55.85</v>
      </c>
      <c r="E443" s="30">
        <v>223.4</v>
      </c>
      <c r="F443" s="29">
        <v>5.69</v>
      </c>
      <c r="G443" s="30">
        <v>32</v>
      </c>
      <c r="H443" s="30">
        <v>56.83</v>
      </c>
      <c r="I443" s="30">
        <v>5.585</v>
      </c>
      <c r="J443" s="30">
        <v>-7.65499999999999</v>
      </c>
      <c r="K443" s="32">
        <v>-0.034265890778872</v>
      </c>
      <c r="L443" s="30">
        <v>-61.24</v>
      </c>
      <c r="M443" s="30">
        <v>1787.2</v>
      </c>
      <c r="N443" s="32">
        <v>0.254386750223814</v>
      </c>
      <c r="O443" s="44">
        <v>3</v>
      </c>
      <c r="P443" s="44">
        <v>1</v>
      </c>
      <c r="Q443" s="34">
        <v>0.75</v>
      </c>
      <c r="R443" s="34">
        <v>0.339182333631752</v>
      </c>
      <c r="S443" s="45" t="s">
        <v>61</v>
      </c>
    </row>
    <row customHeight="true" ht="23.703703703703702" r="444">
      <c r="A444" s="42">
        <v>46073</v>
      </c>
      <c r="B444" s="28" t="s">
        <v>47</v>
      </c>
      <c r="C444" s="28">
        <v>7</v>
      </c>
      <c r="D444" s="43">
        <v>58</v>
      </c>
      <c r="E444" s="30">
        <v>406</v>
      </c>
      <c r="F444" s="29">
        <v>10.01</v>
      </c>
      <c r="G444" s="30">
        <v>56</v>
      </c>
      <c r="H444" s="30">
        <v>9.93</v>
      </c>
      <c r="I444" s="30">
        <v>10.15</v>
      </c>
      <c r="J444" s="30">
        <v>105.99</v>
      </c>
      <c r="K444" s="32">
        <v>0.261059113300493</v>
      </c>
      <c r="L444" s="30">
        <v>847.92</v>
      </c>
      <c r="M444" s="30">
        <v>3248</v>
      </c>
      <c r="N444" s="32">
        <v>0.0244581280788177</v>
      </c>
      <c r="O444" s="44">
        <v>0</v>
      </c>
      <c r="P444" s="44">
        <v>7</v>
      </c>
      <c r="Q444" s="34">
        <v>0</v>
      </c>
      <c r="R444" s="34">
        <v>0</v>
      </c>
      <c r="S444" s="45" t="s">
        <v>70</v>
      </c>
    </row>
    <row customHeight="true" ht="23.703703703703702" r="445">
      <c r="A445" s="42">
        <v>46073</v>
      </c>
      <c r="B445" s="28" t="s">
        <v>49</v>
      </c>
      <c r="C445" s="28">
        <v>45</v>
      </c>
      <c r="D445" s="43">
        <v>58.8</v>
      </c>
      <c r="E445" s="30">
        <v>2646</v>
      </c>
      <c r="F445" s="29">
        <v>1.91</v>
      </c>
      <c r="G445" s="30">
        <v>360</v>
      </c>
      <c r="H445" s="30">
        <v>35.32</v>
      </c>
      <c r="I445" s="30">
        <v>66.15</v>
      </c>
      <c r="J445" s="30">
        <v>344.48</v>
      </c>
      <c r="K445" s="32">
        <v>0.130188964474679</v>
      </c>
      <c r="L445" s="30">
        <v>2755.84</v>
      </c>
      <c r="M445" s="30">
        <v>21168</v>
      </c>
      <c r="N445" s="32">
        <v>0.0133484504913076</v>
      </c>
      <c r="O445" s="44">
        <v>10</v>
      </c>
      <c r="P445" s="44">
        <v>35</v>
      </c>
      <c r="Q445" s="34">
        <v>0.222222222222222</v>
      </c>
      <c r="R445" s="34">
        <v>0.0600680272108844</v>
      </c>
      <c r="S445" s="38" t="s">
        <v>71</v>
      </c>
    </row>
    <row customHeight="true" ht="23.703703703703702" r="446">
      <c r="A446" s="42">
        <v>46073</v>
      </c>
      <c r="B446" s="28" t="s">
        <v>50</v>
      </c>
      <c r="C446" s="28">
        <v>0</v>
      </c>
      <c r="D446" s="43">
        <v>59.35</v>
      </c>
      <c r="E446" s="30">
        <v>0</v>
      </c>
      <c r="F446" s="29">
        <v>15.72</v>
      </c>
      <c r="G446" s="30">
        <v>0</v>
      </c>
      <c r="H446" s="30">
        <v>18.7</v>
      </c>
      <c r="I446" s="30">
        <v>0</v>
      </c>
      <c r="J446" s="30">
        <v>-18.7</v>
      </c>
      <c r="K446" s="32">
        <v>0</v>
      </c>
      <c r="L446" s="30">
        <v>-149.6</v>
      </c>
      <c r="M446" s="30">
        <v>0</v>
      </c>
      <c r="N446" s="32">
        <v>0</v>
      </c>
      <c r="O446" s="44">
        <v>0</v>
      </c>
      <c r="P446" s="44">
        <v>0</v>
      </c>
      <c r="Q446" s="34">
        <v>0</v>
      </c>
      <c r="R446" s="34">
        <v>0</v>
      </c>
      <c r="S446" s="38" t="s">
        <v>57</v>
      </c>
    </row>
    <row customHeight="true" ht="23.703703703703702" r="447">
      <c r="A447" s="42">
        <v>46073</v>
      </c>
      <c r="B447" s="28" t="s">
        <v>52</v>
      </c>
      <c r="C447" s="28">
        <v>6</v>
      </c>
      <c r="D447" s="43">
        <v>52.3</v>
      </c>
      <c r="E447" s="30">
        <v>313.8</v>
      </c>
      <c r="F447" s="29">
        <v>5.39</v>
      </c>
      <c r="G447" s="30">
        <v>48</v>
      </c>
      <c r="H447" s="30">
        <v>46.12</v>
      </c>
      <c r="I447" s="30">
        <v>7.845</v>
      </c>
      <c r="J447" s="30">
        <v>26.375</v>
      </c>
      <c r="K447" s="32">
        <v>0.0840503505417464</v>
      </c>
      <c r="L447" s="30">
        <v>237.375</v>
      </c>
      <c r="M447" s="30">
        <v>2824.2</v>
      </c>
      <c r="N447" s="32">
        <v>0.146972594008923</v>
      </c>
      <c r="O447" s="44">
        <v>3</v>
      </c>
      <c r="P447" s="44">
        <v>3</v>
      </c>
      <c r="Q447" s="34">
        <v>0.5</v>
      </c>
      <c r="R447" s="34">
        <v>0.293945188017846</v>
      </c>
      <c r="S447" s="38" t="s">
        <v>63</v>
      </c>
    </row>
    <row customHeight="true" ht="23.703703703703702" r="448">
      <c r="A448" s="42">
        <v>46073</v>
      </c>
      <c r="B448" s="28" t="s">
        <v>27</v>
      </c>
      <c r="C448" s="28">
        <v>62</v>
      </c>
      <c r="D448" s="38"/>
      <c r="E448" s="30">
        <v>3589.2</v>
      </c>
      <c r="F448" s="31">
        <v>38.72</v>
      </c>
      <c r="G448" s="30"/>
      <c r="H448" s="30"/>
      <c r="I448" s="30"/>
      <c r="J448" s="30">
        <v>450.49</v>
      </c>
      <c r="K448" s="32">
        <v>0.125512649058286</v>
      </c>
      <c r="L448" s="30">
        <v>3630.295</v>
      </c>
      <c r="M448" s="30">
        <v>29027.4</v>
      </c>
      <c r="N448" s="32"/>
      <c r="O448" s="44">
        <v>16</v>
      </c>
      <c r="P448" s="44">
        <v>46</v>
      </c>
      <c r="Q448" s="34">
        <v>0.258064516129032</v>
      </c>
      <c r="R448" s="34"/>
      <c r="S448" s="38"/>
    </row>
    <row customHeight="true" ht="23.703703703703702" r="449">
      <c r="B449" s="26" t="s">
        <v>54</v>
      </c>
    </row>
    <row customHeight="true" ht="23.703703703703702" r="450">
      <c r="A450" s="20" t="s">
        <v>65</v>
      </c>
      <c r="B450" s="21" t="s">
        <v>28</v>
      </c>
      <c r="C450" s="39" t="s">
        <v>29</v>
      </c>
      <c r="D450" s="21" t="s">
        <v>30</v>
      </c>
      <c r="E450" s="22" t="s">
        <v>31</v>
      </c>
      <c r="F450" s="23" t="s">
        <v>32</v>
      </c>
      <c r="G450" s="22" t="s">
        <v>33</v>
      </c>
      <c r="H450" s="40" t="s">
        <v>34</v>
      </c>
      <c r="I450" s="22" t="s">
        <v>35</v>
      </c>
      <c r="J450" s="22" t="s">
        <v>32</v>
      </c>
      <c r="K450" s="24" t="s">
        <v>36</v>
      </c>
      <c r="L450" s="22" t="s">
        <v>37</v>
      </c>
      <c r="M450" s="22" t="s">
        <v>38</v>
      </c>
      <c r="N450" s="21" t="s">
        <v>39</v>
      </c>
      <c r="O450" s="41" t="s">
        <v>40</v>
      </c>
      <c r="P450" s="25" t="s">
        <v>41</v>
      </c>
      <c r="Q450" s="24" t="s">
        <v>42</v>
      </c>
      <c r="R450" s="24" t="s">
        <v>43</v>
      </c>
      <c r="S450" s="24" t="s">
        <v>56</v>
      </c>
    </row>
    <row customHeight="true" ht="23.703703703703702" r="451">
      <c r="A451" s="42">
        <v>46074</v>
      </c>
      <c r="B451" s="28" t="s">
        <v>46</v>
      </c>
      <c r="C451" s="28">
        <v>9</v>
      </c>
      <c r="D451" s="43">
        <v>55.85</v>
      </c>
      <c r="E451" s="30">
        <v>502.65</v>
      </c>
      <c r="F451" s="29">
        <v>5.69</v>
      </c>
      <c r="G451" s="30">
        <v>72</v>
      </c>
      <c r="H451" s="30">
        <v>101.27</v>
      </c>
      <c r="I451" s="30">
        <v>12.56625</v>
      </c>
      <c r="J451" s="30">
        <v>9.37375000000001</v>
      </c>
      <c r="K451" s="32">
        <v>0.0186486620909182</v>
      </c>
      <c r="L451" s="30">
        <v>74.9900000000001</v>
      </c>
      <c r="M451" s="30">
        <v>4021.2</v>
      </c>
      <c r="N451" s="32">
        <v>0.201472197354024</v>
      </c>
      <c r="O451" s="44">
        <v>7</v>
      </c>
      <c r="P451" s="44">
        <v>2</v>
      </c>
      <c r="Q451" s="34">
        <v>0.777777777777778</v>
      </c>
      <c r="R451" s="34">
        <v>0.259035682312316</v>
      </c>
      <c r="S451" s="45" t="s">
        <v>61</v>
      </c>
    </row>
    <row customHeight="true" ht="23.703703703703702" r="452">
      <c r="A452" s="42">
        <v>46074</v>
      </c>
      <c r="B452" s="28" t="s">
        <v>47</v>
      </c>
      <c r="C452" s="28">
        <v>7</v>
      </c>
      <c r="D452" s="43">
        <v>58</v>
      </c>
      <c r="E452" s="30">
        <v>406</v>
      </c>
      <c r="F452" s="29">
        <v>10.01</v>
      </c>
      <c r="G452" s="30">
        <v>56</v>
      </c>
      <c r="H452" s="30">
        <v>19.25</v>
      </c>
      <c r="I452" s="30">
        <v>10.15</v>
      </c>
      <c r="J452" s="30">
        <v>96.67</v>
      </c>
      <c r="K452" s="32">
        <v>0.238103448275862</v>
      </c>
      <c r="L452" s="30">
        <v>773.36</v>
      </c>
      <c r="M452" s="30">
        <v>3248</v>
      </c>
      <c r="N452" s="32">
        <v>0.0474137931034483</v>
      </c>
      <c r="O452" s="44">
        <v>1</v>
      </c>
      <c r="P452" s="44">
        <v>6</v>
      </c>
      <c r="Q452" s="34">
        <v>0.142857142857143</v>
      </c>
      <c r="R452" s="34">
        <v>0.331896551724138</v>
      </c>
      <c r="S452" s="45" t="s">
        <v>70</v>
      </c>
    </row>
    <row customHeight="true" ht="23.703703703703702" r="453">
      <c r="A453" s="42">
        <v>46074</v>
      </c>
      <c r="B453" s="28" t="s">
        <v>49</v>
      </c>
      <c r="C453" s="28">
        <v>44</v>
      </c>
      <c r="D453" s="43">
        <v>58.8</v>
      </c>
      <c r="E453" s="30">
        <v>2587.2</v>
      </c>
      <c r="F453" s="29">
        <v>1.91</v>
      </c>
      <c r="G453" s="30">
        <v>352</v>
      </c>
      <c r="H453" s="30">
        <v>44.6</v>
      </c>
      <c r="I453" s="30">
        <v>64.68</v>
      </c>
      <c r="J453" s="30">
        <v>326.76</v>
      </c>
      <c r="K453" s="32">
        <v>0.126298701298701</v>
      </c>
      <c r="L453" s="30">
        <v>2614.08</v>
      </c>
      <c r="M453" s="30">
        <v>20697.6</v>
      </c>
      <c r="N453" s="32">
        <v>0.0172387136672851</v>
      </c>
      <c r="O453" s="44">
        <v>15</v>
      </c>
      <c r="P453" s="44">
        <v>29</v>
      </c>
      <c r="Q453" s="34">
        <v>0.340909090909091</v>
      </c>
      <c r="R453" s="34">
        <v>0.0505668934240363</v>
      </c>
      <c r="S453" s="38" t="s">
        <v>71</v>
      </c>
    </row>
    <row customHeight="true" ht="23.703703703703702" r="454">
      <c r="A454" s="42">
        <v>46074</v>
      </c>
      <c r="B454" s="28" t="s">
        <v>50</v>
      </c>
      <c r="C454" s="28">
        <v>3</v>
      </c>
      <c r="D454" s="43">
        <v>59.35</v>
      </c>
      <c r="E454" s="30">
        <v>178.05</v>
      </c>
      <c r="F454" s="29">
        <v>15.72</v>
      </c>
      <c r="G454" s="30">
        <v>24</v>
      </c>
      <c r="H454" s="30">
        <v>37.91</v>
      </c>
      <c r="I454" s="30">
        <v>4.45125</v>
      </c>
      <c r="J454" s="30">
        <v>28.79875</v>
      </c>
      <c r="K454" s="32">
        <v>0.161745296265094</v>
      </c>
      <c r="L454" s="30">
        <v>230.39</v>
      </c>
      <c r="M454" s="30">
        <v>1424.4</v>
      </c>
      <c r="N454" s="32">
        <v>0.212917719741646</v>
      </c>
      <c r="O454" s="44">
        <v>1</v>
      </c>
      <c r="P454" s="44">
        <v>2</v>
      </c>
      <c r="Q454" s="34">
        <v>0.333333333333333</v>
      </c>
      <c r="R454" s="34">
        <v>0.638753159224937</v>
      </c>
      <c r="S454" s="38" t="s">
        <v>57</v>
      </c>
    </row>
    <row customHeight="true" ht="23.703703703703702" r="455">
      <c r="A455" s="42">
        <v>46074</v>
      </c>
      <c r="B455" s="28" t="s">
        <v>52</v>
      </c>
      <c r="C455" s="28">
        <v>11</v>
      </c>
      <c r="D455" s="43">
        <v>52.3</v>
      </c>
      <c r="E455" s="30">
        <v>575.3</v>
      </c>
      <c r="F455" s="29">
        <v>5.39</v>
      </c>
      <c r="G455" s="30">
        <v>88</v>
      </c>
      <c r="H455" s="30">
        <v>97.43</v>
      </c>
      <c r="I455" s="30">
        <v>14.3825</v>
      </c>
      <c r="J455" s="30">
        <v>35.4775</v>
      </c>
      <c r="K455" s="32">
        <v>0.061667825482357</v>
      </c>
      <c r="L455" s="30">
        <v>319.2975</v>
      </c>
      <c r="M455" s="30">
        <v>5177.7</v>
      </c>
      <c r="N455" s="32">
        <v>0.169355119068312</v>
      </c>
      <c r="O455" s="44">
        <v>8</v>
      </c>
      <c r="P455" s="44">
        <v>3</v>
      </c>
      <c r="Q455" s="34">
        <v>0.727272727272727</v>
      </c>
      <c r="R455" s="34">
        <v>0.232863288718929</v>
      </c>
      <c r="S455" s="38" t="s">
        <v>63</v>
      </c>
    </row>
    <row customHeight="true" ht="23.703703703703702" r="456">
      <c r="A456" s="42">
        <v>46074</v>
      </c>
      <c r="B456" s="28" t="s">
        <v>27</v>
      </c>
      <c r="C456" s="28">
        <v>74</v>
      </c>
      <c r="D456" s="38"/>
      <c r="E456" s="30">
        <v>4249.2</v>
      </c>
      <c r="F456" s="31">
        <v>38.72</v>
      </c>
      <c r="G456" s="30"/>
      <c r="H456" s="30"/>
      <c r="I456" s="30"/>
      <c r="J456" s="30">
        <v>497.08</v>
      </c>
      <c r="K456" s="32">
        <v>0.116982020144968</v>
      </c>
      <c r="L456" s="30">
        <v>4012.1175</v>
      </c>
      <c r="M456" s="30">
        <v>34568.9</v>
      </c>
      <c r="N456" s="32"/>
      <c r="O456" s="44">
        <v>32</v>
      </c>
      <c r="P456" s="44">
        <v>42</v>
      </c>
      <c r="Q456" s="34">
        <v>0.432432432432432</v>
      </c>
      <c r="R456" s="34"/>
      <c r="S456" s="38"/>
    </row>
    <row customHeight="true" ht="23.703703703703702" r="457">
      <c r="B457" s="26" t="s">
        <v>54</v>
      </c>
    </row>
    <row customHeight="true" ht="23.703703703703702" r="458">
      <c r="A458" s="20" t="s">
        <v>65</v>
      </c>
      <c r="B458" s="21" t="s">
        <v>28</v>
      </c>
      <c r="C458" s="39" t="s">
        <v>29</v>
      </c>
      <c r="D458" s="21" t="s">
        <v>30</v>
      </c>
      <c r="E458" s="22" t="s">
        <v>31</v>
      </c>
      <c r="F458" s="23" t="s">
        <v>32</v>
      </c>
      <c r="G458" s="22" t="s">
        <v>33</v>
      </c>
      <c r="H458" s="40" t="s">
        <v>34</v>
      </c>
      <c r="I458" s="22" t="s">
        <v>35</v>
      </c>
      <c r="J458" s="22" t="s">
        <v>32</v>
      </c>
      <c r="K458" s="24" t="s">
        <v>36</v>
      </c>
      <c r="L458" s="22" t="s">
        <v>37</v>
      </c>
      <c r="M458" s="22" t="s">
        <v>38</v>
      </c>
      <c r="N458" s="21" t="s">
        <v>39</v>
      </c>
      <c r="O458" s="41" t="s">
        <v>40</v>
      </c>
      <c r="P458" s="25" t="s">
        <v>41</v>
      </c>
      <c r="Q458" s="24" t="s">
        <v>42</v>
      </c>
      <c r="R458" s="24" t="s">
        <v>43</v>
      </c>
      <c r="S458" s="24" t="s">
        <v>56</v>
      </c>
    </row>
    <row customHeight="true" ht="23.703703703703702" r="459">
      <c r="A459" s="42">
        <v>46075</v>
      </c>
      <c r="B459" s="28" t="s">
        <v>46</v>
      </c>
      <c r="C459" s="28">
        <v>21</v>
      </c>
      <c r="D459" s="43">
        <v>55.85</v>
      </c>
      <c r="E459" s="30">
        <v>1172.85</v>
      </c>
      <c r="F459" s="29">
        <v>5.69</v>
      </c>
      <c r="G459" s="30">
        <v>168</v>
      </c>
      <c r="H459" s="30">
        <v>123.31</v>
      </c>
      <c r="I459" s="30">
        <v>29.32125</v>
      </c>
      <c r="J459" s="30">
        <v>134.85875</v>
      </c>
      <c r="K459" s="32">
        <v>0.114983800144946</v>
      </c>
      <c r="L459" s="30">
        <v>1078.87</v>
      </c>
      <c r="M459" s="30">
        <v>9382.8</v>
      </c>
      <c r="N459" s="32">
        <v>0.105137059299996</v>
      </c>
      <c r="O459" s="44">
        <v>10</v>
      </c>
      <c r="P459" s="44">
        <v>11</v>
      </c>
      <c r="Q459" s="34">
        <v>0.476190476190476</v>
      </c>
      <c r="R459" s="34">
        <v>0.220787824529991</v>
      </c>
      <c r="S459" s="45" t="s">
        <v>61</v>
      </c>
    </row>
    <row customHeight="true" ht="23.703703703703702" r="460">
      <c r="A460" s="42">
        <v>46075</v>
      </c>
      <c r="B460" s="28" t="s">
        <v>47</v>
      </c>
      <c r="C460" s="28">
        <v>7</v>
      </c>
      <c r="D460" s="43">
        <v>58</v>
      </c>
      <c r="E460" s="30">
        <v>406</v>
      </c>
      <c r="F460" s="29">
        <v>10.01</v>
      </c>
      <c r="G460" s="30">
        <v>56</v>
      </c>
      <c r="H460" s="30">
        <v>32.09</v>
      </c>
      <c r="I460" s="30">
        <v>10.15</v>
      </c>
      <c r="J460" s="30">
        <v>83.83</v>
      </c>
      <c r="K460" s="32">
        <v>0.206477832512315</v>
      </c>
      <c r="L460" s="30">
        <v>670.64</v>
      </c>
      <c r="M460" s="30">
        <v>3248</v>
      </c>
      <c r="N460" s="32">
        <v>0.0790394088669951</v>
      </c>
      <c r="O460" s="44">
        <v>3</v>
      </c>
      <c r="P460" s="44">
        <v>4</v>
      </c>
      <c r="Q460" s="34">
        <v>0.428571428571429</v>
      </c>
      <c r="R460" s="34">
        <v>0.184425287356322</v>
      </c>
      <c r="S460" s="45" t="s">
        <v>70</v>
      </c>
    </row>
    <row customHeight="true" ht="23.703703703703702" r="461">
      <c r="A461" s="42">
        <v>46075</v>
      </c>
      <c r="B461" s="28" t="s">
        <v>49</v>
      </c>
      <c r="C461" s="28">
        <v>55</v>
      </c>
      <c r="D461" s="43">
        <v>58.8</v>
      </c>
      <c r="E461" s="30">
        <v>3234</v>
      </c>
      <c r="F461" s="29">
        <v>1.91</v>
      </c>
      <c r="G461" s="30">
        <v>440</v>
      </c>
      <c r="H461" s="30">
        <v>78.68</v>
      </c>
      <c r="I461" s="30">
        <v>80.85</v>
      </c>
      <c r="J461" s="30">
        <v>385.52</v>
      </c>
      <c r="K461" s="32">
        <v>0.119208410636982</v>
      </c>
      <c r="L461" s="30">
        <v>3084.16</v>
      </c>
      <c r="M461" s="30">
        <v>25872</v>
      </c>
      <c r="N461" s="32">
        <v>0.0243290043290043</v>
      </c>
      <c r="O461" s="44">
        <v>19</v>
      </c>
      <c r="P461" s="44">
        <v>36</v>
      </c>
      <c r="Q461" s="34">
        <v>0.345454545454545</v>
      </c>
      <c r="R461" s="34">
        <v>0.0704260651629074</v>
      </c>
      <c r="S461" s="38" t="s">
        <v>71</v>
      </c>
    </row>
    <row customHeight="true" ht="23.703703703703702" r="462">
      <c r="A462" s="42">
        <v>46075</v>
      </c>
      <c r="B462" s="28" t="s">
        <v>50</v>
      </c>
      <c r="C462" s="28">
        <v>2</v>
      </c>
      <c r="D462" s="43">
        <v>59.35</v>
      </c>
      <c r="E462" s="30">
        <v>118.7</v>
      </c>
      <c r="F462" s="29">
        <v>15.72</v>
      </c>
      <c r="G462" s="30">
        <v>16</v>
      </c>
      <c r="H462" s="30">
        <v>40.85</v>
      </c>
      <c r="I462" s="30">
        <v>2.9675</v>
      </c>
      <c r="J462" s="30">
        <v>3.6225</v>
      </c>
      <c r="K462" s="32">
        <v>0.0305181128896377</v>
      </c>
      <c r="L462" s="30">
        <v>28.98</v>
      </c>
      <c r="M462" s="30">
        <v>949.6</v>
      </c>
      <c r="N462" s="32">
        <v>0.344144903117102</v>
      </c>
      <c r="O462" s="44">
        <v>1</v>
      </c>
      <c r="P462" s="44">
        <v>1</v>
      </c>
      <c r="Q462" s="34">
        <v>0.5</v>
      </c>
      <c r="R462" s="34">
        <v>0.688289806234204</v>
      </c>
      <c r="S462" s="38" t="s">
        <v>57</v>
      </c>
    </row>
    <row customHeight="true" ht="23.703703703703702" r="463">
      <c r="A463" s="42">
        <v>46075</v>
      </c>
      <c r="B463" s="28" t="s">
        <v>52</v>
      </c>
      <c r="C463" s="28">
        <v>13</v>
      </c>
      <c r="D463" s="43">
        <v>52.3</v>
      </c>
      <c r="E463" s="30">
        <v>679.9</v>
      </c>
      <c r="F463" s="29">
        <v>5.39</v>
      </c>
      <c r="G463" s="30">
        <v>104</v>
      </c>
      <c r="H463" s="30">
        <v>84.89</v>
      </c>
      <c r="I463" s="30">
        <v>16.9975</v>
      </c>
      <c r="J463" s="30">
        <v>72.1825</v>
      </c>
      <c r="K463" s="32">
        <v>0.106166347992352</v>
      </c>
      <c r="L463" s="30">
        <v>649.6425</v>
      </c>
      <c r="M463" s="30">
        <v>6119.1</v>
      </c>
      <c r="N463" s="32">
        <v>0.124856596558317</v>
      </c>
      <c r="O463" s="44">
        <v>8</v>
      </c>
      <c r="P463" s="44">
        <v>5</v>
      </c>
      <c r="Q463" s="34">
        <v>0.615384615384615</v>
      </c>
      <c r="R463" s="34">
        <v>0.202891969407266</v>
      </c>
      <c r="S463" s="38" t="s">
        <v>63</v>
      </c>
    </row>
    <row customHeight="true" ht="23.703703703703702" r="464">
      <c r="A464" s="42">
        <v>46075</v>
      </c>
      <c r="B464" s="28" t="s">
        <v>27</v>
      </c>
      <c r="C464" s="28">
        <v>98</v>
      </c>
      <c r="D464" s="38"/>
      <c r="E464" s="30">
        <v>5611.45</v>
      </c>
      <c r="F464" s="31">
        <v>38.72</v>
      </c>
      <c r="G464" s="30"/>
      <c r="H464" s="30"/>
      <c r="I464" s="30"/>
      <c r="J464" s="30">
        <v>680.01375</v>
      </c>
      <c r="K464" s="32">
        <v>0.121183250318545</v>
      </c>
      <c r="L464" s="30">
        <v>5512.2925</v>
      </c>
      <c r="M464" s="30">
        <v>45571.5</v>
      </c>
      <c r="N464" s="32"/>
      <c r="O464" s="44">
        <v>41</v>
      </c>
      <c r="P464" s="44">
        <v>57</v>
      </c>
      <c r="Q464" s="34">
        <v>0.418367346938776</v>
      </c>
      <c r="R464" s="34"/>
      <c r="S464" s="38"/>
    </row>
    <row customHeight="true" ht="23.703703703703702" r="465">
      <c r="B465" s="26" t="s">
        <v>54</v>
      </c>
    </row>
    <row customHeight="true" ht="23.703703703703702" r="466">
      <c r="A466" s="20" t="s">
        <v>65</v>
      </c>
      <c r="B466" s="21" t="s">
        <v>28</v>
      </c>
      <c r="C466" s="39" t="s">
        <v>29</v>
      </c>
      <c r="D466" s="21" t="s">
        <v>30</v>
      </c>
      <c r="E466" s="22" t="s">
        <v>31</v>
      </c>
      <c r="F466" s="23" t="s">
        <v>32</v>
      </c>
      <c r="G466" s="22" t="s">
        <v>33</v>
      </c>
      <c r="H466" s="40" t="s">
        <v>34</v>
      </c>
      <c r="I466" s="22" t="s">
        <v>35</v>
      </c>
      <c r="J466" s="22" t="s">
        <v>32</v>
      </c>
      <c r="K466" s="24" t="s">
        <v>36</v>
      </c>
      <c r="L466" s="22" t="s">
        <v>37</v>
      </c>
      <c r="M466" s="22" t="s">
        <v>38</v>
      </c>
      <c r="N466" s="21" t="s">
        <v>39</v>
      </c>
      <c r="O466" s="41" t="s">
        <v>40</v>
      </c>
      <c r="P466" s="25" t="s">
        <v>41</v>
      </c>
      <c r="Q466" s="24" t="s">
        <v>42</v>
      </c>
      <c r="R466" s="24" t="s">
        <v>43</v>
      </c>
      <c r="S466" s="24" t="s">
        <v>56</v>
      </c>
    </row>
    <row customHeight="true" ht="23.703703703703702" r="467">
      <c r="A467" s="42">
        <v>46076</v>
      </c>
      <c r="B467" s="28" t="s">
        <v>46</v>
      </c>
      <c r="C467" s="28">
        <v>11</v>
      </c>
      <c r="D467" s="43">
        <v>55.85</v>
      </c>
      <c r="E467" s="30">
        <v>614.35</v>
      </c>
      <c r="F467" s="29">
        <v>5.69</v>
      </c>
      <c r="G467" s="30">
        <v>88</v>
      </c>
      <c r="H467" s="30">
        <v>110.36</v>
      </c>
      <c r="I467" s="30">
        <v>15.35875</v>
      </c>
      <c r="J467" s="30">
        <v>24.87125</v>
      </c>
      <c r="K467" s="32">
        <v>0.0404838447139253</v>
      </c>
      <c r="L467" s="30">
        <v>198.97</v>
      </c>
      <c r="M467" s="30">
        <v>4914.8</v>
      </c>
      <c r="N467" s="32">
        <v>0.179637014731017</v>
      </c>
      <c r="O467" s="44">
        <v>7</v>
      </c>
      <c r="P467" s="44">
        <v>4</v>
      </c>
      <c r="Q467" s="34">
        <v>0.636363636363636</v>
      </c>
      <c r="R467" s="34">
        <v>0.282286737434455</v>
      </c>
      <c r="S467" s="45" t="s">
        <v>61</v>
      </c>
    </row>
    <row customHeight="true" ht="23.703703703703702" r="468">
      <c r="A468" s="42">
        <v>46076</v>
      </c>
      <c r="B468" s="28" t="s">
        <v>47</v>
      </c>
      <c r="C468" s="28">
        <v>7</v>
      </c>
      <c r="D468" s="43">
        <v>58</v>
      </c>
      <c r="E468" s="30">
        <v>406</v>
      </c>
      <c r="F468" s="29">
        <v>10.01</v>
      </c>
      <c r="G468" s="30">
        <v>56</v>
      </c>
      <c r="H468" s="30">
        <v>31.79</v>
      </c>
      <c r="I468" s="30">
        <v>10.15</v>
      </c>
      <c r="J468" s="30">
        <v>84.13</v>
      </c>
      <c r="K468" s="32">
        <v>0.207216748768473</v>
      </c>
      <c r="L468" s="30">
        <v>673.04</v>
      </c>
      <c r="M468" s="30">
        <v>3248</v>
      </c>
      <c r="N468" s="32">
        <v>0.0783004926108374</v>
      </c>
      <c r="O468" s="44">
        <v>4</v>
      </c>
      <c r="P468" s="44">
        <v>3</v>
      </c>
      <c r="Q468" s="34">
        <v>0.571428571428571</v>
      </c>
      <c r="R468" s="34">
        <v>0.137025862068966</v>
      </c>
      <c r="S468" s="45" t="s">
        <v>70</v>
      </c>
    </row>
    <row customHeight="true" ht="23.703703703703702" r="469">
      <c r="A469" s="42">
        <v>46076</v>
      </c>
      <c r="B469" s="28" t="s">
        <v>49</v>
      </c>
      <c r="C469" s="28">
        <v>38</v>
      </c>
      <c r="D469" s="43">
        <v>58.8</v>
      </c>
      <c r="E469" s="30">
        <v>2234.4</v>
      </c>
      <c r="F469" s="29">
        <v>1.91</v>
      </c>
      <c r="G469" s="30">
        <v>304</v>
      </c>
      <c r="H469" s="30">
        <v>47.24</v>
      </c>
      <c r="I469" s="30">
        <v>55.86</v>
      </c>
      <c r="J469" s="30">
        <v>273.48</v>
      </c>
      <c r="K469" s="32">
        <v>0.122395273899033</v>
      </c>
      <c r="L469" s="30">
        <v>2187.84</v>
      </c>
      <c r="M469" s="30">
        <v>17875.2</v>
      </c>
      <c r="N469" s="32">
        <v>0.0211421410669531</v>
      </c>
      <c r="O469" s="44">
        <v>13</v>
      </c>
      <c r="P469" s="44">
        <v>25</v>
      </c>
      <c r="Q469" s="34">
        <v>0.342105263157895</v>
      </c>
      <c r="R469" s="34">
        <v>0.0618001046572475</v>
      </c>
      <c r="S469" s="38" t="s">
        <v>71</v>
      </c>
    </row>
    <row customHeight="true" ht="23.703703703703702" r="470">
      <c r="A470" s="42">
        <v>46076</v>
      </c>
      <c r="B470" s="28" t="s">
        <v>50</v>
      </c>
      <c r="C470" s="28">
        <v>3</v>
      </c>
      <c r="D470" s="43">
        <v>59.35</v>
      </c>
      <c r="E470" s="30">
        <v>178.05</v>
      </c>
      <c r="F470" s="29">
        <v>15.72</v>
      </c>
      <c r="G470" s="30">
        <v>24</v>
      </c>
      <c r="H470" s="30">
        <v>24.55</v>
      </c>
      <c r="I470" s="30">
        <v>4.45125</v>
      </c>
      <c r="J470" s="30">
        <v>42.15875</v>
      </c>
      <c r="K470" s="32">
        <v>0.236780398764392</v>
      </c>
      <c r="L470" s="30">
        <v>337.27</v>
      </c>
      <c r="M470" s="30">
        <v>1424.4</v>
      </c>
      <c r="N470" s="32">
        <v>0.137882617242348</v>
      </c>
      <c r="O470" s="44">
        <v>2</v>
      </c>
      <c r="P470" s="44">
        <v>1</v>
      </c>
      <c r="Q470" s="34">
        <v>0.666666666666667</v>
      </c>
      <c r="R470" s="34">
        <v>0.206823925863521</v>
      </c>
      <c r="S470" s="38" t="s">
        <v>57</v>
      </c>
    </row>
    <row customHeight="true" ht="23.703703703703702" r="471">
      <c r="A471" s="42">
        <v>46076</v>
      </c>
      <c r="B471" s="28" t="s">
        <v>52</v>
      </c>
      <c r="C471" s="28">
        <v>12</v>
      </c>
      <c r="D471" s="43">
        <v>52.3</v>
      </c>
      <c r="E471" s="30">
        <v>627.6</v>
      </c>
      <c r="F471" s="29">
        <v>5.39</v>
      </c>
      <c r="G471" s="30">
        <v>96</v>
      </c>
      <c r="H471" s="30">
        <v>86.49</v>
      </c>
      <c r="I471" s="30">
        <v>15.69</v>
      </c>
      <c r="J471" s="30">
        <v>58.5</v>
      </c>
      <c r="K471" s="32">
        <v>0.0932122370936903</v>
      </c>
      <c r="L471" s="30">
        <v>526.5</v>
      </c>
      <c r="M471" s="30">
        <v>5648.4</v>
      </c>
      <c r="N471" s="32">
        <v>0.137810707456979</v>
      </c>
      <c r="O471" s="44">
        <v>7</v>
      </c>
      <c r="P471" s="44">
        <v>5</v>
      </c>
      <c r="Q471" s="34">
        <v>0.583333333333333</v>
      </c>
      <c r="R471" s="34">
        <v>0.236246927069107</v>
      </c>
      <c r="S471" s="38" t="s">
        <v>63</v>
      </c>
    </row>
    <row customHeight="true" ht="23.703703703703702" r="472">
      <c r="A472" s="42">
        <v>46076</v>
      </c>
      <c r="B472" s="28" t="s">
        <v>27</v>
      </c>
      <c r="C472" s="28">
        <v>71</v>
      </c>
      <c r="D472" s="38"/>
      <c r="E472" s="30">
        <v>4060.4</v>
      </c>
      <c r="F472" s="31">
        <v>38.72</v>
      </c>
      <c r="G472" s="30"/>
      <c r="H472" s="30"/>
      <c r="I472" s="30"/>
      <c r="J472" s="30">
        <v>483.14</v>
      </c>
      <c r="K472" s="32">
        <v>0.118988277017043</v>
      </c>
      <c r="L472" s="30">
        <v>3923.62</v>
      </c>
      <c r="M472" s="30">
        <v>33110.8</v>
      </c>
      <c r="N472" s="32"/>
      <c r="O472" s="44">
        <v>33</v>
      </c>
      <c r="P472" s="44">
        <v>38</v>
      </c>
      <c r="Q472" s="34">
        <v>0.464788732394366</v>
      </c>
      <c r="R472" s="34"/>
      <c r="S472" s="38"/>
    </row>
    <row customHeight="true" ht="23.703703703703702" r="473">
      <c r="B473" s="26" t="s">
        <v>54</v>
      </c>
    </row>
    <row customHeight="true" ht="23.703703703703702" r="474">
      <c r="A474" s="20" t="s">
        <v>65</v>
      </c>
      <c r="B474" s="21" t="s">
        <v>28</v>
      </c>
      <c r="C474" s="39" t="s">
        <v>29</v>
      </c>
      <c r="D474" s="21" t="s">
        <v>30</v>
      </c>
      <c r="E474" s="22" t="s">
        <v>31</v>
      </c>
      <c r="F474" s="23" t="s">
        <v>32</v>
      </c>
      <c r="G474" s="22" t="s">
        <v>33</v>
      </c>
      <c r="H474" s="40" t="s">
        <v>34</v>
      </c>
      <c r="I474" s="22" t="s">
        <v>35</v>
      </c>
      <c r="J474" s="22" t="s">
        <v>32</v>
      </c>
      <c r="K474" s="24" t="s">
        <v>36</v>
      </c>
      <c r="L474" s="22" t="s">
        <v>37</v>
      </c>
      <c r="M474" s="22" t="s">
        <v>38</v>
      </c>
      <c r="N474" s="21" t="s">
        <v>39</v>
      </c>
      <c r="O474" s="41" t="s">
        <v>40</v>
      </c>
      <c r="P474" s="25" t="s">
        <v>41</v>
      </c>
      <c r="Q474" s="24" t="s">
        <v>42</v>
      </c>
      <c r="R474" s="24" t="s">
        <v>43</v>
      </c>
      <c r="S474" s="24" t="s">
        <v>56</v>
      </c>
    </row>
    <row customHeight="true" ht="23.703703703703702" r="475">
      <c r="A475" s="42">
        <v>46077</v>
      </c>
      <c r="B475" s="28" t="s">
        <v>46</v>
      </c>
      <c r="C475" s="28">
        <v>15</v>
      </c>
      <c r="D475" s="43">
        <v>55.85</v>
      </c>
      <c r="E475" s="30">
        <v>837.75</v>
      </c>
      <c r="F475" s="29">
        <v>5.69</v>
      </c>
      <c r="G475" s="30">
        <v>120</v>
      </c>
      <c r="H475" s="30">
        <v>94.09</v>
      </c>
      <c r="I475" s="30">
        <v>20.94375</v>
      </c>
      <c r="J475" s="30">
        <v>90.31625</v>
      </c>
      <c r="K475" s="32">
        <v>0.107808116980006</v>
      </c>
      <c r="L475" s="30">
        <v>722.53</v>
      </c>
      <c r="M475" s="30">
        <v>6702</v>
      </c>
      <c r="N475" s="32">
        <v>0.112312742464936</v>
      </c>
      <c r="O475" s="44">
        <v>3</v>
      </c>
      <c r="P475" s="44">
        <v>12</v>
      </c>
      <c r="Q475" s="34">
        <v>0.2</v>
      </c>
      <c r="R475" s="34">
        <v>0.561563712324679</v>
      </c>
      <c r="S475" s="45" t="s">
        <v>61</v>
      </c>
    </row>
    <row customHeight="true" ht="23.703703703703702" r="476">
      <c r="A476" s="42">
        <v>46077</v>
      </c>
      <c r="B476" s="28" t="s">
        <v>47</v>
      </c>
      <c r="C476" s="28">
        <v>3</v>
      </c>
      <c r="D476" s="43">
        <v>58</v>
      </c>
      <c r="E476" s="30">
        <v>174</v>
      </c>
      <c r="F476" s="29">
        <v>15.88</v>
      </c>
      <c r="G476" s="30">
        <v>24</v>
      </c>
      <c r="H476" s="30">
        <v>17.48</v>
      </c>
      <c r="I476" s="30">
        <v>4.35</v>
      </c>
      <c r="J476" s="30">
        <v>49.81</v>
      </c>
      <c r="K476" s="32">
        <v>0.286264367816092</v>
      </c>
      <c r="L476" s="30">
        <v>398.48</v>
      </c>
      <c r="M476" s="30">
        <v>1392</v>
      </c>
      <c r="N476" s="32">
        <v>0.100459770114943</v>
      </c>
      <c r="O476" s="44">
        <v>1</v>
      </c>
      <c r="P476" s="44">
        <v>2</v>
      </c>
      <c r="Q476" s="34">
        <v>0.333333333333333</v>
      </c>
      <c r="R476" s="34">
        <v>0.301379310344828</v>
      </c>
      <c r="S476" s="45" t="s">
        <v>57</v>
      </c>
    </row>
    <row customHeight="true" ht="23.703703703703702" r="477">
      <c r="A477" s="42">
        <v>46077</v>
      </c>
      <c r="B477" s="28" t="s">
        <v>49</v>
      </c>
      <c r="C477" s="28">
        <v>23</v>
      </c>
      <c r="D477" s="43">
        <v>58.8</v>
      </c>
      <c r="E477" s="30">
        <v>1352.4</v>
      </c>
      <c r="F477" s="29">
        <v>1.91</v>
      </c>
      <c r="G477" s="30">
        <v>184</v>
      </c>
      <c r="H477" s="30">
        <v>30.87</v>
      </c>
      <c r="I477" s="30">
        <v>33.81</v>
      </c>
      <c r="J477" s="30">
        <v>163.25</v>
      </c>
      <c r="K477" s="32">
        <v>0.120711328009465</v>
      </c>
      <c r="L477" s="30">
        <v>1306</v>
      </c>
      <c r="M477" s="30">
        <v>10819.2</v>
      </c>
      <c r="N477" s="32">
        <v>0.0228260869565217</v>
      </c>
      <c r="O477" s="44">
        <v>6</v>
      </c>
      <c r="P477" s="44">
        <v>17</v>
      </c>
      <c r="Q477" s="34">
        <v>0.260869565217391</v>
      </c>
      <c r="R477" s="34">
        <v>0.0875000000000001</v>
      </c>
      <c r="S477" s="38" t="s">
        <v>71</v>
      </c>
    </row>
    <row customHeight="true" ht="23.703703703703702" r="478">
      <c r="A478" s="42">
        <v>46077</v>
      </c>
      <c r="B478" s="28" t="s">
        <v>50</v>
      </c>
      <c r="C478" s="28">
        <v>1</v>
      </c>
      <c r="D478" s="43">
        <v>59.35</v>
      </c>
      <c r="E478" s="30">
        <v>59.35</v>
      </c>
      <c r="F478" s="29">
        <v>15.72</v>
      </c>
      <c r="G478" s="30">
        <v>8</v>
      </c>
      <c r="H478" s="30">
        <v>21.37</v>
      </c>
      <c r="I478" s="30">
        <v>1.48375</v>
      </c>
      <c r="J478" s="30">
        <v>0.866249999999998</v>
      </c>
      <c r="K478" s="32">
        <v>0.0145956192080876</v>
      </c>
      <c r="L478" s="30">
        <v>6.92999999999998</v>
      </c>
      <c r="M478" s="30">
        <v>474.8</v>
      </c>
      <c r="N478" s="32">
        <v>0.360067396798652</v>
      </c>
      <c r="O478" s="44">
        <v>0</v>
      </c>
      <c r="P478" s="44">
        <v>1</v>
      </c>
      <c r="Q478" s="34">
        <v>0</v>
      </c>
      <c r="R478" s="34">
        <v>0</v>
      </c>
      <c r="S478" s="38" t="s">
        <v>57</v>
      </c>
    </row>
    <row customHeight="true" ht="23.703703703703702" r="479">
      <c r="A479" s="42">
        <v>46077</v>
      </c>
      <c r="B479" s="28" t="s">
        <v>52</v>
      </c>
      <c r="C479" s="28">
        <v>6</v>
      </c>
      <c r="D479" s="43">
        <v>52.3</v>
      </c>
      <c r="E479" s="30">
        <v>313.8</v>
      </c>
      <c r="F479" s="29">
        <v>5.39</v>
      </c>
      <c r="G479" s="30">
        <v>48</v>
      </c>
      <c r="H479" s="30">
        <v>78.87</v>
      </c>
      <c r="I479" s="30">
        <v>7.845</v>
      </c>
      <c r="J479" s="30">
        <v>-6.375</v>
      </c>
      <c r="K479" s="32">
        <v>-0.0203154875717017</v>
      </c>
      <c r="L479" s="30">
        <v>-57.375</v>
      </c>
      <c r="M479" s="30">
        <v>2824.2</v>
      </c>
      <c r="N479" s="32">
        <v>0.251338432122371</v>
      </c>
      <c r="O479" s="44">
        <v>6</v>
      </c>
      <c r="P479" s="44">
        <v>0</v>
      </c>
      <c r="Q479" s="34">
        <v>1</v>
      </c>
      <c r="R479" s="34">
        <v>0.251338432122371</v>
      </c>
      <c r="S479" s="38" t="s">
        <v>63</v>
      </c>
    </row>
    <row customHeight="true" ht="23.703703703703702" r="480">
      <c r="A480" s="42">
        <v>46077</v>
      </c>
      <c r="B480" s="28" t="s">
        <v>27</v>
      </c>
      <c r="C480" s="28">
        <v>48</v>
      </c>
      <c r="D480" s="38"/>
      <c r="E480" s="30">
        <v>2737.3</v>
      </c>
      <c r="F480" s="31">
        <v>44.59</v>
      </c>
      <c r="G480" s="30"/>
      <c r="H480" s="30"/>
      <c r="I480" s="30"/>
      <c r="J480" s="30">
        <v>297.8675</v>
      </c>
      <c r="K480" s="32">
        <v>0.108817995835312</v>
      </c>
      <c r="L480" s="30">
        <v>2376.565</v>
      </c>
      <c r="M480" s="30">
        <v>22212.2</v>
      </c>
      <c r="N480" s="32"/>
      <c r="O480" s="44">
        <v>16</v>
      </c>
      <c r="P480" s="44">
        <v>32</v>
      </c>
      <c r="Q480" s="34">
        <v>0.333333333333333</v>
      </c>
      <c r="R480" s="34"/>
      <c r="S480" s="38"/>
    </row>
    <row customHeight="true" ht="23.703703703703702" r="481">
      <c r="B481" s="26" t="s">
        <v>54</v>
      </c>
    </row>
    <row customHeight="true" ht="23.703703703703702" r="482">
      <c r="A482" s="20" t="s">
        <v>65</v>
      </c>
      <c r="B482" s="21" t="s">
        <v>28</v>
      </c>
      <c r="C482" s="39" t="s">
        <v>29</v>
      </c>
      <c r="D482" s="21" t="s">
        <v>30</v>
      </c>
      <c r="E482" s="22" t="s">
        <v>31</v>
      </c>
      <c r="F482" s="23" t="s">
        <v>32</v>
      </c>
      <c r="G482" s="22" t="s">
        <v>33</v>
      </c>
      <c r="H482" s="40" t="s">
        <v>34</v>
      </c>
      <c r="I482" s="22" t="s">
        <v>35</v>
      </c>
      <c r="J482" s="22" t="s">
        <v>32</v>
      </c>
      <c r="K482" s="24" t="s">
        <v>36</v>
      </c>
      <c r="L482" s="22" t="s">
        <v>37</v>
      </c>
      <c r="M482" s="22" t="s">
        <v>38</v>
      </c>
      <c r="N482" s="21" t="s">
        <v>39</v>
      </c>
      <c r="O482" s="41" t="s">
        <v>40</v>
      </c>
      <c r="P482" s="25" t="s">
        <v>41</v>
      </c>
      <c r="Q482" s="24" t="s">
        <v>42</v>
      </c>
      <c r="R482" s="24" t="s">
        <v>43</v>
      </c>
      <c r="S482" s="24" t="s">
        <v>56</v>
      </c>
    </row>
    <row customHeight="true" ht="23.703703703703702" r="483">
      <c r="A483" s="42">
        <v>46078</v>
      </c>
      <c r="B483" s="28" t="s">
        <v>46</v>
      </c>
      <c r="C483" s="28">
        <v>18</v>
      </c>
      <c r="D483" s="43">
        <v>55.85</v>
      </c>
      <c r="E483" s="30">
        <v>1005.3</v>
      </c>
      <c r="F483" s="29">
        <v>5.69</v>
      </c>
      <c r="G483" s="30">
        <v>144</v>
      </c>
      <c r="H483" s="30">
        <v>77.09</v>
      </c>
      <c r="I483" s="30">
        <v>25.1325</v>
      </c>
      <c r="J483" s="30">
        <v>144.1975</v>
      </c>
      <c r="K483" s="32">
        <v>0.143437282403263</v>
      </c>
      <c r="L483" s="30">
        <v>1153.58</v>
      </c>
      <c r="M483" s="30">
        <v>8042.4</v>
      </c>
      <c r="N483" s="32">
        <v>0.0766835770416791</v>
      </c>
      <c r="O483" s="44">
        <v>6</v>
      </c>
      <c r="P483" s="44">
        <v>12</v>
      </c>
      <c r="Q483" s="34">
        <v>0.333333333333333</v>
      </c>
      <c r="R483" s="34">
        <v>0.230050731125038</v>
      </c>
      <c r="S483" s="45" t="s">
        <v>61</v>
      </c>
    </row>
    <row customHeight="true" ht="23.703703703703702" r="484">
      <c r="A484" s="42">
        <v>46078</v>
      </c>
      <c r="B484" s="28" t="s">
        <v>47</v>
      </c>
      <c r="C484" s="28">
        <v>4</v>
      </c>
      <c r="D484" s="43">
        <v>58</v>
      </c>
      <c r="E484" s="30">
        <v>232</v>
      </c>
      <c r="F484" s="29">
        <v>15.88</v>
      </c>
      <c r="G484" s="30">
        <v>32</v>
      </c>
      <c r="H484" s="30">
        <v>18.49</v>
      </c>
      <c r="I484" s="30">
        <v>5.8</v>
      </c>
      <c r="J484" s="30">
        <v>71.23</v>
      </c>
      <c r="K484" s="32">
        <v>0.307025862068966</v>
      </c>
      <c r="L484" s="30">
        <v>569.84</v>
      </c>
      <c r="M484" s="30">
        <v>1856</v>
      </c>
      <c r="N484" s="32">
        <v>0.079698275862069</v>
      </c>
      <c r="O484" s="44">
        <v>2</v>
      </c>
      <c r="P484" s="44">
        <v>2</v>
      </c>
      <c r="Q484" s="34">
        <v>0.5</v>
      </c>
      <c r="R484" s="34">
        <v>0.159396551724138</v>
      </c>
      <c r="S484" s="45" t="s">
        <v>57</v>
      </c>
    </row>
    <row customHeight="true" ht="23.703703703703702" r="485">
      <c r="A485" s="42">
        <v>46078</v>
      </c>
      <c r="B485" s="28" t="s">
        <v>49</v>
      </c>
      <c r="C485" s="28">
        <v>1</v>
      </c>
      <c r="D485" s="43">
        <v>58.8</v>
      </c>
      <c r="E485" s="30">
        <v>58.8</v>
      </c>
      <c r="F485" s="29">
        <v>16.27</v>
      </c>
      <c r="G485" s="30">
        <v>8</v>
      </c>
      <c r="H485" s="30">
        <v>14.12</v>
      </c>
      <c r="I485" s="30">
        <v>1.47</v>
      </c>
      <c r="J485" s="30">
        <v>8.68</v>
      </c>
      <c r="K485" s="32">
        <v>0.147619047619048</v>
      </c>
      <c r="L485" s="30">
        <v>69.44</v>
      </c>
      <c r="M485" s="30">
        <v>470.4</v>
      </c>
      <c r="N485" s="32">
        <v>0.240136054421769</v>
      </c>
      <c r="O485" s="44">
        <v>0</v>
      </c>
      <c r="P485" s="44">
        <v>1</v>
      </c>
      <c r="Q485" s="34">
        <v>0</v>
      </c>
      <c r="R485" s="34">
        <v>0</v>
      </c>
      <c r="S485" s="45" t="s">
        <v>57</v>
      </c>
    </row>
    <row customHeight="true" ht="23.703703703703702" r="486">
      <c r="A486" s="42">
        <v>46078</v>
      </c>
      <c r="B486" s="28" t="s">
        <v>50</v>
      </c>
      <c r="C486" s="28">
        <v>4</v>
      </c>
      <c r="D486" s="43">
        <v>59.35</v>
      </c>
      <c r="E486" s="30">
        <v>237.4</v>
      </c>
      <c r="F486" s="29">
        <v>15.72</v>
      </c>
      <c r="G486" s="30">
        <v>32</v>
      </c>
      <c r="H486" s="30">
        <v>33.47</v>
      </c>
      <c r="I486" s="30">
        <v>5.935</v>
      </c>
      <c r="J486" s="30">
        <v>55.475</v>
      </c>
      <c r="K486" s="32">
        <v>0.233677337826453</v>
      </c>
      <c r="L486" s="30">
        <v>443.8</v>
      </c>
      <c r="M486" s="30">
        <v>1899.2</v>
      </c>
      <c r="N486" s="32">
        <v>0.140985678180286</v>
      </c>
      <c r="O486" s="44">
        <v>2</v>
      </c>
      <c r="P486" s="44">
        <v>2</v>
      </c>
      <c r="Q486" s="34">
        <v>0.5</v>
      </c>
      <c r="R486" s="34">
        <v>0.281971356360573</v>
      </c>
      <c r="S486" s="38" t="s">
        <v>57</v>
      </c>
    </row>
    <row customHeight="true" ht="23.703703703703702" r="487">
      <c r="A487" s="42">
        <v>46078</v>
      </c>
      <c r="B487" s="28" t="s">
        <v>52</v>
      </c>
      <c r="C487" s="28">
        <v>6</v>
      </c>
      <c r="D487" s="43">
        <v>52.3</v>
      </c>
      <c r="E487" s="30">
        <v>313.8</v>
      </c>
      <c r="F487" s="29">
        <v>5.39</v>
      </c>
      <c r="G487" s="30">
        <v>48</v>
      </c>
      <c r="H487" s="30">
        <v>50.12</v>
      </c>
      <c r="I487" s="30">
        <v>7.845</v>
      </c>
      <c r="J487" s="30">
        <v>22.375</v>
      </c>
      <c r="K487" s="32">
        <v>0.0713033779477374</v>
      </c>
      <c r="L487" s="30">
        <v>201.375</v>
      </c>
      <c r="M487" s="30">
        <v>2824.2</v>
      </c>
      <c r="N487" s="32">
        <v>0.159719566602932</v>
      </c>
      <c r="O487" s="44">
        <v>4</v>
      </c>
      <c r="P487" s="44">
        <v>2</v>
      </c>
      <c r="Q487" s="34">
        <v>0.666666666666667</v>
      </c>
      <c r="R487" s="34">
        <v>0.239579349904398</v>
      </c>
      <c r="S487" s="38" t="s">
        <v>63</v>
      </c>
    </row>
    <row customHeight="true" ht="23.703703703703702" r="488">
      <c r="A488" s="42">
        <v>46078</v>
      </c>
      <c r="B488" s="28" t="s">
        <v>27</v>
      </c>
      <c r="C488" s="28">
        <v>33</v>
      </c>
      <c r="D488" s="38"/>
      <c r="E488" s="30">
        <v>1847.3</v>
      </c>
      <c r="F488" s="31">
        <v>58.95</v>
      </c>
      <c r="G488" s="30"/>
      <c r="H488" s="30"/>
      <c r="I488" s="30"/>
      <c r="J488" s="30">
        <v>301.9575</v>
      </c>
      <c r="K488" s="32">
        <v>0.163458831808586</v>
      </c>
      <c r="L488" s="30">
        <v>2438.035</v>
      </c>
      <c r="M488" s="30">
        <v>15092.2</v>
      </c>
      <c r="N488" s="32"/>
      <c r="O488" s="44">
        <v>14</v>
      </c>
      <c r="P488" s="44">
        <v>19</v>
      </c>
      <c r="Q488" s="34">
        <v>0.424242424242424</v>
      </c>
      <c r="R488" s="34"/>
      <c r="S488" s="38"/>
    </row>
    <row customHeight="true" ht="23.703703703703702" r="489">
      <c r="B489" s="26" t="s">
        <v>54</v>
      </c>
    </row>
    <row customHeight="true" ht="23.703703703703702" r="490">
      <c r="A490" s="20" t="s">
        <v>65</v>
      </c>
      <c r="B490" s="21" t="s">
        <v>28</v>
      </c>
      <c r="C490" s="39" t="s">
        <v>29</v>
      </c>
      <c r="D490" s="21" t="s">
        <v>30</v>
      </c>
      <c r="E490" s="22" t="s">
        <v>31</v>
      </c>
      <c r="F490" s="23" t="s">
        <v>32</v>
      </c>
      <c r="G490" s="22" t="s">
        <v>33</v>
      </c>
      <c r="H490" s="40" t="s">
        <v>34</v>
      </c>
      <c r="I490" s="22" t="s">
        <v>35</v>
      </c>
      <c r="J490" s="22" t="s">
        <v>32</v>
      </c>
      <c r="K490" s="24" t="s">
        <v>36</v>
      </c>
      <c r="L490" s="22" t="s">
        <v>37</v>
      </c>
      <c r="M490" s="22" t="s">
        <v>38</v>
      </c>
      <c r="N490" s="21" t="s">
        <v>39</v>
      </c>
      <c r="O490" s="41" t="s">
        <v>40</v>
      </c>
      <c r="P490" s="25" t="s">
        <v>41</v>
      </c>
      <c r="Q490" s="24" t="s">
        <v>42</v>
      </c>
      <c r="R490" s="24" t="s">
        <v>43</v>
      </c>
      <c r="S490" s="24" t="s">
        <v>56</v>
      </c>
    </row>
    <row customHeight="true" ht="23.703703703703702" r="491">
      <c r="A491" s="42">
        <v>46079</v>
      </c>
      <c r="B491" s="28" t="s">
        <v>46</v>
      </c>
      <c r="C491" s="28">
        <v>24</v>
      </c>
      <c r="D491" s="43">
        <v>55.85</v>
      </c>
      <c r="E491" s="30">
        <v>1340.4</v>
      </c>
      <c r="F491" s="29">
        <v>5.69</v>
      </c>
      <c r="G491" s="30">
        <v>192</v>
      </c>
      <c r="H491" s="30">
        <v>78.87</v>
      </c>
      <c r="I491" s="30">
        <v>33.51</v>
      </c>
      <c r="J491" s="30">
        <v>216.18</v>
      </c>
      <c r="K491" s="32">
        <v>0.161280214861235</v>
      </c>
      <c r="L491" s="30">
        <v>1729.44</v>
      </c>
      <c r="M491" s="30">
        <v>10723.2</v>
      </c>
      <c r="N491" s="32">
        <v>0.0588406445837064</v>
      </c>
      <c r="O491" s="44">
        <v>8</v>
      </c>
      <c r="P491" s="44">
        <v>16</v>
      </c>
      <c r="Q491" s="34">
        <v>0.333333333333333</v>
      </c>
      <c r="R491" s="34">
        <v>0.176521933751119</v>
      </c>
      <c r="S491" s="45" t="s">
        <v>61</v>
      </c>
    </row>
    <row customHeight="true" ht="23.703703703703702" r="492">
      <c r="A492" s="42">
        <v>46079</v>
      </c>
      <c r="B492" s="28" t="s">
        <v>47</v>
      </c>
      <c r="C492" s="28">
        <v>3</v>
      </c>
      <c r="D492" s="43">
        <v>58</v>
      </c>
      <c r="E492" s="30">
        <v>174</v>
      </c>
      <c r="F492" s="29">
        <v>15.88</v>
      </c>
      <c r="G492" s="30">
        <v>24</v>
      </c>
      <c r="H492" s="30">
        <v>31.04</v>
      </c>
      <c r="I492" s="30">
        <v>4.35</v>
      </c>
      <c r="J492" s="30">
        <v>36.25</v>
      </c>
      <c r="K492" s="32">
        <v>0.208333333333333</v>
      </c>
      <c r="L492" s="30">
        <v>290</v>
      </c>
      <c r="M492" s="30">
        <v>1392</v>
      </c>
      <c r="N492" s="32">
        <v>0.178390804597701</v>
      </c>
      <c r="O492" s="44">
        <v>1</v>
      </c>
      <c r="P492" s="44">
        <v>2</v>
      </c>
      <c r="Q492" s="34">
        <v>0.333333333333333</v>
      </c>
      <c r="R492" s="34">
        <v>0.535172413793104</v>
      </c>
      <c r="S492" s="45" t="s">
        <v>57</v>
      </c>
    </row>
    <row customHeight="true" ht="23.703703703703702" r="493">
      <c r="A493" s="42">
        <v>46079</v>
      </c>
      <c r="B493" s="28" t="s">
        <v>49</v>
      </c>
      <c r="C493" s="28">
        <v>5</v>
      </c>
      <c r="D493" s="43">
        <v>58.8</v>
      </c>
      <c r="E493" s="30">
        <v>294</v>
      </c>
      <c r="F493" s="29">
        <v>16.27</v>
      </c>
      <c r="G493" s="30">
        <v>40</v>
      </c>
      <c r="H493" s="30">
        <v>7.4</v>
      </c>
      <c r="I493" s="30">
        <v>7.35</v>
      </c>
      <c r="J493" s="30">
        <v>106.6</v>
      </c>
      <c r="K493" s="32">
        <v>0.362585034013605</v>
      </c>
      <c r="L493" s="30">
        <v>852.8</v>
      </c>
      <c r="M493" s="30">
        <v>2352</v>
      </c>
      <c r="N493" s="32">
        <v>0.0251700680272109</v>
      </c>
      <c r="O493" s="44">
        <v>1</v>
      </c>
      <c r="P493" s="44">
        <v>4</v>
      </c>
      <c r="Q493" s="34">
        <v>0.2</v>
      </c>
      <c r="R493" s="34">
        <v>0.125850340136054</v>
      </c>
      <c r="S493" s="45" t="s">
        <v>57</v>
      </c>
    </row>
    <row customHeight="true" ht="23.703703703703702" r="494">
      <c r="A494" s="42">
        <v>46079</v>
      </c>
      <c r="B494" s="28" t="s">
        <v>50</v>
      </c>
      <c r="C494" s="28">
        <v>1</v>
      </c>
      <c r="D494" s="43">
        <v>59.35</v>
      </c>
      <c r="E494" s="30">
        <v>59.35</v>
      </c>
      <c r="F494" s="29">
        <v>7.22</v>
      </c>
      <c r="G494" s="30">
        <v>8</v>
      </c>
      <c r="H494" s="30">
        <v>22.12</v>
      </c>
      <c r="I494" s="30">
        <v>1.48375</v>
      </c>
      <c r="J494" s="30">
        <v>-8.38375</v>
      </c>
      <c r="K494" s="32">
        <v>-0.14125947767481</v>
      </c>
      <c r="L494" s="30">
        <v>-67.07</v>
      </c>
      <c r="M494" s="30">
        <v>474.8</v>
      </c>
      <c r="N494" s="32">
        <v>0.372704296545914</v>
      </c>
      <c r="O494" s="44">
        <v>0</v>
      </c>
      <c r="P494" s="44">
        <v>1</v>
      </c>
      <c r="Q494" s="34">
        <v>0</v>
      </c>
      <c r="R494" s="34">
        <v>0</v>
      </c>
      <c r="S494" s="38" t="s">
        <v>66</v>
      </c>
    </row>
    <row customHeight="true" ht="23.703703703703702" r="495">
      <c r="A495" s="42">
        <v>46079</v>
      </c>
      <c r="B495" s="28" t="s">
        <v>52</v>
      </c>
      <c r="C495" s="28">
        <v>2</v>
      </c>
      <c r="D495" s="43">
        <v>52.3</v>
      </c>
      <c r="E495" s="30">
        <v>104.6</v>
      </c>
      <c r="F495" s="29">
        <v>14.72</v>
      </c>
      <c r="G495" s="30">
        <v>16</v>
      </c>
      <c r="H495" s="30">
        <v>23.31</v>
      </c>
      <c r="I495" s="30">
        <v>2.615</v>
      </c>
      <c r="J495" s="30">
        <v>19.515</v>
      </c>
      <c r="K495" s="32">
        <v>0.186567877629063</v>
      </c>
      <c r="L495" s="30">
        <v>175.635</v>
      </c>
      <c r="M495" s="30">
        <v>941.4</v>
      </c>
      <c r="N495" s="32">
        <v>0.222848948374761</v>
      </c>
      <c r="O495" s="44">
        <v>0</v>
      </c>
      <c r="P495" s="44">
        <v>2</v>
      </c>
      <c r="Q495" s="34">
        <v>0</v>
      </c>
      <c r="R495" s="34">
        <v>0</v>
      </c>
      <c r="S495" s="38" t="s">
        <v>57</v>
      </c>
    </row>
    <row customHeight="true" ht="23.703703703703702" r="496">
      <c r="A496" s="42">
        <v>46079</v>
      </c>
      <c r="B496" s="28" t="s">
        <v>27</v>
      </c>
      <c r="C496" s="28">
        <v>35</v>
      </c>
      <c r="D496" s="38"/>
      <c r="E496" s="30">
        <v>1972.35</v>
      </c>
      <c r="F496" s="31">
        <v>59.78</v>
      </c>
      <c r="G496" s="30"/>
      <c r="H496" s="30"/>
      <c r="I496" s="30"/>
      <c r="J496" s="30">
        <v>370.16125</v>
      </c>
      <c r="K496" s="32">
        <v>0.187675235125612</v>
      </c>
      <c r="L496" s="30">
        <v>2980.805</v>
      </c>
      <c r="M496" s="30">
        <v>15883.4</v>
      </c>
      <c r="N496" s="32"/>
      <c r="O496" s="44">
        <v>10</v>
      </c>
      <c r="P496" s="44">
        <v>25</v>
      </c>
      <c r="Q496" s="34">
        <v>0.285714285714286</v>
      </c>
      <c r="R496" s="34"/>
      <c r="S496" s="38"/>
    </row>
    <row customHeight="true" ht="23.703703703703702" r="497">
      <c r="B497" s="26" t="s">
        <v>54</v>
      </c>
    </row>
    <row customHeight="true" ht="23.703703703703702" r="498">
      <c r="A498" s="20" t="s">
        <v>65</v>
      </c>
      <c r="B498" s="21" t="s">
        <v>28</v>
      </c>
      <c r="C498" s="39" t="s">
        <v>29</v>
      </c>
      <c r="D498" s="21" t="s">
        <v>30</v>
      </c>
      <c r="E498" s="22" t="s">
        <v>31</v>
      </c>
      <c r="F498" s="23" t="s">
        <v>32</v>
      </c>
      <c r="G498" s="22" t="s">
        <v>33</v>
      </c>
      <c r="H498" s="40" t="s">
        <v>34</v>
      </c>
      <c r="I498" s="22" t="s">
        <v>35</v>
      </c>
      <c r="J498" s="22" t="s">
        <v>32</v>
      </c>
      <c r="K498" s="24" t="s">
        <v>36</v>
      </c>
      <c r="L498" s="22" t="s">
        <v>37</v>
      </c>
      <c r="M498" s="22" t="s">
        <v>38</v>
      </c>
      <c r="N498" s="21" t="s">
        <v>39</v>
      </c>
      <c r="O498" s="41" t="s">
        <v>40</v>
      </c>
      <c r="P498" s="25" t="s">
        <v>41</v>
      </c>
      <c r="Q498" s="24" t="s">
        <v>42</v>
      </c>
      <c r="R498" s="24" t="s">
        <v>43</v>
      </c>
      <c r="S498" s="24" t="s">
        <v>56</v>
      </c>
    </row>
    <row customHeight="true" ht="23.703703703703702" r="499">
      <c r="A499" s="42">
        <v>46080</v>
      </c>
      <c r="B499" s="28" t="s">
        <v>46</v>
      </c>
      <c r="C499" s="28">
        <v>26</v>
      </c>
      <c r="D499" s="43">
        <v>55.85</v>
      </c>
      <c r="E499" s="30">
        <v>1452.1</v>
      </c>
      <c r="F499" s="29">
        <v>5.69</v>
      </c>
      <c r="G499" s="30">
        <v>208</v>
      </c>
      <c r="H499" s="30">
        <v>85.93</v>
      </c>
      <c r="I499" s="30">
        <v>36.3025</v>
      </c>
      <c r="J499" s="30">
        <v>233.7075</v>
      </c>
      <c r="K499" s="32">
        <v>0.160944494180842</v>
      </c>
      <c r="L499" s="30">
        <v>1869.66</v>
      </c>
      <c r="M499" s="30">
        <v>11616.8</v>
      </c>
      <c r="N499" s="32">
        <v>0.0591763652641003</v>
      </c>
      <c r="O499" s="44">
        <v>11</v>
      </c>
      <c r="P499" s="44">
        <v>15</v>
      </c>
      <c r="Q499" s="34">
        <v>0.423076923076923</v>
      </c>
      <c r="R499" s="34">
        <v>0.139871408806055</v>
      </c>
      <c r="S499" s="45" t="s">
        <v>61</v>
      </c>
    </row>
    <row customHeight="true" ht="23.703703703703702" r="500">
      <c r="A500" s="42">
        <v>46080</v>
      </c>
      <c r="B500" s="28" t="s">
        <v>47</v>
      </c>
      <c r="C500" s="28">
        <v>3</v>
      </c>
      <c r="D500" s="43">
        <v>58</v>
      </c>
      <c r="E500" s="30">
        <v>174</v>
      </c>
      <c r="F500" s="29">
        <v>15.88</v>
      </c>
      <c r="G500" s="30">
        <v>24</v>
      </c>
      <c r="H500" s="30">
        <v>26.59</v>
      </c>
      <c r="I500" s="30">
        <v>4.35</v>
      </c>
      <c r="J500" s="30">
        <v>40.7</v>
      </c>
      <c r="K500" s="32">
        <v>0.233908045977011</v>
      </c>
      <c r="L500" s="30">
        <v>325.6</v>
      </c>
      <c r="M500" s="30">
        <v>1392</v>
      </c>
      <c r="N500" s="32">
        <v>0.152816091954023</v>
      </c>
      <c r="O500" s="44">
        <v>2</v>
      </c>
      <c r="P500" s="44">
        <v>1</v>
      </c>
      <c r="Q500" s="34">
        <v>0.666666666666667</v>
      </c>
      <c r="R500" s="34">
        <v>0.229224137931034</v>
      </c>
      <c r="S500" s="45" t="s">
        <v>57</v>
      </c>
    </row>
    <row customHeight="true" ht="23.703703703703702" r="501">
      <c r="A501" s="42">
        <v>46080</v>
      </c>
      <c r="B501" s="28" t="s">
        <v>49</v>
      </c>
      <c r="C501" s="28">
        <v>4</v>
      </c>
      <c r="D501" s="43">
        <v>58.8</v>
      </c>
      <c r="E501" s="30">
        <v>235.2</v>
      </c>
      <c r="F501" s="29">
        <v>16.27</v>
      </c>
      <c r="G501" s="30">
        <v>32</v>
      </c>
      <c r="H501" s="30">
        <v>18.49</v>
      </c>
      <c r="I501" s="30">
        <v>5.88</v>
      </c>
      <c r="J501" s="30">
        <v>72.71</v>
      </c>
      <c r="K501" s="32">
        <v>0.309141156462585</v>
      </c>
      <c r="L501" s="30">
        <v>581.68</v>
      </c>
      <c r="M501" s="30">
        <v>1881.6</v>
      </c>
      <c r="N501" s="32">
        <v>0.0786139455782313</v>
      </c>
      <c r="O501" s="44">
        <v>1</v>
      </c>
      <c r="P501" s="44">
        <v>3</v>
      </c>
      <c r="Q501" s="34">
        <v>0.25</v>
      </c>
      <c r="R501" s="34">
        <v>0.314455782312925</v>
      </c>
      <c r="S501" s="45" t="s">
        <v>57</v>
      </c>
    </row>
    <row customHeight="true" ht="23.703703703703702" r="502">
      <c r="A502" s="42">
        <v>46080</v>
      </c>
      <c r="B502" s="28" t="s">
        <v>50</v>
      </c>
      <c r="C502" s="28">
        <v>2</v>
      </c>
      <c r="D502" s="43">
        <v>59.35</v>
      </c>
      <c r="E502" s="30">
        <v>118.7</v>
      </c>
      <c r="F502" s="29">
        <v>11.47</v>
      </c>
      <c r="G502" s="30">
        <v>16</v>
      </c>
      <c r="H502" s="30">
        <v>9.45</v>
      </c>
      <c r="I502" s="30">
        <v>2.9675</v>
      </c>
      <c r="J502" s="30">
        <v>26.5225</v>
      </c>
      <c r="K502" s="32">
        <v>0.223441449031171</v>
      </c>
      <c r="L502" s="30">
        <v>212.18</v>
      </c>
      <c r="M502" s="30">
        <v>949.6</v>
      </c>
      <c r="N502" s="32">
        <v>0.0796124684077506</v>
      </c>
      <c r="O502" s="44">
        <v>1</v>
      </c>
      <c r="P502" s="44">
        <v>1</v>
      </c>
      <c r="Q502" s="34">
        <v>0.5</v>
      </c>
      <c r="R502" s="34">
        <v>0.159224936815501</v>
      </c>
      <c r="S502" s="38" t="s">
        <v>67</v>
      </c>
    </row>
    <row customHeight="true" ht="23.703703703703702" r="503">
      <c r="A503" s="42">
        <v>46080</v>
      </c>
      <c r="B503" s="28" t="s">
        <v>52</v>
      </c>
      <c r="C503" s="28">
        <v>3</v>
      </c>
      <c r="D503" s="43">
        <v>52.3</v>
      </c>
      <c r="E503" s="30">
        <v>156.9</v>
      </c>
      <c r="F503" s="29">
        <v>10.92</v>
      </c>
      <c r="G503" s="30">
        <v>24</v>
      </c>
      <c r="H503" s="30">
        <v>40.43</v>
      </c>
      <c r="I503" s="30">
        <v>3.9225</v>
      </c>
      <c r="J503" s="30">
        <v>12.4075</v>
      </c>
      <c r="K503" s="32">
        <v>0.0790790312300829</v>
      </c>
      <c r="L503" s="30">
        <v>111.6675</v>
      </c>
      <c r="M503" s="30">
        <v>1412.1</v>
      </c>
      <c r="N503" s="32">
        <v>0.25768005098789</v>
      </c>
      <c r="O503" s="44">
        <v>1</v>
      </c>
      <c r="P503" s="44">
        <v>2</v>
      </c>
      <c r="Q503" s="34">
        <v>0.333333333333333</v>
      </c>
      <c r="R503" s="34">
        <v>0.773040152963672</v>
      </c>
      <c r="S503" s="38" t="s">
        <v>67</v>
      </c>
    </row>
    <row customHeight="true" ht="23.703703703703702" r="504">
      <c r="A504" s="42">
        <v>46080</v>
      </c>
      <c r="B504" s="28" t="s">
        <v>27</v>
      </c>
      <c r="C504" s="28">
        <v>38</v>
      </c>
      <c r="D504" s="38"/>
      <c r="E504" s="30">
        <v>2136.9</v>
      </c>
      <c r="F504" s="31">
        <v>60.23</v>
      </c>
      <c r="G504" s="30"/>
      <c r="H504" s="30"/>
      <c r="I504" s="30"/>
      <c r="J504" s="30">
        <v>386.0475</v>
      </c>
      <c r="K504" s="32">
        <v>0.180657728485189</v>
      </c>
      <c r="L504" s="30">
        <v>3100.7875</v>
      </c>
      <c r="M504" s="30">
        <v>17252.1</v>
      </c>
      <c r="N504" s="32"/>
      <c r="O504" s="44">
        <v>16</v>
      </c>
      <c r="P504" s="44">
        <v>22</v>
      </c>
      <c r="Q504" s="34">
        <v>0.421052631578947</v>
      </c>
      <c r="R504" s="34"/>
      <c r="S504" s="38"/>
    </row>
    <row customHeight="true" ht="23.703703703703702" r="505">
      <c r="B505" s="26" t="s">
        <v>54</v>
      </c>
    </row>
    <row customHeight="true" ht="23.703703703703702" r="506">
      <c r="A506" s="20" t="s">
        <v>65</v>
      </c>
      <c r="B506" s="21" t="s">
        <v>28</v>
      </c>
      <c r="C506" s="39" t="s">
        <v>29</v>
      </c>
      <c r="D506" s="21" t="s">
        <v>30</v>
      </c>
      <c r="E506" s="22" t="s">
        <v>31</v>
      </c>
      <c r="F506" s="23" t="s">
        <v>32</v>
      </c>
      <c r="G506" s="22" t="s">
        <v>33</v>
      </c>
      <c r="H506" s="40" t="s">
        <v>34</v>
      </c>
      <c r="I506" s="22" t="s">
        <v>35</v>
      </c>
      <c r="J506" s="22" t="s">
        <v>32</v>
      </c>
      <c r="K506" s="24" t="s">
        <v>36</v>
      </c>
      <c r="L506" s="22" t="s">
        <v>37</v>
      </c>
      <c r="M506" s="22" t="s">
        <v>38</v>
      </c>
      <c r="N506" s="21" t="s">
        <v>39</v>
      </c>
      <c r="O506" s="41" t="s">
        <v>40</v>
      </c>
      <c r="P506" s="25" t="s">
        <v>41</v>
      </c>
      <c r="Q506" s="24" t="s">
        <v>42</v>
      </c>
      <c r="R506" s="24" t="s">
        <v>43</v>
      </c>
      <c r="S506" s="24" t="s">
        <v>56</v>
      </c>
    </row>
    <row customHeight="true" ht="23.703703703703702" r="507">
      <c r="A507" s="42">
        <v>46081</v>
      </c>
      <c r="B507" s="28" t="s">
        <v>46</v>
      </c>
      <c r="C507" s="28">
        <v>21</v>
      </c>
      <c r="D507" s="43">
        <v>55.85</v>
      </c>
      <c r="E507" s="30">
        <v>1172.85</v>
      </c>
      <c r="F507" s="29">
        <v>5.69</v>
      </c>
      <c r="G507" s="30">
        <v>168</v>
      </c>
      <c r="H507" s="30">
        <v>75.27</v>
      </c>
      <c r="I507" s="30">
        <v>29.32125</v>
      </c>
      <c r="J507" s="30">
        <v>182.89875</v>
      </c>
      <c r="K507" s="32">
        <v>0.155943854712879</v>
      </c>
      <c r="L507" s="30">
        <v>1463.19</v>
      </c>
      <c r="M507" s="30">
        <v>9382.8</v>
      </c>
      <c r="N507" s="32">
        <v>0.0641770047320629</v>
      </c>
      <c r="O507" s="44">
        <v>4</v>
      </c>
      <c r="P507" s="44">
        <v>17</v>
      </c>
      <c r="Q507" s="34">
        <v>0.19047619047619</v>
      </c>
      <c r="R507" s="34">
        <v>0.336929274843331</v>
      </c>
      <c r="S507" s="45" t="s">
        <v>61</v>
      </c>
    </row>
    <row customHeight="true" ht="23.703703703703702" r="508">
      <c r="A508" s="42">
        <v>46081</v>
      </c>
      <c r="B508" s="28" t="s">
        <v>47</v>
      </c>
      <c r="C508" s="28">
        <v>11</v>
      </c>
      <c r="D508" s="43">
        <v>58</v>
      </c>
      <c r="E508" s="30">
        <v>638</v>
      </c>
      <c r="F508" s="29">
        <v>10.01</v>
      </c>
      <c r="G508" s="30">
        <v>88</v>
      </c>
      <c r="H508" s="30">
        <v>49.86</v>
      </c>
      <c r="I508" s="30">
        <v>15.95</v>
      </c>
      <c r="J508" s="30">
        <v>132.3</v>
      </c>
      <c r="K508" s="32">
        <v>0.207366771159875</v>
      </c>
      <c r="L508" s="30">
        <v>1058.4</v>
      </c>
      <c r="M508" s="30">
        <v>5104</v>
      </c>
      <c r="N508" s="32">
        <v>0.0781504702194357</v>
      </c>
      <c r="O508" s="44">
        <v>5</v>
      </c>
      <c r="P508" s="44">
        <v>6</v>
      </c>
      <c r="Q508" s="34">
        <v>0.454545454545455</v>
      </c>
      <c r="R508" s="34">
        <v>0.171931034482758</v>
      </c>
      <c r="S508" s="45" t="s">
        <v>70</v>
      </c>
    </row>
    <row customHeight="true" ht="23.703703703703702" r="509">
      <c r="A509" s="42">
        <v>46081</v>
      </c>
      <c r="B509" s="28" t="s">
        <v>49</v>
      </c>
      <c r="C509" s="28">
        <v>6</v>
      </c>
      <c r="D509" s="43">
        <v>58.8</v>
      </c>
      <c r="E509" s="30">
        <v>352.8</v>
      </c>
      <c r="F509" s="29">
        <v>16.27</v>
      </c>
      <c r="G509" s="30">
        <v>48</v>
      </c>
      <c r="H509" s="30">
        <v>19.06</v>
      </c>
      <c r="I509" s="30">
        <v>8.82</v>
      </c>
      <c r="J509" s="30">
        <v>117.74</v>
      </c>
      <c r="K509" s="32">
        <v>0.333730158730159</v>
      </c>
      <c r="L509" s="30">
        <v>941.92</v>
      </c>
      <c r="M509" s="30">
        <v>2822.4</v>
      </c>
      <c r="N509" s="32">
        <v>0.0540249433106576</v>
      </c>
      <c r="O509" s="44">
        <v>1</v>
      </c>
      <c r="P509" s="44">
        <v>5</v>
      </c>
      <c r="Q509" s="34">
        <v>0.166666666666667</v>
      </c>
      <c r="R509" s="34">
        <v>0.324149659863945</v>
      </c>
      <c r="S509" s="45" t="s">
        <v>57</v>
      </c>
    </row>
    <row customHeight="true" ht="23.703703703703702" r="510">
      <c r="A510" s="42">
        <v>46081</v>
      </c>
      <c r="B510" s="28" t="s">
        <v>50</v>
      </c>
      <c r="C510" s="28">
        <v>2</v>
      </c>
      <c r="D510" s="43">
        <v>59.35</v>
      </c>
      <c r="E510" s="30">
        <v>118.7</v>
      </c>
      <c r="F510" s="29">
        <v>15.72</v>
      </c>
      <c r="G510" s="30">
        <v>16</v>
      </c>
      <c r="H510" s="30">
        <v>13.68</v>
      </c>
      <c r="I510" s="30">
        <v>2.9675</v>
      </c>
      <c r="J510" s="30">
        <v>30.7925</v>
      </c>
      <c r="K510" s="32">
        <v>0.25941449031171</v>
      </c>
      <c r="L510" s="30">
        <v>246.34</v>
      </c>
      <c r="M510" s="30">
        <v>949.6</v>
      </c>
      <c r="N510" s="32">
        <v>0.115248525695029</v>
      </c>
      <c r="O510" s="44">
        <v>1</v>
      </c>
      <c r="P510" s="44">
        <v>1</v>
      </c>
      <c r="Q510" s="34">
        <v>0.5</v>
      </c>
      <c r="R510" s="34">
        <v>0.230497051390059</v>
      </c>
      <c r="S510" s="38" t="s">
        <v>57</v>
      </c>
    </row>
    <row customHeight="true" ht="23.703703703703702" r="511">
      <c r="A511" s="42">
        <v>46081</v>
      </c>
      <c r="B511" s="28" t="s">
        <v>52</v>
      </c>
      <c r="C511" s="28">
        <v>1</v>
      </c>
      <c r="D511" s="43">
        <v>52.3</v>
      </c>
      <c r="E511" s="30">
        <v>52.3</v>
      </c>
      <c r="F511" s="29">
        <v>14.72</v>
      </c>
      <c r="G511" s="30">
        <v>8</v>
      </c>
      <c r="H511" s="30">
        <v>43.91</v>
      </c>
      <c r="I511" s="30">
        <v>1.3075</v>
      </c>
      <c r="J511" s="30">
        <v>-22.4975</v>
      </c>
      <c r="K511" s="32">
        <v>-0.430162523900574</v>
      </c>
      <c r="L511" s="30">
        <v>-202.4775</v>
      </c>
      <c r="M511" s="30">
        <v>470.7</v>
      </c>
      <c r="N511" s="32">
        <v>0.839579349904398</v>
      </c>
      <c r="O511" s="44">
        <v>1</v>
      </c>
      <c r="P511" s="44">
        <v>0</v>
      </c>
      <c r="Q511" s="34">
        <v>1</v>
      </c>
      <c r="R511" s="34">
        <v>0.839579349904398</v>
      </c>
      <c r="S511" s="38" t="s">
        <v>57</v>
      </c>
    </row>
    <row customHeight="true" ht="23.703703703703702" r="512">
      <c r="A512" s="42">
        <v>46081</v>
      </c>
      <c r="B512" s="28" t="s">
        <v>27</v>
      </c>
      <c r="C512" s="28">
        <v>41</v>
      </c>
      <c r="D512" s="38"/>
      <c r="E512" s="30">
        <v>2334.65</v>
      </c>
      <c r="F512" s="31">
        <v>62.41</v>
      </c>
      <c r="G512" s="30"/>
      <c r="H512" s="30"/>
      <c r="I512" s="30"/>
      <c r="J512" s="30">
        <v>441.23375</v>
      </c>
      <c r="K512" s="32">
        <v>0.188993532221104</v>
      </c>
      <c r="L512" s="30">
        <v>3507.3725</v>
      </c>
      <c r="M512" s="30">
        <v>18729.5</v>
      </c>
      <c r="N512" s="32"/>
      <c r="O512" s="44">
        <v>12</v>
      </c>
      <c r="P512" s="44">
        <v>29</v>
      </c>
      <c r="Q512" s="34">
        <v>0.292682926829268</v>
      </c>
      <c r="R512" s="34"/>
      <c r="S512" s="38"/>
    </row>
    <row customHeight="true" ht="23.703703703703702" r="513">
      <c r="B513" s="26" t="s">
        <v>54</v>
      </c>
    </row>
    <row customHeight="true" ht="23.703703703703702" r="514">
      <c r="A514" s="20" t="s">
        <v>65</v>
      </c>
      <c r="B514" s="21" t="s">
        <v>28</v>
      </c>
      <c r="C514" s="39" t="s">
        <v>29</v>
      </c>
      <c r="D514" s="21" t="s">
        <v>30</v>
      </c>
      <c r="E514" s="22" t="s">
        <v>31</v>
      </c>
      <c r="F514" s="23" t="s">
        <v>32</v>
      </c>
      <c r="G514" s="22" t="s">
        <v>33</v>
      </c>
      <c r="H514" s="40" t="s">
        <v>34</v>
      </c>
      <c r="I514" s="22" t="s">
        <v>35</v>
      </c>
      <c r="J514" s="22" t="s">
        <v>32</v>
      </c>
      <c r="K514" s="24" t="s">
        <v>36</v>
      </c>
      <c r="L514" s="22" t="s">
        <v>37</v>
      </c>
      <c r="M514" s="22" t="s">
        <v>38</v>
      </c>
      <c r="N514" s="21" t="s">
        <v>39</v>
      </c>
      <c r="O514" s="41" t="s">
        <v>40</v>
      </c>
      <c r="P514" s="25" t="s">
        <v>41</v>
      </c>
      <c r="Q514" s="24" t="s">
        <v>42</v>
      </c>
      <c r="R514" s="24" t="s">
        <v>43</v>
      </c>
      <c r="S514" s="24" t="s">
        <v>56</v>
      </c>
    </row>
    <row customHeight="true" ht="23.703703703703702" r="515">
      <c r="A515" s="42">
        <v>46082</v>
      </c>
      <c r="B515" s="28" t="s">
        <v>46</v>
      </c>
      <c r="C515" s="28">
        <v>20</v>
      </c>
      <c r="D515" s="43">
        <v>55.85</v>
      </c>
      <c r="E515" s="30">
        <v>1117</v>
      </c>
      <c r="F515" s="29">
        <v>5.69</v>
      </c>
      <c r="G515" s="30">
        <v>160</v>
      </c>
      <c r="H515" s="30">
        <v>106.93</v>
      </c>
      <c r="I515" s="30">
        <v>27.925</v>
      </c>
      <c r="J515" s="30">
        <v>138.945</v>
      </c>
      <c r="K515" s="32">
        <v>0.124391226499552</v>
      </c>
      <c r="L515" s="30">
        <v>1111.56</v>
      </c>
      <c r="M515" s="30">
        <v>8936</v>
      </c>
      <c r="N515" s="32">
        <v>0.0957296329453894</v>
      </c>
      <c r="O515" s="44">
        <v>13</v>
      </c>
      <c r="P515" s="44">
        <v>7</v>
      </c>
      <c r="Q515" s="34">
        <v>0.65</v>
      </c>
      <c r="R515" s="34">
        <v>0.147276358377522</v>
      </c>
      <c r="S515" s="45" t="s">
        <v>61</v>
      </c>
    </row>
    <row customHeight="true" ht="23.703703703703702" r="516">
      <c r="A516" s="42">
        <v>46082</v>
      </c>
      <c r="B516" s="28" t="s">
        <v>47</v>
      </c>
      <c r="C516" s="28">
        <v>8</v>
      </c>
      <c r="D516" s="43">
        <v>58</v>
      </c>
      <c r="E516" s="30">
        <v>464</v>
      </c>
      <c r="F516" s="29">
        <v>10.01</v>
      </c>
      <c r="G516" s="30">
        <v>64</v>
      </c>
      <c r="H516" s="30">
        <v>24.78</v>
      </c>
      <c r="I516" s="30">
        <v>11.6</v>
      </c>
      <c r="J516" s="30">
        <v>107.7</v>
      </c>
      <c r="K516" s="32">
        <v>0.232112068965517</v>
      </c>
      <c r="L516" s="30">
        <v>861.6</v>
      </c>
      <c r="M516" s="30">
        <v>3712</v>
      </c>
      <c r="N516" s="32">
        <v>0.0534051724137931</v>
      </c>
      <c r="O516" s="44">
        <v>4</v>
      </c>
      <c r="P516" s="44">
        <v>4</v>
      </c>
      <c r="Q516" s="34">
        <v>0.5</v>
      </c>
      <c r="R516" s="34">
        <v>0.106810344827586</v>
      </c>
      <c r="S516" s="45" t="s">
        <v>70</v>
      </c>
    </row>
    <row customHeight="true" ht="23.703703703703702" r="517">
      <c r="A517" s="42">
        <v>46082</v>
      </c>
      <c r="B517" s="28" t="s">
        <v>49</v>
      </c>
      <c r="C517" s="28">
        <v>4</v>
      </c>
      <c r="D517" s="43">
        <v>58.8</v>
      </c>
      <c r="E517" s="30">
        <v>235.2</v>
      </c>
      <c r="F517" s="29">
        <v>16.27</v>
      </c>
      <c r="G517" s="30">
        <v>32</v>
      </c>
      <c r="H517" s="30">
        <v>17.24</v>
      </c>
      <c r="I517" s="30">
        <v>5.88</v>
      </c>
      <c r="J517" s="30">
        <v>73.96</v>
      </c>
      <c r="K517" s="32">
        <v>0.314455782312925</v>
      </c>
      <c r="L517" s="30">
        <v>591.68</v>
      </c>
      <c r="M517" s="30">
        <v>1881.6</v>
      </c>
      <c r="N517" s="32">
        <v>0.0732993197278912</v>
      </c>
      <c r="O517" s="44">
        <v>0</v>
      </c>
      <c r="P517" s="44">
        <v>4</v>
      </c>
      <c r="Q517" s="34">
        <v>0</v>
      </c>
      <c r="R517" s="34">
        <v>0</v>
      </c>
      <c r="S517" s="45" t="s">
        <v>57</v>
      </c>
    </row>
    <row customHeight="true" ht="23.703703703703702" r="518">
      <c r="A518" s="42">
        <v>46082</v>
      </c>
      <c r="B518" s="28" t="s">
        <v>50</v>
      </c>
      <c r="C518" s="28">
        <v>0</v>
      </c>
      <c r="D518" s="43">
        <v>59.35</v>
      </c>
      <c r="E518" s="30">
        <v>0</v>
      </c>
      <c r="F518" s="29">
        <v>15.72</v>
      </c>
      <c r="G518" s="30">
        <v>0</v>
      </c>
      <c r="H518" s="30">
        <v>19.53</v>
      </c>
      <c r="I518" s="30">
        <v>0</v>
      </c>
      <c r="J518" s="30">
        <v>-19.53</v>
      </c>
      <c r="K518" s="32">
        <v>0</v>
      </c>
      <c r="L518" s="30">
        <v>-156.24</v>
      </c>
      <c r="M518" s="30">
        <v>0</v>
      </c>
      <c r="N518" s="32">
        <v>0</v>
      </c>
      <c r="O518" s="44">
        <v>1</v>
      </c>
      <c r="P518" s="44">
        <v>-1</v>
      </c>
      <c r="Q518" s="34">
        <v>0</v>
      </c>
      <c r="R518" s="34">
        <v>0</v>
      </c>
      <c r="S518" s="45" t="s">
        <v>57</v>
      </c>
    </row>
    <row customHeight="true" ht="23.703703703703702" r="519">
      <c r="A519" s="42">
        <v>46082</v>
      </c>
      <c r="B519" s="28" t="s">
        <v>52</v>
      </c>
      <c r="C519" s="28">
        <v>8</v>
      </c>
      <c r="D519" s="43">
        <v>52.3</v>
      </c>
      <c r="E519" s="30">
        <v>418.4</v>
      </c>
      <c r="F519" s="29">
        <v>4.3</v>
      </c>
      <c r="G519" s="30">
        <v>64</v>
      </c>
      <c r="H519" s="30">
        <v>52.79</v>
      </c>
      <c r="I519" s="30">
        <v>10.46</v>
      </c>
      <c r="J519" s="30">
        <v>35.15</v>
      </c>
      <c r="K519" s="32">
        <v>0.0840105162523901</v>
      </c>
      <c r="L519" s="30">
        <v>316.35</v>
      </c>
      <c r="M519" s="30">
        <v>3765.6</v>
      </c>
      <c r="N519" s="32">
        <v>0.126171128107075</v>
      </c>
      <c r="O519" s="44">
        <v>3</v>
      </c>
      <c r="P519" s="44">
        <v>5</v>
      </c>
      <c r="Q519" s="34">
        <v>0.375</v>
      </c>
      <c r="R519" s="34">
        <v>0.336456341618866</v>
      </c>
      <c r="S519" s="38" t="s">
        <v>72</v>
      </c>
    </row>
    <row customHeight="true" ht="23.703703703703702" r="520">
      <c r="A520" s="42">
        <v>46082</v>
      </c>
      <c r="B520" s="28" t="s">
        <v>27</v>
      </c>
      <c r="C520" s="28">
        <v>40</v>
      </c>
      <c r="D520" s="38"/>
      <c r="E520" s="30">
        <v>2234.6</v>
      </c>
      <c r="F520" s="31">
        <v>51.99</v>
      </c>
      <c r="G520" s="30"/>
      <c r="H520" s="30"/>
      <c r="I520" s="30"/>
      <c r="J520" s="30">
        <v>336.225</v>
      </c>
      <c r="K520" s="32">
        <v>0.150463170142307</v>
      </c>
      <c r="L520" s="30">
        <v>2724.95</v>
      </c>
      <c r="M520" s="30">
        <v>18295.2</v>
      </c>
      <c r="N520" s="32"/>
      <c r="O520" s="44">
        <v>21</v>
      </c>
      <c r="P520" s="44">
        <v>19</v>
      </c>
      <c r="Q520" s="34">
        <v>0.525</v>
      </c>
      <c r="R520" s="34"/>
      <c r="S520" s="38"/>
    </row>
    <row customHeight="true" ht="23.703703703703702" r="521">
      <c r="B521" s="26" t="s">
        <v>54</v>
      </c>
    </row>
    <row customHeight="true" ht="23.703703703703702" r="522">
      <c r="A522" s="20" t="s">
        <v>65</v>
      </c>
      <c r="B522" s="21" t="s">
        <v>28</v>
      </c>
      <c r="C522" s="39" t="s">
        <v>29</v>
      </c>
      <c r="D522" s="21" t="s">
        <v>30</v>
      </c>
      <c r="E522" s="22" t="s">
        <v>31</v>
      </c>
      <c r="F522" s="23" t="s">
        <v>32</v>
      </c>
      <c r="G522" s="22" t="s">
        <v>33</v>
      </c>
      <c r="H522" s="40" t="s">
        <v>34</v>
      </c>
      <c r="I522" s="22" t="s">
        <v>35</v>
      </c>
      <c r="J522" s="22" t="s">
        <v>32</v>
      </c>
      <c r="K522" s="24" t="s">
        <v>36</v>
      </c>
      <c r="L522" s="22" t="s">
        <v>37</v>
      </c>
      <c r="M522" s="22" t="s">
        <v>38</v>
      </c>
      <c r="N522" s="21" t="s">
        <v>39</v>
      </c>
      <c r="O522" s="41" t="s">
        <v>40</v>
      </c>
      <c r="P522" s="25" t="s">
        <v>41</v>
      </c>
      <c r="Q522" s="24" t="s">
        <v>42</v>
      </c>
      <c r="R522" s="24" t="s">
        <v>43</v>
      </c>
      <c r="S522" s="24" t="s">
        <v>56</v>
      </c>
    </row>
    <row customHeight="true" ht="23.703703703703702" r="523">
      <c r="A523" s="42">
        <v>46083</v>
      </c>
      <c r="B523" s="28" t="s">
        <v>46</v>
      </c>
      <c r="C523" s="28">
        <v>23</v>
      </c>
      <c r="D523" s="43">
        <v>55.85</v>
      </c>
      <c r="E523" s="30">
        <v>1284.55</v>
      </c>
      <c r="F523" s="29">
        <v>5.69</v>
      </c>
      <c r="G523" s="30">
        <v>184</v>
      </c>
      <c r="H523" s="30">
        <v>52.28</v>
      </c>
      <c r="I523" s="30">
        <v>32.11375</v>
      </c>
      <c r="J523" s="30">
        <v>230.47625</v>
      </c>
      <c r="K523" s="32">
        <v>0.179421781946985</v>
      </c>
      <c r="L523" s="30">
        <v>1843.81</v>
      </c>
      <c r="M523" s="30">
        <v>10276.4</v>
      </c>
      <c r="N523" s="32">
        <v>0.0406990774979565</v>
      </c>
      <c r="O523" s="44">
        <v>10</v>
      </c>
      <c r="P523" s="44">
        <v>13</v>
      </c>
      <c r="Q523" s="34">
        <v>0.434782608695652</v>
      </c>
      <c r="R523" s="34">
        <v>0.0936078782453</v>
      </c>
      <c r="S523" s="45" t="s">
        <v>61</v>
      </c>
    </row>
    <row customHeight="true" ht="23.703703703703702" r="524">
      <c r="A524" s="42">
        <v>46083</v>
      </c>
      <c r="B524" s="28" t="s">
        <v>47</v>
      </c>
      <c r="C524" s="28">
        <v>7</v>
      </c>
      <c r="D524" s="43">
        <v>58</v>
      </c>
      <c r="E524" s="30">
        <v>406</v>
      </c>
      <c r="F524" s="29">
        <v>10.01</v>
      </c>
      <c r="G524" s="30">
        <v>56</v>
      </c>
      <c r="H524" s="30">
        <v>25.09</v>
      </c>
      <c r="I524" s="30">
        <v>10.15</v>
      </c>
      <c r="J524" s="30">
        <v>90.83</v>
      </c>
      <c r="K524" s="32">
        <v>0.22371921182266</v>
      </c>
      <c r="L524" s="30">
        <v>726.64</v>
      </c>
      <c r="M524" s="30">
        <v>3248</v>
      </c>
      <c r="N524" s="32">
        <v>0.0617980295566502</v>
      </c>
      <c r="O524" s="44">
        <v>1</v>
      </c>
      <c r="P524" s="44">
        <v>6</v>
      </c>
      <c r="Q524" s="34">
        <v>0.142857142857143</v>
      </c>
      <c r="R524" s="34">
        <v>0.432586206896551</v>
      </c>
      <c r="S524" s="45" t="s">
        <v>70</v>
      </c>
    </row>
    <row customHeight="true" ht="23.703703703703702" r="525">
      <c r="A525" s="42">
        <v>46083</v>
      </c>
      <c r="B525" s="28" t="s">
        <v>49</v>
      </c>
      <c r="C525" s="28">
        <v>0</v>
      </c>
      <c r="D525" s="43">
        <v>58.8</v>
      </c>
      <c r="E525" s="30">
        <v>0</v>
      </c>
      <c r="F525" s="29">
        <v>16.27</v>
      </c>
      <c r="G525" s="30">
        <v>0</v>
      </c>
      <c r="H525" s="30">
        <v>22.9</v>
      </c>
      <c r="I525" s="30">
        <v>0</v>
      </c>
      <c r="J525" s="30">
        <v>-22.9</v>
      </c>
      <c r="K525" s="32">
        <v>0</v>
      </c>
      <c r="L525" s="30">
        <v>-183.2</v>
      </c>
      <c r="M525" s="30">
        <v>0</v>
      </c>
      <c r="N525" s="32">
        <v>0</v>
      </c>
      <c r="O525" s="44">
        <v>1</v>
      </c>
      <c r="P525" s="44">
        <v>-1</v>
      </c>
      <c r="Q525" s="34">
        <v>0</v>
      </c>
      <c r="R525" s="34">
        <v>0</v>
      </c>
      <c r="S525" s="45" t="s">
        <v>57</v>
      </c>
    </row>
    <row customHeight="true" ht="23.703703703703702" r="526">
      <c r="A526" s="42">
        <v>46083</v>
      </c>
      <c r="B526" s="28" t="s">
        <v>50</v>
      </c>
      <c r="C526" s="28">
        <v>1</v>
      </c>
      <c r="D526" s="43">
        <v>59.35</v>
      </c>
      <c r="E526" s="30">
        <v>59.35</v>
      </c>
      <c r="F526" s="29">
        <v>15.72</v>
      </c>
      <c r="G526" s="30">
        <v>8</v>
      </c>
      <c r="H526" s="30">
        <v>22.18</v>
      </c>
      <c r="I526" s="30">
        <v>1.48375</v>
      </c>
      <c r="J526" s="30">
        <v>0.056249999999999</v>
      </c>
      <c r="K526" s="32">
        <v>0.000947767481044634</v>
      </c>
      <c r="L526" s="30">
        <v>0.449999999999992</v>
      </c>
      <c r="M526" s="30">
        <v>474.8</v>
      </c>
      <c r="N526" s="32">
        <v>0.373715248525695</v>
      </c>
      <c r="O526" s="44">
        <v>1</v>
      </c>
      <c r="P526" s="44">
        <v>0</v>
      </c>
      <c r="Q526" s="34">
        <v>1</v>
      </c>
      <c r="R526" s="34">
        <v>0.373715248525695</v>
      </c>
      <c r="S526" s="45" t="s">
        <v>57</v>
      </c>
    </row>
    <row customHeight="true" ht="23.703703703703702" r="527">
      <c r="A527" s="42">
        <v>46083</v>
      </c>
      <c r="B527" s="28" t="s">
        <v>52</v>
      </c>
      <c r="C527" s="28">
        <v>4</v>
      </c>
      <c r="D527" s="43">
        <v>52.3</v>
      </c>
      <c r="E527" s="30">
        <v>209.2</v>
      </c>
      <c r="F527" s="29">
        <v>4.3</v>
      </c>
      <c r="G527" s="30">
        <v>32</v>
      </c>
      <c r="H527" s="30">
        <v>40.51</v>
      </c>
      <c r="I527" s="30">
        <v>5.23</v>
      </c>
      <c r="J527" s="30">
        <v>3.46</v>
      </c>
      <c r="K527" s="32">
        <v>0.0165391969407266</v>
      </c>
      <c r="L527" s="30">
        <v>31.14</v>
      </c>
      <c r="M527" s="30">
        <v>1882.8</v>
      </c>
      <c r="N527" s="32">
        <v>0.193642447418738</v>
      </c>
      <c r="O527" s="44">
        <v>1</v>
      </c>
      <c r="P527" s="44">
        <v>3</v>
      </c>
      <c r="Q527" s="34">
        <v>0.25</v>
      </c>
      <c r="R527" s="34">
        <v>0.774569789674952</v>
      </c>
      <c r="S527" s="38" t="s">
        <v>72</v>
      </c>
    </row>
    <row customHeight="true" ht="23.703703703703702" r="528">
      <c r="A528" s="42">
        <v>46083</v>
      </c>
      <c r="B528" s="28" t="s">
        <v>27</v>
      </c>
      <c r="C528" s="28">
        <v>35</v>
      </c>
      <c r="D528" s="38"/>
      <c r="E528" s="30">
        <v>1959.1</v>
      </c>
      <c r="F528" s="31">
        <v>51.99</v>
      </c>
      <c r="G528" s="30"/>
      <c r="H528" s="30"/>
      <c r="I528" s="30"/>
      <c r="J528" s="30">
        <v>301.9225</v>
      </c>
      <c r="K528" s="32">
        <v>0.154112857944975</v>
      </c>
      <c r="L528" s="30">
        <v>2418.84</v>
      </c>
      <c r="M528" s="30">
        <v>15882</v>
      </c>
      <c r="N528" s="32"/>
      <c r="O528" s="44">
        <v>14</v>
      </c>
      <c r="P528" s="44">
        <v>21</v>
      </c>
      <c r="Q528" s="34">
        <v>0.4</v>
      </c>
      <c r="R528" s="34"/>
      <c r="S528" s="38"/>
    </row>
    <row customHeight="true" ht="23.703703703703702" r="529">
      <c r="B529" s="26" t="s">
        <v>54</v>
      </c>
    </row>
    <row customHeight="true" ht="23.703703703703702" r="530">
      <c r="A530" s="20" t="s">
        <v>65</v>
      </c>
      <c r="B530" s="21" t="s">
        <v>28</v>
      </c>
      <c r="C530" s="39" t="s">
        <v>29</v>
      </c>
      <c r="D530" s="21" t="s">
        <v>30</v>
      </c>
      <c r="E530" s="22" t="s">
        <v>31</v>
      </c>
      <c r="F530" s="23" t="s">
        <v>32</v>
      </c>
      <c r="G530" s="22" t="s">
        <v>33</v>
      </c>
      <c r="H530" s="40" t="s">
        <v>34</v>
      </c>
      <c r="I530" s="22" t="s">
        <v>35</v>
      </c>
      <c r="J530" s="22" t="s">
        <v>32</v>
      </c>
      <c r="K530" s="24" t="s">
        <v>36</v>
      </c>
      <c r="L530" s="22" t="s">
        <v>37</v>
      </c>
      <c r="M530" s="22" t="s">
        <v>38</v>
      </c>
      <c r="N530" s="21" t="s">
        <v>39</v>
      </c>
      <c r="O530" s="41" t="s">
        <v>40</v>
      </c>
      <c r="P530" s="25" t="s">
        <v>41</v>
      </c>
      <c r="Q530" s="24" t="s">
        <v>42</v>
      </c>
      <c r="R530" s="24" t="s">
        <v>43</v>
      </c>
      <c r="S530" s="24" t="s">
        <v>56</v>
      </c>
    </row>
    <row customHeight="true" ht="23.703703703703702" r="531">
      <c r="A531" s="42">
        <v>46084</v>
      </c>
      <c r="B531" s="28" t="s">
        <v>46</v>
      </c>
      <c r="C531" s="28">
        <v>22</v>
      </c>
      <c r="D531" s="43">
        <v>55.85</v>
      </c>
      <c r="E531" s="30">
        <v>1228.7</v>
      </c>
      <c r="F531" s="29">
        <v>5.69</v>
      </c>
      <c r="G531" s="30">
        <v>176</v>
      </c>
      <c r="H531" s="30">
        <v>74.82</v>
      </c>
      <c r="I531" s="30">
        <v>30.7175</v>
      </c>
      <c r="J531" s="30">
        <v>195.6425</v>
      </c>
      <c r="K531" s="32">
        <v>0.159227232033857</v>
      </c>
      <c r="L531" s="30">
        <v>1565.14</v>
      </c>
      <c r="M531" s="30">
        <v>9829.6</v>
      </c>
      <c r="N531" s="32">
        <v>0.0608936274110849</v>
      </c>
      <c r="O531" s="44">
        <v>10</v>
      </c>
      <c r="P531" s="44">
        <v>12</v>
      </c>
      <c r="Q531" s="34">
        <v>0.454545454545455</v>
      </c>
      <c r="R531" s="34">
        <v>0.133965980304387</v>
      </c>
      <c r="S531" s="45" t="s">
        <v>61</v>
      </c>
    </row>
    <row customHeight="true" ht="23.703703703703702" r="532">
      <c r="A532" s="42">
        <v>46084</v>
      </c>
      <c r="B532" s="28" t="s">
        <v>47</v>
      </c>
      <c r="C532" s="28">
        <v>7</v>
      </c>
      <c r="D532" s="43">
        <v>58</v>
      </c>
      <c r="E532" s="30">
        <v>406</v>
      </c>
      <c r="F532" s="29">
        <v>10.01</v>
      </c>
      <c r="G532" s="30">
        <v>56</v>
      </c>
      <c r="H532" s="30">
        <v>25.07</v>
      </c>
      <c r="I532" s="30">
        <v>10.15</v>
      </c>
      <c r="J532" s="30">
        <v>90.85</v>
      </c>
      <c r="K532" s="32">
        <v>0.223768472906404</v>
      </c>
      <c r="L532" s="30">
        <v>726.8</v>
      </c>
      <c r="M532" s="30">
        <v>3248</v>
      </c>
      <c r="N532" s="32">
        <v>0.0617487684729064</v>
      </c>
      <c r="O532" s="44">
        <v>4</v>
      </c>
      <c r="P532" s="44">
        <v>3</v>
      </c>
      <c r="Q532" s="34">
        <v>0.571428571428571</v>
      </c>
      <c r="R532" s="34">
        <v>0.108060344827586</v>
      </c>
      <c r="S532" s="45" t="s">
        <v>70</v>
      </c>
    </row>
    <row customHeight="true" ht="23.703703703703702" r="533">
      <c r="A533" s="42">
        <v>46084</v>
      </c>
      <c r="B533" s="28" t="s">
        <v>49</v>
      </c>
      <c r="C533" s="28">
        <v>7</v>
      </c>
      <c r="D533" s="43">
        <v>58.8</v>
      </c>
      <c r="E533" s="30">
        <v>411.6</v>
      </c>
      <c r="F533" s="29">
        <v>16.27</v>
      </c>
      <c r="G533" s="30">
        <v>56</v>
      </c>
      <c r="H533" s="30">
        <v>18.91</v>
      </c>
      <c r="I533" s="30">
        <v>10.29</v>
      </c>
      <c r="J533" s="30">
        <v>140.69</v>
      </c>
      <c r="K533" s="32">
        <v>0.341812439261419</v>
      </c>
      <c r="L533" s="30">
        <v>1125.52</v>
      </c>
      <c r="M533" s="30">
        <v>3292.8</v>
      </c>
      <c r="N533" s="32">
        <v>0.0459426627793975</v>
      </c>
      <c r="O533" s="44">
        <v>0</v>
      </c>
      <c r="P533" s="44">
        <v>7</v>
      </c>
      <c r="Q533" s="34">
        <v>0</v>
      </c>
      <c r="R533" s="34">
        <v>0</v>
      </c>
      <c r="S533" s="45" t="s">
        <v>57</v>
      </c>
    </row>
    <row customHeight="true" ht="23.703703703703702" r="534">
      <c r="A534" s="42">
        <v>46084</v>
      </c>
      <c r="B534" s="28" t="s">
        <v>50</v>
      </c>
      <c r="C534" s="28">
        <v>0</v>
      </c>
      <c r="D534" s="43">
        <v>59.35</v>
      </c>
      <c r="E534" s="30">
        <v>0</v>
      </c>
      <c r="F534" s="29">
        <v>15.72</v>
      </c>
      <c r="G534" s="30">
        <v>0</v>
      </c>
      <c r="H534" s="30">
        <v>21.95</v>
      </c>
      <c r="I534" s="30">
        <v>0</v>
      </c>
      <c r="J534" s="30">
        <v>-21.95</v>
      </c>
      <c r="K534" s="32">
        <v>0</v>
      </c>
      <c r="L534" s="30">
        <v>-175.6</v>
      </c>
      <c r="M534" s="30">
        <v>0</v>
      </c>
      <c r="N534" s="32">
        <v>0</v>
      </c>
      <c r="O534" s="44">
        <v>0</v>
      </c>
      <c r="P534" s="44">
        <v>0</v>
      </c>
      <c r="Q534" s="34">
        <v>0</v>
      </c>
      <c r="R534" s="34">
        <v>0</v>
      </c>
      <c r="S534" s="45" t="s">
        <v>57</v>
      </c>
    </row>
    <row customHeight="true" ht="23.703703703703702" r="535">
      <c r="A535" s="42">
        <v>46084</v>
      </c>
      <c r="B535" s="28" t="s">
        <v>52</v>
      </c>
      <c r="C535" s="28">
        <v>5</v>
      </c>
      <c r="D535" s="43">
        <v>52.3</v>
      </c>
      <c r="E535" s="30">
        <v>261.5</v>
      </c>
      <c r="F535" s="29">
        <v>4.3</v>
      </c>
      <c r="G535" s="30">
        <v>40</v>
      </c>
      <c r="H535" s="30">
        <v>41.73</v>
      </c>
      <c r="I535" s="30">
        <v>6.5375</v>
      </c>
      <c r="J535" s="30">
        <v>13.2325</v>
      </c>
      <c r="K535" s="32">
        <v>0.0506022944550669</v>
      </c>
      <c r="L535" s="30">
        <v>119.0925</v>
      </c>
      <c r="M535" s="30">
        <v>2353.5</v>
      </c>
      <c r="N535" s="32">
        <v>0.159579349904398</v>
      </c>
      <c r="O535" s="44">
        <v>2</v>
      </c>
      <c r="P535" s="44">
        <v>3</v>
      </c>
      <c r="Q535" s="34">
        <v>0.4</v>
      </c>
      <c r="R535" s="34">
        <v>0.398948374760994</v>
      </c>
      <c r="S535" s="38" t="s">
        <v>72</v>
      </c>
    </row>
    <row customHeight="true" ht="23.703703703703702" r="536">
      <c r="A536" s="42">
        <v>46084</v>
      </c>
      <c r="B536" s="28" t="s">
        <v>27</v>
      </c>
      <c r="C536" s="28">
        <v>41</v>
      </c>
      <c r="D536" s="38"/>
      <c r="E536" s="30">
        <v>2307.8</v>
      </c>
      <c r="F536" s="31">
        <v>51.99</v>
      </c>
      <c r="G536" s="30"/>
      <c r="H536" s="30"/>
      <c r="I536" s="30"/>
      <c r="J536" s="30">
        <v>418.465</v>
      </c>
      <c r="K536" s="32">
        <v>0.181326371436</v>
      </c>
      <c r="L536" s="30">
        <v>3360.9525</v>
      </c>
      <c r="M536" s="30">
        <v>18723.9</v>
      </c>
      <c r="N536" s="32"/>
      <c r="O536" s="44">
        <v>16</v>
      </c>
      <c r="P536" s="44">
        <v>25</v>
      </c>
      <c r="Q536" s="34">
        <v>0.390243902439024</v>
      </c>
      <c r="R536" s="34"/>
      <c r="S536" s="38"/>
    </row>
    <row customHeight="true" ht="23.703703703703702" r="537">
      <c r="B537" s="26" t="s">
        <v>54</v>
      </c>
    </row>
    <row customHeight="true" ht="23.703703703703702" r="538">
      <c r="A538" s="20" t="s">
        <v>65</v>
      </c>
      <c r="B538" s="21" t="s">
        <v>28</v>
      </c>
      <c r="C538" s="39" t="s">
        <v>29</v>
      </c>
      <c r="D538" s="21" t="s">
        <v>30</v>
      </c>
      <c r="E538" s="22" t="s">
        <v>31</v>
      </c>
      <c r="F538" s="23" t="s">
        <v>32</v>
      </c>
      <c r="G538" s="22" t="s">
        <v>33</v>
      </c>
      <c r="H538" s="40" t="s">
        <v>34</v>
      </c>
      <c r="I538" s="22" t="s">
        <v>35</v>
      </c>
      <c r="J538" s="22" t="s">
        <v>32</v>
      </c>
      <c r="K538" s="24" t="s">
        <v>36</v>
      </c>
      <c r="L538" s="22" t="s">
        <v>37</v>
      </c>
      <c r="M538" s="22" t="s">
        <v>38</v>
      </c>
      <c r="N538" s="21" t="s">
        <v>39</v>
      </c>
      <c r="O538" s="41" t="s">
        <v>40</v>
      </c>
      <c r="P538" s="25" t="s">
        <v>41</v>
      </c>
      <c r="Q538" s="24" t="s">
        <v>42</v>
      </c>
      <c r="R538" s="24" t="s">
        <v>43</v>
      </c>
      <c r="S538" s="24" t="s">
        <v>56</v>
      </c>
    </row>
    <row customHeight="true" ht="23.703703703703702" r="539">
      <c r="A539" s="42">
        <v>46085</v>
      </c>
      <c r="B539" s="28" t="s">
        <v>46</v>
      </c>
      <c r="C539" s="28">
        <v>18</v>
      </c>
      <c r="D539" s="43">
        <v>55.85</v>
      </c>
      <c r="E539" s="30">
        <v>1005.3</v>
      </c>
      <c r="F539" s="29">
        <v>5.69</v>
      </c>
      <c r="G539" s="30">
        <v>144</v>
      </c>
      <c r="H539" s="30">
        <v>53.82</v>
      </c>
      <c r="I539" s="30">
        <v>25.1325</v>
      </c>
      <c r="J539" s="30">
        <v>167.4675</v>
      </c>
      <c r="K539" s="32">
        <v>0.166584601611459</v>
      </c>
      <c r="L539" s="30">
        <v>1339.74</v>
      </c>
      <c r="M539" s="30">
        <v>8042.4</v>
      </c>
      <c r="N539" s="32">
        <v>0.0535362578334825</v>
      </c>
      <c r="O539" s="44">
        <v>5</v>
      </c>
      <c r="P539" s="44">
        <v>13</v>
      </c>
      <c r="Q539" s="34">
        <v>0.277777777777778</v>
      </c>
      <c r="R539" s="34">
        <v>0.192730528200537</v>
      </c>
      <c r="S539" s="45" t="s">
        <v>61</v>
      </c>
    </row>
    <row customHeight="true" ht="23.703703703703702" r="540">
      <c r="A540" s="42">
        <v>46085</v>
      </c>
      <c r="B540" s="28" t="s">
        <v>47</v>
      </c>
      <c r="C540" s="28">
        <v>14</v>
      </c>
      <c r="D540" s="43">
        <v>58</v>
      </c>
      <c r="E540" s="30">
        <v>812</v>
      </c>
      <c r="F540" s="29">
        <v>10.01</v>
      </c>
      <c r="G540" s="30">
        <v>112</v>
      </c>
      <c r="H540" s="30">
        <v>35.37</v>
      </c>
      <c r="I540" s="30">
        <v>20.3</v>
      </c>
      <c r="J540" s="30">
        <v>196.47</v>
      </c>
      <c r="K540" s="32">
        <v>0.241958128078818</v>
      </c>
      <c r="L540" s="30">
        <v>1571.76</v>
      </c>
      <c r="M540" s="30">
        <v>6496</v>
      </c>
      <c r="N540" s="32">
        <v>0.0435591133004926</v>
      </c>
      <c r="O540" s="44">
        <v>4</v>
      </c>
      <c r="P540" s="44">
        <v>10</v>
      </c>
      <c r="Q540" s="34">
        <v>0.285714285714286</v>
      </c>
      <c r="R540" s="34">
        <v>0.152456896551724</v>
      </c>
      <c r="S540" s="45" t="s">
        <v>70</v>
      </c>
    </row>
    <row customHeight="true" ht="23.703703703703702" r="541">
      <c r="A541" s="42">
        <v>46085</v>
      </c>
      <c r="B541" s="28" t="s">
        <v>49</v>
      </c>
      <c r="C541" s="28">
        <v>6</v>
      </c>
      <c r="D541" s="43">
        <v>58.8</v>
      </c>
      <c r="E541" s="30">
        <v>352.8</v>
      </c>
      <c r="F541" s="29">
        <v>16.27</v>
      </c>
      <c r="G541" s="30">
        <v>48</v>
      </c>
      <c r="H541" s="30">
        <v>11.88</v>
      </c>
      <c r="I541" s="30">
        <v>8.82</v>
      </c>
      <c r="J541" s="30">
        <v>124.92</v>
      </c>
      <c r="K541" s="32">
        <v>0.354081632653061</v>
      </c>
      <c r="L541" s="30">
        <v>999.36</v>
      </c>
      <c r="M541" s="30">
        <v>2822.4</v>
      </c>
      <c r="N541" s="32">
        <v>0.0336734693877551</v>
      </c>
      <c r="O541" s="44">
        <v>2</v>
      </c>
      <c r="P541" s="44">
        <v>4</v>
      </c>
      <c r="Q541" s="34">
        <v>0.333333333333333</v>
      </c>
      <c r="R541" s="34">
        <v>0.101020408163265</v>
      </c>
      <c r="S541" s="45" t="s">
        <v>57</v>
      </c>
    </row>
    <row customHeight="true" ht="23.703703703703702" r="542">
      <c r="A542" s="42">
        <v>46085</v>
      </c>
      <c r="B542" s="28" t="s">
        <v>50</v>
      </c>
      <c r="C542" s="28">
        <v>0</v>
      </c>
      <c r="D542" s="43">
        <v>59.35</v>
      </c>
      <c r="E542" s="30">
        <v>0</v>
      </c>
      <c r="F542" s="29">
        <v>15.72</v>
      </c>
      <c r="G542" s="30">
        <v>0</v>
      </c>
      <c r="H542" s="30">
        <v>18.74</v>
      </c>
      <c r="I542" s="30">
        <v>0</v>
      </c>
      <c r="J542" s="30">
        <v>-18.74</v>
      </c>
      <c r="K542" s="32">
        <v>0</v>
      </c>
      <c r="L542" s="30">
        <v>-149.92</v>
      </c>
      <c r="M542" s="30">
        <v>0</v>
      </c>
      <c r="N542" s="32">
        <v>0</v>
      </c>
      <c r="O542" s="44">
        <v>0</v>
      </c>
      <c r="P542" s="44">
        <v>0</v>
      </c>
      <c r="Q542" s="34">
        <v>0</v>
      </c>
      <c r="R542" s="34">
        <v>0</v>
      </c>
      <c r="S542" s="45" t="s">
        <v>57</v>
      </c>
    </row>
    <row customHeight="true" ht="23.703703703703702" r="543">
      <c r="A543" s="42">
        <v>46085</v>
      </c>
      <c r="B543" s="28" t="s">
        <v>52</v>
      </c>
      <c r="C543" s="28">
        <v>6</v>
      </c>
      <c r="D543" s="43">
        <v>52.3</v>
      </c>
      <c r="E543" s="30">
        <v>313.8</v>
      </c>
      <c r="F543" s="29">
        <v>4.3</v>
      </c>
      <c r="G543" s="30">
        <v>48</v>
      </c>
      <c r="H543" s="30">
        <v>37.99</v>
      </c>
      <c r="I543" s="30">
        <v>7.845</v>
      </c>
      <c r="J543" s="30">
        <v>27.965</v>
      </c>
      <c r="K543" s="32">
        <v>0.0891172721478649</v>
      </c>
      <c r="L543" s="30">
        <v>251.685</v>
      </c>
      <c r="M543" s="30">
        <v>2824.2</v>
      </c>
      <c r="N543" s="32">
        <v>0.1210643722116</v>
      </c>
      <c r="O543" s="44">
        <v>3</v>
      </c>
      <c r="P543" s="44">
        <v>3</v>
      </c>
      <c r="Q543" s="34">
        <v>0.5</v>
      </c>
      <c r="R543" s="34">
        <v>0.2421287444232</v>
      </c>
      <c r="S543" s="38" t="s">
        <v>72</v>
      </c>
    </row>
    <row customHeight="true" ht="23.703703703703702" r="544">
      <c r="A544" s="42">
        <v>46085</v>
      </c>
      <c r="B544" s="28" t="s">
        <v>27</v>
      </c>
      <c r="C544" s="28">
        <v>44</v>
      </c>
      <c r="D544" s="38"/>
      <c r="E544" s="30">
        <v>2483.9</v>
      </c>
      <c r="F544" s="31">
        <v>51.99</v>
      </c>
      <c r="G544" s="30"/>
      <c r="H544" s="30"/>
      <c r="I544" s="30"/>
      <c r="J544" s="30">
        <v>498.0825</v>
      </c>
      <c r="K544" s="32">
        <v>0.200524376987801</v>
      </c>
      <c r="L544" s="30">
        <v>4012.625</v>
      </c>
      <c r="M544" s="30">
        <v>20185</v>
      </c>
      <c r="N544" s="32"/>
      <c r="O544" s="44">
        <v>14</v>
      </c>
      <c r="P544" s="44">
        <v>30</v>
      </c>
      <c r="Q544" s="34">
        <v>0.318181818181818</v>
      </c>
      <c r="R544" s="34"/>
      <c r="S544" s="38"/>
    </row>
    <row customHeight="true" ht="23.703703703703702" r="545">
      <c r="B545" s="26" t="s">
        <v>54</v>
      </c>
    </row>
    <row customHeight="true" ht="23.703703703703702" r="546">
      <c r="A546" s="20" t="s">
        <v>65</v>
      </c>
      <c r="B546" s="21" t="s">
        <v>28</v>
      </c>
      <c r="C546" s="39" t="s">
        <v>29</v>
      </c>
      <c r="D546" s="21" t="s">
        <v>30</v>
      </c>
      <c r="E546" s="22" t="s">
        <v>31</v>
      </c>
      <c r="F546" s="23" t="s">
        <v>32</v>
      </c>
      <c r="G546" s="22" t="s">
        <v>33</v>
      </c>
      <c r="H546" s="40" t="s">
        <v>34</v>
      </c>
      <c r="I546" s="22" t="s">
        <v>35</v>
      </c>
      <c r="J546" s="22" t="s">
        <v>32</v>
      </c>
      <c r="K546" s="24" t="s">
        <v>36</v>
      </c>
      <c r="L546" s="22" t="s">
        <v>37</v>
      </c>
      <c r="M546" s="22" t="s">
        <v>38</v>
      </c>
      <c r="N546" s="21" t="s">
        <v>39</v>
      </c>
      <c r="O546" s="41" t="s">
        <v>40</v>
      </c>
      <c r="P546" s="25" t="s">
        <v>41</v>
      </c>
      <c r="Q546" s="24" t="s">
        <v>42</v>
      </c>
      <c r="R546" s="24" t="s">
        <v>43</v>
      </c>
      <c r="S546" s="24" t="s">
        <v>56</v>
      </c>
    </row>
    <row customHeight="true" ht="23.703703703703702" r="547">
      <c r="A547" s="42">
        <v>46086</v>
      </c>
      <c r="B547" s="28" t="s">
        <v>46</v>
      </c>
      <c r="C547" s="46">
        <v>140</v>
      </c>
      <c r="D547" s="43">
        <v>55.85</v>
      </c>
      <c r="E547" s="30">
        <v>781.9</v>
      </c>
      <c r="F547" s="29">
        <v>5.69</v>
      </c>
      <c r="G547" s="30">
        <v>112</v>
      </c>
      <c r="H547" s="30">
        <v>27.73</v>
      </c>
      <c r="I547" s="30">
        <v>19.5475</v>
      </c>
      <c r="J547" s="30">
        <v>144.3825</v>
      </c>
      <c r="K547" s="32">
        <v>0.184655966236092</v>
      </c>
      <c r="L547" s="30">
        <v>1155.06</v>
      </c>
      <c r="M547" s="30">
        <v>6255.2</v>
      </c>
      <c r="N547" s="32">
        <v>0.0354648932088502</v>
      </c>
      <c r="O547" s="44">
        <v>5</v>
      </c>
      <c r="P547" s="44">
        <v>9</v>
      </c>
      <c r="Q547" s="34">
        <v>0.357142857142857</v>
      </c>
      <c r="R547" s="34">
        <v>0.0993017009847807</v>
      </c>
      <c r="S547" s="45" t="s">
        <v>61</v>
      </c>
    </row>
    <row customHeight="true" ht="23.703703703703702" r="548">
      <c r="A548" s="42">
        <v>46086</v>
      </c>
      <c r="B548" s="28" t="s">
        <v>47</v>
      </c>
      <c r="C548" s="28">
        <v>8</v>
      </c>
      <c r="D548" s="43">
        <v>58</v>
      </c>
      <c r="E548" s="30">
        <v>464</v>
      </c>
      <c r="F548" s="29">
        <v>10.01</v>
      </c>
      <c r="G548" s="30">
        <v>64</v>
      </c>
      <c r="H548" s="30">
        <v>28.58</v>
      </c>
      <c r="I548" s="30">
        <v>11.6</v>
      </c>
      <c r="J548" s="30">
        <v>103.9</v>
      </c>
      <c r="K548" s="32">
        <v>0.223922413793103</v>
      </c>
      <c r="L548" s="30">
        <v>831.2</v>
      </c>
      <c r="M548" s="30">
        <v>3712</v>
      </c>
      <c r="N548" s="32">
        <v>0.0615948275862069</v>
      </c>
      <c r="O548" s="44">
        <v>4</v>
      </c>
      <c r="P548" s="44">
        <v>4</v>
      </c>
      <c r="Q548" s="34">
        <v>0.5</v>
      </c>
      <c r="R548" s="34">
        <v>0.123189655172414</v>
      </c>
      <c r="S548" s="45" t="s">
        <v>70</v>
      </c>
    </row>
    <row customHeight="true" ht="23.703703703703702" r="549">
      <c r="A549" s="42">
        <v>46086</v>
      </c>
      <c r="B549" s="28" t="s">
        <v>49</v>
      </c>
      <c r="C549" s="28">
        <v>4</v>
      </c>
      <c r="D549" s="43">
        <v>58.8</v>
      </c>
      <c r="E549" s="30">
        <v>235.2</v>
      </c>
      <c r="F549" s="29">
        <v>16.27</v>
      </c>
      <c r="G549" s="30">
        <v>32</v>
      </c>
      <c r="H549" s="30">
        <v>9.79</v>
      </c>
      <c r="I549" s="30">
        <v>5.88</v>
      </c>
      <c r="J549" s="30">
        <v>81.41</v>
      </c>
      <c r="K549" s="32">
        <v>0.346130952380952</v>
      </c>
      <c r="L549" s="30">
        <v>651.28</v>
      </c>
      <c r="M549" s="30">
        <v>1881.6</v>
      </c>
      <c r="N549" s="32">
        <v>0.0416241496598639</v>
      </c>
      <c r="O549" s="44">
        <v>0</v>
      </c>
      <c r="P549" s="44">
        <v>4</v>
      </c>
      <c r="Q549" s="34">
        <v>0</v>
      </c>
      <c r="R549" s="34">
        <v>0</v>
      </c>
      <c r="S549" s="45" t="s">
        <v>57</v>
      </c>
    </row>
    <row customHeight="true" ht="23.703703703703702" r="550">
      <c r="A550" s="42">
        <v>46086</v>
      </c>
      <c r="B550" s="28" t="s">
        <v>50</v>
      </c>
      <c r="C550" s="28">
        <v>5</v>
      </c>
      <c r="D550" s="43">
        <v>59.35</v>
      </c>
      <c r="E550" s="30">
        <v>296.75</v>
      </c>
      <c r="F550" s="29">
        <v>-1.28</v>
      </c>
      <c r="G550" s="30">
        <v>40</v>
      </c>
      <c r="H550" s="30">
        <v>15.92</v>
      </c>
      <c r="I550" s="30">
        <v>7.41875</v>
      </c>
      <c r="J550" s="30">
        <v>10.26125</v>
      </c>
      <c r="K550" s="32">
        <v>0.0345787700084246</v>
      </c>
      <c r="L550" s="30">
        <v>82.09</v>
      </c>
      <c r="M550" s="30">
        <v>2374</v>
      </c>
      <c r="N550" s="32">
        <v>0.053647851727043</v>
      </c>
      <c r="O550" s="44">
        <v>3</v>
      </c>
      <c r="P550" s="44">
        <v>2</v>
      </c>
      <c r="Q550" s="34">
        <v>0.6</v>
      </c>
      <c r="R550" s="34">
        <v>0.0894130862117383</v>
      </c>
      <c r="S550" s="45" t="s">
        <v>73</v>
      </c>
    </row>
    <row customHeight="true" ht="23.703703703703702" r="551">
      <c r="A551" s="42">
        <v>46086</v>
      </c>
      <c r="B551" s="28" t="s">
        <v>52</v>
      </c>
      <c r="C551" s="28">
        <v>8</v>
      </c>
      <c r="D551" s="43">
        <v>52.3</v>
      </c>
      <c r="E551" s="30">
        <v>418.4</v>
      </c>
      <c r="F551" s="29">
        <v>4.3</v>
      </c>
      <c r="G551" s="30">
        <v>64</v>
      </c>
      <c r="H551" s="30">
        <v>57.07</v>
      </c>
      <c r="I551" s="30">
        <v>10.46</v>
      </c>
      <c r="J551" s="30">
        <v>30.87</v>
      </c>
      <c r="K551" s="32">
        <v>0.0737810707456979</v>
      </c>
      <c r="L551" s="30">
        <v>277.83</v>
      </c>
      <c r="M551" s="30">
        <v>3765.6</v>
      </c>
      <c r="N551" s="32">
        <v>0.136400573613767</v>
      </c>
      <c r="O551" s="44">
        <v>3</v>
      </c>
      <c r="P551" s="44">
        <v>5</v>
      </c>
      <c r="Q551" s="34">
        <v>0.375</v>
      </c>
      <c r="R551" s="34">
        <v>0.363734862970045</v>
      </c>
      <c r="S551" s="38" t="s">
        <v>72</v>
      </c>
    </row>
    <row customHeight="true" ht="23.703703703703702" r="552">
      <c r="A552" s="42">
        <v>46086</v>
      </c>
      <c r="B552" s="28" t="s">
        <v>27</v>
      </c>
      <c r="C552" s="28">
        <v>39</v>
      </c>
      <c r="D552" s="38"/>
      <c r="E552" s="30">
        <v>2196.25</v>
      </c>
      <c r="F552" s="31">
        <v>34.99</v>
      </c>
      <c r="G552" s="30"/>
      <c r="H552" s="30"/>
      <c r="I552" s="30"/>
      <c r="J552" s="30">
        <v>370.82375</v>
      </c>
      <c r="K552" s="32">
        <v>0.168844052361981</v>
      </c>
      <c r="L552" s="30">
        <v>2997.46</v>
      </c>
      <c r="M552" s="30">
        <v>17988.4</v>
      </c>
      <c r="N552" s="32"/>
      <c r="O552" s="44">
        <v>15</v>
      </c>
      <c r="P552" s="44">
        <v>24</v>
      </c>
      <c r="Q552" s="34">
        <v>0.384615384615385</v>
      </c>
      <c r="R552" s="34"/>
      <c r="S552" s="38"/>
    </row>
    <row customHeight="true" ht="23.703703703703702" r="553">
      <c r="B553" s="26" t="s">
        <v>54</v>
      </c>
    </row>
    <row customHeight="true" ht="23.703703703703702" r="554">
      <c r="A554" s="20" t="s">
        <v>65</v>
      </c>
      <c r="B554" s="21" t="s">
        <v>28</v>
      </c>
      <c r="C554" s="39" t="s">
        <v>29</v>
      </c>
      <c r="D554" s="21" t="s">
        <v>30</v>
      </c>
      <c r="E554" s="22" t="s">
        <v>31</v>
      </c>
      <c r="F554" s="23" t="s">
        <v>32</v>
      </c>
      <c r="G554" s="22" t="s">
        <v>33</v>
      </c>
      <c r="H554" s="40" t="s">
        <v>34</v>
      </c>
      <c r="I554" s="22" t="s">
        <v>35</v>
      </c>
      <c r="J554" s="22" t="s">
        <v>32</v>
      </c>
      <c r="K554" s="24" t="s">
        <v>36</v>
      </c>
      <c r="L554" s="22" t="s">
        <v>37</v>
      </c>
      <c r="M554" s="22" t="s">
        <v>38</v>
      </c>
      <c r="N554" s="21" t="s">
        <v>39</v>
      </c>
      <c r="O554" s="41" t="s">
        <v>40</v>
      </c>
      <c r="P554" s="25" t="s">
        <v>41</v>
      </c>
      <c r="Q554" s="24" t="s">
        <v>42</v>
      </c>
      <c r="R554" s="24" t="s">
        <v>43</v>
      </c>
      <c r="S554" s="24" t="s">
        <v>56</v>
      </c>
    </row>
    <row customHeight="true" ht="23.703703703703702" r="555">
      <c r="A555" s="42">
        <v>46087</v>
      </c>
      <c r="B555" s="28" t="s">
        <v>46</v>
      </c>
      <c r="C555" s="28">
        <v>15</v>
      </c>
      <c r="D555" s="43">
        <v>55.85</v>
      </c>
      <c r="E555" s="30">
        <v>837.75</v>
      </c>
      <c r="F555" s="29">
        <v>5.69</v>
      </c>
      <c r="G555" s="30">
        <v>120</v>
      </c>
      <c r="H555" s="30">
        <v>66.66</v>
      </c>
      <c r="I555" s="30">
        <v>20.94375</v>
      </c>
      <c r="J555" s="30">
        <v>117.74625</v>
      </c>
      <c r="K555" s="32">
        <v>0.140550581915846</v>
      </c>
      <c r="L555" s="30">
        <v>941.97</v>
      </c>
      <c r="M555" s="30">
        <v>6702</v>
      </c>
      <c r="N555" s="32">
        <v>0.0795702775290958</v>
      </c>
      <c r="O555" s="44">
        <v>7</v>
      </c>
      <c r="P555" s="44">
        <v>8</v>
      </c>
      <c r="Q555" s="34">
        <v>0.466666666666667</v>
      </c>
      <c r="R555" s="34">
        <v>0.170507737562348</v>
      </c>
      <c r="S555" s="45" t="s">
        <v>61</v>
      </c>
    </row>
    <row customHeight="true" ht="23.703703703703702" r="556">
      <c r="A556" s="42">
        <v>46087</v>
      </c>
      <c r="B556" s="28" t="s">
        <v>47</v>
      </c>
      <c r="C556" s="28">
        <v>7</v>
      </c>
      <c r="D556" s="43">
        <v>58</v>
      </c>
      <c r="E556" s="30">
        <v>406</v>
      </c>
      <c r="F556" s="29">
        <v>10.01</v>
      </c>
      <c r="G556" s="30">
        <v>56</v>
      </c>
      <c r="H556" s="30">
        <v>30.95</v>
      </c>
      <c r="I556" s="30">
        <v>10.15</v>
      </c>
      <c r="J556" s="30">
        <v>84.97</v>
      </c>
      <c r="K556" s="32">
        <v>0.209285714285714</v>
      </c>
      <c r="L556" s="30">
        <v>679.76</v>
      </c>
      <c r="M556" s="30">
        <v>3248</v>
      </c>
      <c r="N556" s="32">
        <v>0.0762315270935961</v>
      </c>
      <c r="O556" s="44">
        <v>3</v>
      </c>
      <c r="P556" s="44">
        <v>4</v>
      </c>
      <c r="Q556" s="34">
        <v>0.428571428571429</v>
      </c>
      <c r="R556" s="34">
        <v>0.177873563218391</v>
      </c>
      <c r="S556" s="45" t="s">
        <v>70</v>
      </c>
    </row>
    <row customHeight="true" ht="23.703703703703702" r="557">
      <c r="A557" s="42">
        <v>46087</v>
      </c>
      <c r="B557" s="28" t="s">
        <v>49</v>
      </c>
      <c r="C557" s="28">
        <v>2</v>
      </c>
      <c r="D557" s="43">
        <v>58.8</v>
      </c>
      <c r="E557" s="30">
        <v>117.6</v>
      </c>
      <c r="F557" s="29">
        <v>16.27</v>
      </c>
      <c r="G557" s="30">
        <v>16</v>
      </c>
      <c r="H557" s="30">
        <v>18.97</v>
      </c>
      <c r="I557" s="30">
        <v>2.94</v>
      </c>
      <c r="J557" s="30">
        <v>26.63</v>
      </c>
      <c r="K557" s="32">
        <v>0.226445578231293</v>
      </c>
      <c r="L557" s="30">
        <v>213.04</v>
      </c>
      <c r="M557" s="30">
        <v>940.8</v>
      </c>
      <c r="N557" s="32">
        <v>0.161309523809524</v>
      </c>
      <c r="O557" s="44">
        <v>1</v>
      </c>
      <c r="P557" s="44">
        <v>1</v>
      </c>
      <c r="Q557" s="34">
        <v>0.5</v>
      </c>
      <c r="R557" s="34">
        <v>0.322619047619048</v>
      </c>
      <c r="S557" s="45" t="s">
        <v>57</v>
      </c>
    </row>
    <row customHeight="true" ht="23.703703703703702" r="558">
      <c r="A558" s="42">
        <v>46087</v>
      </c>
      <c r="B558" s="28" t="s">
        <v>50</v>
      </c>
      <c r="C558" s="28">
        <v>2</v>
      </c>
      <c r="D558" s="43">
        <v>59.35</v>
      </c>
      <c r="E558" s="30">
        <v>118.7</v>
      </c>
      <c r="F558" s="29">
        <v>15.72</v>
      </c>
      <c r="G558" s="30">
        <v>16</v>
      </c>
      <c r="H558" s="30">
        <v>8.61</v>
      </c>
      <c r="I558" s="30">
        <v>2.9675</v>
      </c>
      <c r="J558" s="30">
        <v>35.8625</v>
      </c>
      <c r="K558" s="32">
        <v>0.302127211457456</v>
      </c>
      <c r="L558" s="30">
        <v>286.9</v>
      </c>
      <c r="M558" s="30">
        <v>949.6</v>
      </c>
      <c r="N558" s="32">
        <v>0.0725358045492839</v>
      </c>
      <c r="O558" s="44">
        <v>0</v>
      </c>
      <c r="P558" s="44">
        <v>2</v>
      </c>
      <c r="Q558" s="34">
        <v>0</v>
      </c>
      <c r="R558" s="34">
        <v>0</v>
      </c>
      <c r="S558" s="45" t="s">
        <v>57</v>
      </c>
    </row>
    <row customHeight="true" ht="23.703703703703702" r="559">
      <c r="A559" s="42">
        <v>46087</v>
      </c>
      <c r="B559" s="28" t="s">
        <v>52</v>
      </c>
      <c r="C559" s="28">
        <v>4</v>
      </c>
      <c r="D559" s="43">
        <v>52.3</v>
      </c>
      <c r="E559" s="30">
        <v>209.2</v>
      </c>
      <c r="F559" s="29">
        <v>4.3</v>
      </c>
      <c r="G559" s="30">
        <v>32</v>
      </c>
      <c r="H559" s="30">
        <v>42.41</v>
      </c>
      <c r="I559" s="30">
        <v>5.23</v>
      </c>
      <c r="J559" s="30">
        <v>1.56000000000001</v>
      </c>
      <c r="K559" s="32">
        <v>0.00745697896749525</v>
      </c>
      <c r="L559" s="30">
        <v>14.0400000000001</v>
      </c>
      <c r="M559" s="30">
        <v>1882.8</v>
      </c>
      <c r="N559" s="32">
        <v>0.202724665391969</v>
      </c>
      <c r="O559" s="44">
        <v>2</v>
      </c>
      <c r="P559" s="44">
        <v>2</v>
      </c>
      <c r="Q559" s="34">
        <v>0.5</v>
      </c>
      <c r="R559" s="34">
        <v>0.405449330783939</v>
      </c>
      <c r="S559" s="38" t="s">
        <v>72</v>
      </c>
    </row>
    <row customHeight="true" ht="23.703703703703702" r="560">
      <c r="A560" s="42">
        <v>46087</v>
      </c>
      <c r="B560" s="28" t="s">
        <v>27</v>
      </c>
      <c r="C560" s="28">
        <v>30</v>
      </c>
      <c r="D560" s="38"/>
      <c r="E560" s="30">
        <v>1689.25</v>
      </c>
      <c r="F560" s="31">
        <v>51.99</v>
      </c>
      <c r="G560" s="30"/>
      <c r="H560" s="30"/>
      <c r="I560" s="30"/>
      <c r="J560" s="30">
        <v>266.76875</v>
      </c>
      <c r="K560" s="32">
        <v>0.157921414829066</v>
      </c>
      <c r="L560" s="30">
        <v>2135.71</v>
      </c>
      <c r="M560" s="30">
        <v>13723.2</v>
      </c>
      <c r="N560" s="32"/>
      <c r="O560" s="44">
        <v>13</v>
      </c>
      <c r="P560" s="44">
        <v>17</v>
      </c>
      <c r="Q560" s="34">
        <v>0.433333333333333</v>
      </c>
      <c r="R560" s="34"/>
      <c r="S560" s="38"/>
    </row>
    <row customHeight="true" ht="23.703703703703702" r="561">
      <c r="B561" s="26" t="s">
        <v>54</v>
      </c>
    </row>
    <row customHeight="true" ht="23.703703703703702" r="562">
      <c r="A562" s="20" t="s">
        <v>65</v>
      </c>
      <c r="B562" s="21" t="s">
        <v>28</v>
      </c>
      <c r="C562" s="39" t="s">
        <v>29</v>
      </c>
      <c r="D562" s="21" t="s">
        <v>30</v>
      </c>
      <c r="E562" s="22" t="s">
        <v>31</v>
      </c>
      <c r="F562" s="23" t="s">
        <v>32</v>
      </c>
      <c r="G562" s="22" t="s">
        <v>33</v>
      </c>
      <c r="H562" s="40" t="s">
        <v>34</v>
      </c>
      <c r="I562" s="22" t="s">
        <v>35</v>
      </c>
      <c r="J562" s="22" t="s">
        <v>32</v>
      </c>
      <c r="K562" s="24" t="s">
        <v>36</v>
      </c>
      <c r="L562" s="22" t="s">
        <v>37</v>
      </c>
      <c r="M562" s="22" t="s">
        <v>38</v>
      </c>
      <c r="N562" s="21" t="s">
        <v>39</v>
      </c>
      <c r="O562" s="41" t="s">
        <v>40</v>
      </c>
      <c r="P562" s="25" t="s">
        <v>41</v>
      </c>
      <c r="Q562" s="24" t="s">
        <v>42</v>
      </c>
      <c r="R562" s="24" t="s">
        <v>43</v>
      </c>
      <c r="S562" s="24" t="s">
        <v>56</v>
      </c>
    </row>
    <row customHeight="true" ht="23.703703703703702" r="563">
      <c r="A563" s="42">
        <v>46088</v>
      </c>
      <c r="B563" s="28" t="s">
        <v>46</v>
      </c>
      <c r="C563" s="46">
        <v>118</v>
      </c>
      <c r="D563" s="43">
        <v>55.85</v>
      </c>
      <c r="E563" s="30">
        <v>1005.3</v>
      </c>
      <c r="F563" s="29">
        <v>5.69</v>
      </c>
      <c r="G563" s="30">
        <v>144</v>
      </c>
      <c r="H563" s="30">
        <v>76.82</v>
      </c>
      <c r="I563" s="30">
        <v>25.1325</v>
      </c>
      <c r="J563" s="30">
        <v>144.4675</v>
      </c>
      <c r="K563" s="32">
        <v>0.143705858947578</v>
      </c>
      <c r="L563" s="30">
        <v>1155.74</v>
      </c>
      <c r="M563" s="30">
        <v>8042.4</v>
      </c>
      <c r="N563" s="32">
        <v>0.076415000497364</v>
      </c>
      <c r="O563" s="44">
        <v>9</v>
      </c>
      <c r="P563" s="44">
        <v>9</v>
      </c>
      <c r="Q563" s="34">
        <v>0.5</v>
      </c>
      <c r="R563" s="34">
        <v>0.152830000994728</v>
      </c>
      <c r="S563" s="45" t="s">
        <v>61</v>
      </c>
    </row>
    <row customHeight="true" ht="23.703703703703702" r="564">
      <c r="A564" s="42">
        <v>46088</v>
      </c>
      <c r="B564" s="28" t="s">
        <v>47</v>
      </c>
      <c r="C564" s="28">
        <v>8</v>
      </c>
      <c r="D564" s="43">
        <v>58</v>
      </c>
      <c r="E564" s="30">
        <v>464</v>
      </c>
      <c r="F564" s="29">
        <v>10.01</v>
      </c>
      <c r="G564" s="30">
        <v>64</v>
      </c>
      <c r="H564" s="30">
        <v>30.49</v>
      </c>
      <c r="I564" s="30">
        <v>11.6</v>
      </c>
      <c r="J564" s="30">
        <v>101.99</v>
      </c>
      <c r="K564" s="32">
        <v>0.219806034482759</v>
      </c>
      <c r="L564" s="30">
        <v>815.92</v>
      </c>
      <c r="M564" s="30">
        <v>3712</v>
      </c>
      <c r="N564" s="32">
        <v>0.0657112068965517</v>
      </c>
      <c r="O564" s="44">
        <v>6</v>
      </c>
      <c r="P564" s="44">
        <v>2</v>
      </c>
      <c r="Q564" s="34">
        <v>0.75</v>
      </c>
      <c r="R564" s="34">
        <v>0.0876149425287356</v>
      </c>
      <c r="S564" s="45" t="s">
        <v>70</v>
      </c>
    </row>
    <row customHeight="true" ht="23.703703703703702" r="565">
      <c r="A565" s="42">
        <v>46088</v>
      </c>
      <c r="B565" s="28" t="s">
        <v>49</v>
      </c>
      <c r="C565" s="28">
        <v>3</v>
      </c>
      <c r="D565" s="43">
        <v>58.8</v>
      </c>
      <c r="E565" s="30">
        <v>176.4</v>
      </c>
      <c r="F565" s="29">
        <v>16.27</v>
      </c>
      <c r="G565" s="30">
        <v>24</v>
      </c>
      <c r="H565" s="30">
        <v>30.73</v>
      </c>
      <c r="I565" s="30">
        <v>4.41</v>
      </c>
      <c r="J565" s="30">
        <v>37.67</v>
      </c>
      <c r="K565" s="32">
        <v>0.213548752834467</v>
      </c>
      <c r="L565" s="30">
        <v>301.36</v>
      </c>
      <c r="M565" s="30">
        <v>1411.2</v>
      </c>
      <c r="N565" s="32">
        <v>0.174206349206349</v>
      </c>
      <c r="O565" s="44">
        <v>1</v>
      </c>
      <c r="P565" s="44">
        <v>2</v>
      </c>
      <c r="Q565" s="34">
        <v>0.333333333333333</v>
      </c>
      <c r="R565" s="34">
        <v>0.522619047619048</v>
      </c>
      <c r="S565" s="45" t="s">
        <v>57</v>
      </c>
    </row>
    <row customHeight="true" ht="23.703703703703702" r="566">
      <c r="A566" s="42">
        <v>46088</v>
      </c>
      <c r="B566" s="28" t="s">
        <v>50</v>
      </c>
      <c r="C566" s="28">
        <v>3</v>
      </c>
      <c r="D566" s="43">
        <v>59.35</v>
      </c>
      <c r="E566" s="30">
        <v>178.05</v>
      </c>
      <c r="F566" s="29">
        <v>15.72</v>
      </c>
      <c r="G566" s="30">
        <v>24</v>
      </c>
      <c r="H566" s="30">
        <v>25.94</v>
      </c>
      <c r="I566" s="30">
        <v>4.45125</v>
      </c>
      <c r="J566" s="30">
        <v>40.76875</v>
      </c>
      <c r="K566" s="32">
        <v>0.228973602920528</v>
      </c>
      <c r="L566" s="30">
        <v>326.15</v>
      </c>
      <c r="M566" s="30">
        <v>1424.4</v>
      </c>
      <c r="N566" s="32">
        <v>0.145689413086212</v>
      </c>
      <c r="O566" s="44">
        <v>2</v>
      </c>
      <c r="P566" s="44">
        <v>1</v>
      </c>
      <c r="Q566" s="34">
        <v>0.666666666666667</v>
      </c>
      <c r="R566" s="34">
        <v>0.218534119629318</v>
      </c>
      <c r="S566" s="45" t="s">
        <v>57</v>
      </c>
    </row>
    <row customHeight="true" ht="23.703703703703702" r="567">
      <c r="A567" s="42">
        <v>46088</v>
      </c>
      <c r="B567" s="28" t="s">
        <v>52</v>
      </c>
      <c r="C567" s="28">
        <v>11</v>
      </c>
      <c r="D567" s="43">
        <v>52.3</v>
      </c>
      <c r="E567" s="30">
        <v>575.3</v>
      </c>
      <c r="F567" s="29">
        <v>4.3</v>
      </c>
      <c r="G567" s="30">
        <v>88</v>
      </c>
      <c r="H567" s="30">
        <v>46.02</v>
      </c>
      <c r="I567" s="30">
        <v>14.3825</v>
      </c>
      <c r="J567" s="30">
        <v>74.8975</v>
      </c>
      <c r="K567" s="32">
        <v>0.130188597253607</v>
      </c>
      <c r="L567" s="30">
        <v>674.0775</v>
      </c>
      <c r="M567" s="30">
        <v>5177.7</v>
      </c>
      <c r="N567" s="32">
        <v>0.0799930471058578</v>
      </c>
      <c r="O567" s="44">
        <v>2</v>
      </c>
      <c r="P567" s="44">
        <v>9</v>
      </c>
      <c r="Q567" s="34">
        <v>0.181818181818182</v>
      </c>
      <c r="R567" s="34">
        <v>0.439961759082218</v>
      </c>
      <c r="S567" s="38" t="s">
        <v>72</v>
      </c>
    </row>
    <row customHeight="true" ht="23.703703703703702" r="568">
      <c r="A568" s="42">
        <v>46088</v>
      </c>
      <c r="B568" s="28" t="s">
        <v>27</v>
      </c>
      <c r="C568" s="28">
        <v>43</v>
      </c>
      <c r="D568" s="38"/>
      <c r="E568" s="30">
        <v>2399.05</v>
      </c>
      <c r="F568" s="31">
        <v>51.99</v>
      </c>
      <c r="G568" s="30"/>
      <c r="H568" s="30"/>
      <c r="I568" s="30"/>
      <c r="J568" s="30">
        <v>399.79375</v>
      </c>
      <c r="K568" s="32">
        <v>0.166646693482837</v>
      </c>
      <c r="L568" s="30">
        <v>3273.2475</v>
      </c>
      <c r="M568" s="30">
        <v>19767.7</v>
      </c>
      <c r="N568" s="32"/>
      <c r="O568" s="44">
        <v>20</v>
      </c>
      <c r="P568" s="44">
        <v>23</v>
      </c>
      <c r="Q568" s="34">
        <v>0.465116279069767</v>
      </c>
      <c r="R568" s="34"/>
      <c r="S568" s="38"/>
    </row>
    <row customHeight="true" ht="23.703703703703702" r="569">
      <c r="B569" s="26" t="s">
        <v>54</v>
      </c>
    </row>
    <row customHeight="true" ht="23.703703703703702" r="570">
      <c r="A570" s="20" t="s">
        <v>65</v>
      </c>
      <c r="B570" s="21" t="s">
        <v>28</v>
      </c>
      <c r="C570" s="39" t="s">
        <v>29</v>
      </c>
      <c r="D570" s="21" t="s">
        <v>30</v>
      </c>
      <c r="E570" s="22" t="s">
        <v>31</v>
      </c>
      <c r="F570" s="23" t="s">
        <v>32</v>
      </c>
      <c r="G570" s="22" t="s">
        <v>33</v>
      </c>
      <c r="H570" s="40" t="s">
        <v>34</v>
      </c>
      <c r="I570" s="22" t="s">
        <v>35</v>
      </c>
      <c r="J570" s="22" t="s">
        <v>32</v>
      </c>
      <c r="K570" s="24" t="s">
        <v>36</v>
      </c>
      <c r="L570" s="22" t="s">
        <v>37</v>
      </c>
      <c r="M570" s="22" t="s">
        <v>38</v>
      </c>
      <c r="N570" s="21" t="s">
        <v>39</v>
      </c>
      <c r="O570" s="41" t="s">
        <v>40</v>
      </c>
      <c r="P570" s="25" t="s">
        <v>41</v>
      </c>
      <c r="Q570" s="24" t="s">
        <v>42</v>
      </c>
      <c r="R570" s="24" t="s">
        <v>43</v>
      </c>
      <c r="S570" s="24" t="s">
        <v>56</v>
      </c>
    </row>
    <row customHeight="true" ht="23.703703703703702" r="571">
      <c r="A571" s="42">
        <v>46089</v>
      </c>
      <c r="B571" s="28" t="s">
        <v>46</v>
      </c>
      <c r="C571" s="46">
        <v>122</v>
      </c>
      <c r="D571" s="43">
        <v>55.85</v>
      </c>
      <c r="E571" s="30">
        <v>1228.7</v>
      </c>
      <c r="F571" s="29">
        <v>5.69</v>
      </c>
      <c r="G571" s="30">
        <v>176</v>
      </c>
      <c r="H571" s="30">
        <v>106.11</v>
      </c>
      <c r="I571" s="30">
        <v>30.7175</v>
      </c>
      <c r="J571" s="30">
        <v>164.3525</v>
      </c>
      <c r="K571" s="32">
        <v>0.133761292422886</v>
      </c>
      <c r="L571" s="30">
        <v>1314.82</v>
      </c>
      <c r="M571" s="30">
        <v>9829.6</v>
      </c>
      <c r="N571" s="32">
        <v>0.0863595670220558</v>
      </c>
      <c r="O571" s="44">
        <v>9</v>
      </c>
      <c r="P571" s="44">
        <v>13</v>
      </c>
      <c r="Q571" s="34">
        <v>0.409090909090909</v>
      </c>
      <c r="R571" s="34">
        <v>0.211101163831692</v>
      </c>
      <c r="S571" s="45" t="s">
        <v>61</v>
      </c>
    </row>
    <row customHeight="true" ht="23.703703703703702" r="572">
      <c r="A572" s="42">
        <v>46089</v>
      </c>
      <c r="B572" s="28" t="s">
        <v>47</v>
      </c>
      <c r="C572" s="28">
        <v>15</v>
      </c>
      <c r="D572" s="43">
        <v>58</v>
      </c>
      <c r="E572" s="30">
        <v>870</v>
      </c>
      <c r="F572" s="29">
        <v>10.01</v>
      </c>
      <c r="G572" s="30">
        <v>120</v>
      </c>
      <c r="H572" s="30">
        <v>30.07</v>
      </c>
      <c r="I572" s="30">
        <v>21.75</v>
      </c>
      <c r="J572" s="30">
        <v>218.33</v>
      </c>
      <c r="K572" s="32">
        <v>0.250954022988506</v>
      </c>
      <c r="L572" s="30">
        <v>1746.64</v>
      </c>
      <c r="M572" s="30">
        <v>6960</v>
      </c>
      <c r="N572" s="32">
        <v>0.0345632183908046</v>
      </c>
      <c r="O572" s="44">
        <v>3</v>
      </c>
      <c r="P572" s="44">
        <v>12</v>
      </c>
      <c r="Q572" s="34">
        <v>0.2</v>
      </c>
      <c r="R572" s="34">
        <v>0.172816091954023</v>
      </c>
      <c r="S572" s="45" t="s">
        <v>70</v>
      </c>
    </row>
    <row customHeight="true" ht="23.703703703703702" r="573">
      <c r="A573" s="42">
        <v>46089</v>
      </c>
      <c r="B573" s="28" t="s">
        <v>49</v>
      </c>
      <c r="C573" s="28">
        <v>3</v>
      </c>
      <c r="D573" s="43">
        <v>58.8</v>
      </c>
      <c r="E573" s="30">
        <v>176.4</v>
      </c>
      <c r="F573" s="29">
        <v>16.27</v>
      </c>
      <c r="G573" s="30">
        <v>24</v>
      </c>
      <c r="H573" s="30">
        <v>36.83</v>
      </c>
      <c r="I573" s="30">
        <v>4.41</v>
      </c>
      <c r="J573" s="30">
        <v>31.57</v>
      </c>
      <c r="K573" s="32">
        <v>0.178968253968254</v>
      </c>
      <c r="L573" s="30">
        <v>252.56</v>
      </c>
      <c r="M573" s="30">
        <v>1411.2</v>
      </c>
      <c r="N573" s="32">
        <v>0.208786848072562</v>
      </c>
      <c r="O573" s="44">
        <v>1</v>
      </c>
      <c r="P573" s="44">
        <v>2</v>
      </c>
      <c r="Q573" s="34">
        <v>0.333333333333333</v>
      </c>
      <c r="R573" s="34">
        <v>0.626360544217687</v>
      </c>
      <c r="S573" s="45" t="s">
        <v>57</v>
      </c>
    </row>
    <row customHeight="true" ht="23.703703703703702" r="574">
      <c r="A574" s="42">
        <v>46089</v>
      </c>
      <c r="B574" s="28" t="s">
        <v>50</v>
      </c>
      <c r="C574" s="28">
        <v>0</v>
      </c>
      <c r="D574" s="43">
        <v>59.35</v>
      </c>
      <c r="E574" s="30">
        <v>0</v>
      </c>
      <c r="F574" s="29">
        <v>15.72</v>
      </c>
      <c r="G574" s="30">
        <v>0</v>
      </c>
      <c r="H574" s="30">
        <v>27.15</v>
      </c>
      <c r="I574" s="30">
        <v>0</v>
      </c>
      <c r="J574" s="30">
        <v>-27.15</v>
      </c>
      <c r="K574" s="32">
        <v>0</v>
      </c>
      <c r="L574" s="30">
        <v>-217.2</v>
      </c>
      <c r="M574" s="30">
        <v>0</v>
      </c>
      <c r="N574" s="32">
        <v>0</v>
      </c>
      <c r="O574" s="44">
        <v>0</v>
      </c>
      <c r="P574" s="44">
        <v>0</v>
      </c>
      <c r="Q574" s="34">
        <v>0</v>
      </c>
      <c r="R574" s="34">
        <v>0</v>
      </c>
      <c r="S574" s="45" t="s">
        <v>57</v>
      </c>
    </row>
    <row customHeight="true" ht="23.703703703703702" r="575">
      <c r="A575" s="42">
        <v>46089</v>
      </c>
      <c r="B575" s="28" t="s">
        <v>52</v>
      </c>
      <c r="C575" s="28">
        <v>7</v>
      </c>
      <c r="D575" s="43">
        <v>52.3</v>
      </c>
      <c r="E575" s="30">
        <v>366.1</v>
      </c>
      <c r="F575" s="29">
        <v>4.3</v>
      </c>
      <c r="G575" s="30">
        <v>56</v>
      </c>
      <c r="H575" s="30">
        <v>48.77</v>
      </c>
      <c r="I575" s="30">
        <v>9.1525</v>
      </c>
      <c r="J575" s="30">
        <v>28.1775</v>
      </c>
      <c r="K575" s="32">
        <v>0.0769666757716471</v>
      </c>
      <c r="L575" s="30">
        <v>253.5975</v>
      </c>
      <c r="M575" s="30">
        <v>3294.9</v>
      </c>
      <c r="N575" s="32">
        <v>0.133214968587818</v>
      </c>
      <c r="O575" s="44">
        <v>4</v>
      </c>
      <c r="P575" s="44">
        <v>3</v>
      </c>
      <c r="Q575" s="34">
        <v>0.571428571428571</v>
      </c>
      <c r="R575" s="34">
        <v>0.233126195028681</v>
      </c>
      <c r="S575" s="38" t="s">
        <v>72</v>
      </c>
    </row>
    <row customHeight="true" ht="23.703703703703702" r="576">
      <c r="A576" s="42">
        <v>46089</v>
      </c>
      <c r="B576" s="28" t="s">
        <v>27</v>
      </c>
      <c r="C576" s="28">
        <v>47</v>
      </c>
      <c r="D576" s="38"/>
      <c r="E576" s="30">
        <v>2641.2</v>
      </c>
      <c r="F576" s="31">
        <v>51.99</v>
      </c>
      <c r="G576" s="30"/>
      <c r="H576" s="30"/>
      <c r="I576" s="30"/>
      <c r="J576" s="30">
        <v>415.28</v>
      </c>
      <c r="K576" s="32">
        <v>0.15723156141148</v>
      </c>
      <c r="L576" s="30">
        <v>3350.4175</v>
      </c>
      <c r="M576" s="30">
        <v>21495.7</v>
      </c>
      <c r="N576" s="32"/>
      <c r="O576" s="44">
        <v>17</v>
      </c>
      <c r="P576" s="44">
        <v>30</v>
      </c>
      <c r="Q576" s="34">
        <v>0.361702127659574</v>
      </c>
      <c r="R576" s="34"/>
      <c r="S576" s="38"/>
    </row>
    <row customHeight="true" ht="23.703703703703702" r="577">
      <c r="B577" s="26" t="s">
        <v>54</v>
      </c>
    </row>
    <row customHeight="true" ht="23.703703703703702" r="578">
      <c r="A578" s="20" t="s">
        <v>65</v>
      </c>
      <c r="B578" s="21" t="s">
        <v>28</v>
      </c>
      <c r="C578" s="39" t="s">
        <v>29</v>
      </c>
      <c r="D578" s="21" t="s">
        <v>30</v>
      </c>
      <c r="E578" s="22" t="s">
        <v>31</v>
      </c>
      <c r="F578" s="23" t="s">
        <v>32</v>
      </c>
      <c r="G578" s="22" t="s">
        <v>33</v>
      </c>
      <c r="H578" s="40" t="s">
        <v>34</v>
      </c>
      <c r="I578" s="22" t="s">
        <v>35</v>
      </c>
      <c r="J578" s="22" t="s">
        <v>32</v>
      </c>
      <c r="K578" s="24" t="s">
        <v>36</v>
      </c>
      <c r="L578" s="22" t="s">
        <v>37</v>
      </c>
      <c r="M578" s="22" t="s">
        <v>38</v>
      </c>
      <c r="N578" s="21" t="s">
        <v>39</v>
      </c>
      <c r="O578" s="41" t="s">
        <v>40</v>
      </c>
      <c r="P578" s="25" t="s">
        <v>41</v>
      </c>
      <c r="Q578" s="24" t="s">
        <v>42</v>
      </c>
      <c r="R578" s="24" t="s">
        <v>43</v>
      </c>
      <c r="S578" s="24" t="s">
        <v>56</v>
      </c>
    </row>
    <row customHeight="true" ht="23.703703703703702" r="579">
      <c r="A579" s="42">
        <v>46090</v>
      </c>
      <c r="B579" s="28" t="s">
        <v>46</v>
      </c>
      <c r="C579" s="28">
        <v>19</v>
      </c>
      <c r="D579" s="43">
        <v>55.85</v>
      </c>
      <c r="E579" s="30">
        <v>1061.15</v>
      </c>
      <c r="F579" s="29">
        <v>5.69</v>
      </c>
      <c r="G579" s="30">
        <v>152</v>
      </c>
      <c r="H579" s="30">
        <v>73.17</v>
      </c>
      <c r="I579" s="30">
        <v>26.52875</v>
      </c>
      <c r="J579" s="30">
        <v>160.41125</v>
      </c>
      <c r="K579" s="32">
        <v>0.151167365593931</v>
      </c>
      <c r="L579" s="30">
        <v>1283.29</v>
      </c>
      <c r="M579" s="30">
        <v>8489.2</v>
      </c>
      <c r="N579" s="32">
        <v>0.0689534938510107</v>
      </c>
      <c r="O579" s="44">
        <v>7</v>
      </c>
      <c r="P579" s="44">
        <v>12</v>
      </c>
      <c r="Q579" s="34">
        <v>0.368421052631579</v>
      </c>
      <c r="R579" s="34">
        <v>0.187159483309886</v>
      </c>
      <c r="S579" s="45" t="s">
        <v>61</v>
      </c>
    </row>
    <row customHeight="true" ht="23.703703703703702" r="580">
      <c r="A580" s="42">
        <v>46090</v>
      </c>
      <c r="B580" s="28" t="s">
        <v>47</v>
      </c>
      <c r="C580" s="28">
        <v>8</v>
      </c>
      <c r="D580" s="43">
        <v>58</v>
      </c>
      <c r="E580" s="30">
        <v>464</v>
      </c>
      <c r="F580" s="29">
        <v>10.01</v>
      </c>
      <c r="G580" s="30">
        <v>64</v>
      </c>
      <c r="H580" s="30">
        <v>18.83</v>
      </c>
      <c r="I580" s="30">
        <v>11.6</v>
      </c>
      <c r="J580" s="30">
        <v>113.65</v>
      </c>
      <c r="K580" s="32">
        <v>0.244935344827586</v>
      </c>
      <c r="L580" s="30">
        <v>909.2</v>
      </c>
      <c r="M580" s="30">
        <v>3712</v>
      </c>
      <c r="N580" s="32">
        <v>0.0405818965517241</v>
      </c>
      <c r="O580" s="44">
        <v>4</v>
      </c>
      <c r="P580" s="44">
        <v>4</v>
      </c>
      <c r="Q580" s="34">
        <v>0.5</v>
      </c>
      <c r="R580" s="34">
        <v>0.0811637931034483</v>
      </c>
      <c r="S580" s="45" t="s">
        <v>70</v>
      </c>
    </row>
    <row customHeight="true" ht="23.703703703703702" r="581">
      <c r="A581" s="42">
        <v>46090</v>
      </c>
      <c r="B581" s="28" t="s">
        <v>49</v>
      </c>
      <c r="C581" s="28">
        <v>5</v>
      </c>
      <c r="D581" s="43">
        <v>58.8</v>
      </c>
      <c r="E581" s="30">
        <v>294</v>
      </c>
      <c r="F581" s="29">
        <v>16.27</v>
      </c>
      <c r="G581" s="30">
        <v>40</v>
      </c>
      <c r="H581" s="30">
        <v>36.28</v>
      </c>
      <c r="I581" s="30">
        <v>7.35</v>
      </c>
      <c r="J581" s="30">
        <v>77.72</v>
      </c>
      <c r="K581" s="32">
        <v>0.264353741496599</v>
      </c>
      <c r="L581" s="30">
        <v>621.76</v>
      </c>
      <c r="M581" s="30">
        <v>2352</v>
      </c>
      <c r="N581" s="32">
        <v>0.123401360544218</v>
      </c>
      <c r="O581" s="44">
        <v>2</v>
      </c>
      <c r="P581" s="44">
        <v>3</v>
      </c>
      <c r="Q581" s="34">
        <v>0.4</v>
      </c>
      <c r="R581" s="34">
        <v>0.308503401360544</v>
      </c>
      <c r="S581" s="45" t="s">
        <v>57</v>
      </c>
    </row>
    <row customHeight="true" ht="23.703703703703702" r="582">
      <c r="A582" s="42">
        <v>46090</v>
      </c>
      <c r="B582" s="28" t="s">
        <v>50</v>
      </c>
      <c r="C582" s="28">
        <v>0</v>
      </c>
      <c r="D582" s="43">
        <v>59.35</v>
      </c>
      <c r="E582" s="30">
        <v>0</v>
      </c>
      <c r="F582" s="29">
        <v>15.72</v>
      </c>
      <c r="G582" s="30">
        <v>0</v>
      </c>
      <c r="H582" s="30">
        <v>12.74</v>
      </c>
      <c r="I582" s="30">
        <v>0</v>
      </c>
      <c r="J582" s="30">
        <v>-12.74</v>
      </c>
      <c r="K582" s="32">
        <v>0</v>
      </c>
      <c r="L582" s="30">
        <v>-101.92</v>
      </c>
      <c r="M582" s="30">
        <v>0</v>
      </c>
      <c r="N582" s="32">
        <v>0</v>
      </c>
      <c r="O582" s="44">
        <v>0</v>
      </c>
      <c r="P582" s="44">
        <v>0</v>
      </c>
      <c r="Q582" s="34">
        <v>0</v>
      </c>
      <c r="R582" s="34">
        <v>0</v>
      </c>
      <c r="S582" s="45" t="s">
        <v>57</v>
      </c>
    </row>
    <row customHeight="true" ht="23.703703703703702" r="583">
      <c r="A583" s="42">
        <v>46090</v>
      </c>
      <c r="B583" s="28" t="s">
        <v>52</v>
      </c>
      <c r="C583" s="28">
        <v>8</v>
      </c>
      <c r="D583" s="43">
        <v>52.3</v>
      </c>
      <c r="E583" s="30">
        <v>418.4</v>
      </c>
      <c r="F583" s="29">
        <v>4.3</v>
      </c>
      <c r="G583" s="30">
        <v>64</v>
      </c>
      <c r="H583" s="30">
        <v>37.83</v>
      </c>
      <c r="I583" s="30">
        <v>10.46</v>
      </c>
      <c r="J583" s="30">
        <v>50.11</v>
      </c>
      <c r="K583" s="32">
        <v>0.119765774378585</v>
      </c>
      <c r="L583" s="30">
        <v>450.99</v>
      </c>
      <c r="M583" s="30">
        <v>3765.6</v>
      </c>
      <c r="N583" s="32">
        <v>0.0904158699808795</v>
      </c>
      <c r="O583" s="44">
        <v>4</v>
      </c>
      <c r="P583" s="44">
        <v>4</v>
      </c>
      <c r="Q583" s="34">
        <v>0.5</v>
      </c>
      <c r="R583" s="34">
        <v>0.180831739961759</v>
      </c>
      <c r="S583" s="38" t="s">
        <v>72</v>
      </c>
    </row>
    <row customHeight="true" ht="23.703703703703702" r="584">
      <c r="A584" s="42">
        <v>46090</v>
      </c>
      <c r="B584" s="28" t="s">
        <v>27</v>
      </c>
      <c r="C584" s="28">
        <v>40</v>
      </c>
      <c r="D584" s="38"/>
      <c r="E584" s="30">
        <v>2237.55</v>
      </c>
      <c r="F584" s="31">
        <v>51.99</v>
      </c>
      <c r="G584" s="30"/>
      <c r="H584" s="30"/>
      <c r="I584" s="30"/>
      <c r="J584" s="30">
        <v>389.15125</v>
      </c>
      <c r="K584" s="32">
        <v>0.173918459922683</v>
      </c>
      <c r="L584" s="30">
        <v>3163.32</v>
      </c>
      <c r="M584" s="30">
        <v>18318.8</v>
      </c>
      <c r="N584" s="32"/>
      <c r="O584" s="44">
        <v>17</v>
      </c>
      <c r="P584" s="44">
        <v>23</v>
      </c>
      <c r="Q584" s="34">
        <v>0.425</v>
      </c>
      <c r="R584" s="34"/>
      <c r="S584" s="38"/>
    </row>
    <row customHeight="true" ht="23.703703703703702" r="585">
      <c r="B585" s="26" t="s">
        <v>54</v>
      </c>
    </row>
    <row customHeight="true" ht="23.703703703703702" r="586">
      <c r="A586" s="20" t="s">
        <v>65</v>
      </c>
      <c r="B586" s="21" t="s">
        <v>28</v>
      </c>
      <c r="C586" s="39" t="s">
        <v>29</v>
      </c>
      <c r="D586" s="21" t="s">
        <v>30</v>
      </c>
      <c r="E586" s="22" t="s">
        <v>31</v>
      </c>
      <c r="F586" s="23" t="s">
        <v>32</v>
      </c>
      <c r="G586" s="22" t="s">
        <v>33</v>
      </c>
      <c r="H586" s="40" t="s">
        <v>34</v>
      </c>
      <c r="I586" s="22" t="s">
        <v>35</v>
      </c>
      <c r="J586" s="22" t="s">
        <v>32</v>
      </c>
      <c r="K586" s="24" t="s">
        <v>36</v>
      </c>
      <c r="L586" s="22" t="s">
        <v>37</v>
      </c>
      <c r="M586" s="22" t="s">
        <v>38</v>
      </c>
      <c r="N586" s="21" t="s">
        <v>39</v>
      </c>
      <c r="O586" s="41" t="s">
        <v>40</v>
      </c>
      <c r="P586" s="25" t="s">
        <v>41</v>
      </c>
      <c r="Q586" s="24" t="s">
        <v>42</v>
      </c>
      <c r="R586" s="24" t="s">
        <v>43</v>
      </c>
      <c r="S586" s="24" t="s">
        <v>56</v>
      </c>
    </row>
    <row customHeight="true" ht="23.703703703703702" r="587">
      <c r="A587" s="42">
        <v>46091</v>
      </c>
      <c r="B587" s="28" t="s">
        <v>46</v>
      </c>
      <c r="C587" s="28">
        <v>14</v>
      </c>
      <c r="D587" s="43">
        <v>55.85</v>
      </c>
      <c r="E587" s="30">
        <v>781.9</v>
      </c>
      <c r="F587" s="29">
        <v>5.69</v>
      </c>
      <c r="G587" s="30">
        <v>112</v>
      </c>
      <c r="H587" s="30">
        <v>60.1</v>
      </c>
      <c r="I587" s="30">
        <v>19.5475</v>
      </c>
      <c r="J587" s="30">
        <v>112.0125</v>
      </c>
      <c r="K587" s="32">
        <v>0.143256810333802</v>
      </c>
      <c r="L587" s="30">
        <v>896.1</v>
      </c>
      <c r="M587" s="30">
        <v>6255.2</v>
      </c>
      <c r="N587" s="32">
        <v>0.0768640491111395</v>
      </c>
      <c r="O587" s="44">
        <v>4</v>
      </c>
      <c r="P587" s="44">
        <v>10</v>
      </c>
      <c r="Q587" s="34">
        <v>0.285714285714286</v>
      </c>
      <c r="R587" s="34">
        <v>0.269024171888988</v>
      </c>
      <c r="S587" s="45" t="s">
        <v>61</v>
      </c>
    </row>
    <row customHeight="true" ht="23.703703703703702" r="588">
      <c r="A588" s="42">
        <v>46091</v>
      </c>
      <c r="B588" s="28" t="s">
        <v>47</v>
      </c>
      <c r="C588" s="28">
        <v>15</v>
      </c>
      <c r="D588" s="43">
        <v>58</v>
      </c>
      <c r="E588" s="30">
        <v>870</v>
      </c>
      <c r="F588" s="29">
        <v>10.01</v>
      </c>
      <c r="G588" s="30">
        <v>120</v>
      </c>
      <c r="H588" s="30">
        <v>24.97</v>
      </c>
      <c r="I588" s="30">
        <v>21.75</v>
      </c>
      <c r="J588" s="30">
        <v>223.43</v>
      </c>
      <c r="K588" s="32">
        <v>0.256816091954023</v>
      </c>
      <c r="L588" s="30">
        <v>1787.44</v>
      </c>
      <c r="M588" s="30">
        <v>6960</v>
      </c>
      <c r="N588" s="32">
        <v>0.0287011494252874</v>
      </c>
      <c r="O588" s="44">
        <v>5</v>
      </c>
      <c r="P588" s="44">
        <v>10</v>
      </c>
      <c r="Q588" s="34">
        <v>0.333333333333333</v>
      </c>
      <c r="R588" s="34">
        <v>0.0861034482758621</v>
      </c>
      <c r="S588" s="45" t="s">
        <v>70</v>
      </c>
    </row>
    <row customHeight="true" ht="23.703703703703702" r="589">
      <c r="A589" s="42">
        <v>46091</v>
      </c>
      <c r="B589" s="28" t="s">
        <v>49</v>
      </c>
      <c r="C589" s="28">
        <v>5</v>
      </c>
      <c r="D589" s="43">
        <v>58.8</v>
      </c>
      <c r="E589" s="30">
        <v>294</v>
      </c>
      <c r="F589" s="29">
        <v>16.27</v>
      </c>
      <c r="G589" s="30">
        <v>40</v>
      </c>
      <c r="H589" s="30">
        <v>41.4</v>
      </c>
      <c r="I589" s="30">
        <v>7.35</v>
      </c>
      <c r="J589" s="30">
        <v>72.6</v>
      </c>
      <c r="K589" s="32">
        <v>0.246938775510204</v>
      </c>
      <c r="L589" s="30">
        <v>580.8</v>
      </c>
      <c r="M589" s="30">
        <v>2352</v>
      </c>
      <c r="N589" s="32">
        <v>0.140816326530612</v>
      </c>
      <c r="O589" s="44">
        <v>0</v>
      </c>
      <c r="P589" s="44">
        <v>5</v>
      </c>
      <c r="Q589" s="34">
        <v>0</v>
      </c>
      <c r="R589" s="34">
        <v>0</v>
      </c>
      <c r="S589" s="45" t="s">
        <v>57</v>
      </c>
    </row>
    <row customHeight="true" ht="23.703703703703702" r="590">
      <c r="A590" s="42">
        <v>46091</v>
      </c>
      <c r="B590" s="28" t="s">
        <v>50</v>
      </c>
      <c r="C590" s="28">
        <v>2</v>
      </c>
      <c r="D590" s="43">
        <v>59.35</v>
      </c>
      <c r="E590" s="30">
        <v>118.7</v>
      </c>
      <c r="F590" s="29">
        <v>15.72</v>
      </c>
      <c r="G590" s="30">
        <v>16</v>
      </c>
      <c r="H590" s="30">
        <v>17.37</v>
      </c>
      <c r="I590" s="30">
        <v>2.9675</v>
      </c>
      <c r="J590" s="30">
        <v>27.1025</v>
      </c>
      <c r="K590" s="32">
        <v>0.228327716933446</v>
      </c>
      <c r="L590" s="30">
        <v>216.82</v>
      </c>
      <c r="M590" s="30">
        <v>949.6</v>
      </c>
      <c r="N590" s="32">
        <v>0.146335299073294</v>
      </c>
      <c r="O590" s="44">
        <v>1</v>
      </c>
      <c r="P590" s="44">
        <v>1</v>
      </c>
      <c r="Q590" s="34">
        <v>0.5</v>
      </c>
      <c r="R590" s="34">
        <v>0.292670598146588</v>
      </c>
      <c r="S590" s="45" t="s">
        <v>57</v>
      </c>
    </row>
    <row customHeight="true" ht="23.703703703703702" r="591">
      <c r="A591" s="42">
        <v>46091</v>
      </c>
      <c r="B591" s="28" t="s">
        <v>52</v>
      </c>
      <c r="C591" s="28">
        <v>8</v>
      </c>
      <c r="D591" s="43">
        <v>52.3</v>
      </c>
      <c r="E591" s="30">
        <v>418.4</v>
      </c>
      <c r="F591" s="29">
        <v>4.3</v>
      </c>
      <c r="G591" s="30">
        <v>64</v>
      </c>
      <c r="H591" s="30">
        <v>59.24</v>
      </c>
      <c r="I591" s="30">
        <v>10.46</v>
      </c>
      <c r="J591" s="30">
        <v>28.7</v>
      </c>
      <c r="K591" s="32">
        <v>0.0685946462715105</v>
      </c>
      <c r="L591" s="30">
        <v>258.3</v>
      </c>
      <c r="M591" s="30">
        <v>3765.6</v>
      </c>
      <c r="N591" s="32">
        <v>0.141586998087954</v>
      </c>
      <c r="O591" s="44">
        <v>4</v>
      </c>
      <c r="P591" s="44">
        <v>4</v>
      </c>
      <c r="Q591" s="34">
        <v>0.5</v>
      </c>
      <c r="R591" s="34">
        <v>0.283173996175908</v>
      </c>
      <c r="S591" s="38" t="s">
        <v>72</v>
      </c>
    </row>
    <row customHeight="true" ht="23.703703703703702" r="592">
      <c r="A592" s="42">
        <v>46091</v>
      </c>
      <c r="B592" s="28" t="s">
        <v>27</v>
      </c>
      <c r="C592" s="28">
        <v>44</v>
      </c>
      <c r="D592" s="38"/>
      <c r="E592" s="30">
        <v>2483</v>
      </c>
      <c r="F592" s="31">
        <v>51.99</v>
      </c>
      <c r="G592" s="30"/>
      <c r="H592" s="30"/>
      <c r="I592" s="30"/>
      <c r="J592" s="30">
        <v>463.845</v>
      </c>
      <c r="K592" s="32">
        <v>0.186808296415626</v>
      </c>
      <c r="L592" s="30">
        <v>3739.46</v>
      </c>
      <c r="M592" s="30">
        <v>20282.4</v>
      </c>
      <c r="N592" s="32"/>
      <c r="O592" s="44">
        <v>14</v>
      </c>
      <c r="P592" s="44">
        <v>30</v>
      </c>
      <c r="Q592" s="34">
        <v>0.318181818181818</v>
      </c>
      <c r="R592" s="34"/>
      <c r="S592" s="38"/>
    </row>
    <row customHeight="true" ht="23.703703703703702" r="593">
      <c r="B593" s="26" t="s">
        <v>54</v>
      </c>
    </row>
    <row customHeight="true" ht="23.703703703703702" r="594">
      <c r="A594" s="20" t="s">
        <v>65</v>
      </c>
      <c r="B594" s="21" t="s">
        <v>28</v>
      </c>
      <c r="C594" s="39" t="s">
        <v>29</v>
      </c>
      <c r="D594" s="21" t="s">
        <v>30</v>
      </c>
      <c r="E594" s="22" t="s">
        <v>31</v>
      </c>
      <c r="F594" s="23" t="s">
        <v>32</v>
      </c>
      <c r="G594" s="22" t="s">
        <v>33</v>
      </c>
      <c r="H594" s="40" t="s">
        <v>34</v>
      </c>
      <c r="I594" s="22" t="s">
        <v>35</v>
      </c>
      <c r="J594" s="22" t="s">
        <v>32</v>
      </c>
      <c r="K594" s="24" t="s">
        <v>36</v>
      </c>
      <c r="L594" s="22" t="s">
        <v>37</v>
      </c>
      <c r="M594" s="22" t="s">
        <v>38</v>
      </c>
      <c r="N594" s="21" t="s">
        <v>39</v>
      </c>
      <c r="O594" s="41" t="s">
        <v>40</v>
      </c>
      <c r="P594" s="25" t="s">
        <v>41</v>
      </c>
      <c r="Q594" s="24" t="s">
        <v>42</v>
      </c>
      <c r="R594" s="24" t="s">
        <v>43</v>
      </c>
      <c r="S594" s="24" t="s">
        <v>56</v>
      </c>
    </row>
    <row customHeight="true" ht="23.703703703703702" r="595">
      <c r="A595" s="42">
        <v>46092</v>
      </c>
      <c r="B595" s="28" t="s">
        <v>46</v>
      </c>
      <c r="C595" s="46">
        <v>120</v>
      </c>
      <c r="D595" s="43">
        <v>55.85</v>
      </c>
      <c r="E595" s="30">
        <v>670.2</v>
      </c>
      <c r="F595" s="29">
        <v>5.69</v>
      </c>
      <c r="G595" s="30">
        <v>96</v>
      </c>
      <c r="H595" s="30">
        <v>57.94</v>
      </c>
      <c r="I595" s="30">
        <v>16.755</v>
      </c>
      <c r="J595" s="30">
        <v>89.585</v>
      </c>
      <c r="K595" s="32">
        <v>0.133669054013727</v>
      </c>
      <c r="L595" s="30">
        <v>716.68</v>
      </c>
      <c r="M595" s="30">
        <v>5361.6</v>
      </c>
      <c r="N595" s="32">
        <v>0.0864518054312146</v>
      </c>
      <c r="O595" s="44">
        <v>4</v>
      </c>
      <c r="P595" s="44">
        <v>8</v>
      </c>
      <c r="Q595" s="34">
        <v>0.333333333333333</v>
      </c>
      <c r="R595" s="34">
        <v>0.259355416293644</v>
      </c>
      <c r="S595" s="45" t="s">
        <v>61</v>
      </c>
    </row>
    <row customHeight="true" ht="23.703703703703702" r="596">
      <c r="A596" s="42">
        <v>46092</v>
      </c>
      <c r="B596" s="28" t="s">
        <v>47</v>
      </c>
      <c r="C596" s="28">
        <v>17</v>
      </c>
      <c r="D596" s="43">
        <v>58</v>
      </c>
      <c r="E596" s="30">
        <v>986</v>
      </c>
      <c r="F596" s="29">
        <v>10.01</v>
      </c>
      <c r="G596" s="30">
        <v>136</v>
      </c>
      <c r="H596" s="30">
        <v>25.28</v>
      </c>
      <c r="I596" s="30">
        <v>24.65</v>
      </c>
      <c r="J596" s="30">
        <v>256.24</v>
      </c>
      <c r="K596" s="32">
        <v>0.259878296146045</v>
      </c>
      <c r="L596" s="30">
        <v>2049.92</v>
      </c>
      <c r="M596" s="30">
        <v>7888</v>
      </c>
      <c r="N596" s="32">
        <v>0.0256389452332657</v>
      </c>
      <c r="O596" s="44">
        <v>5</v>
      </c>
      <c r="P596" s="44">
        <v>12</v>
      </c>
      <c r="Q596" s="34">
        <v>0.294117647058824</v>
      </c>
      <c r="R596" s="34">
        <v>0.0871724137931034</v>
      </c>
      <c r="S596" s="45" t="s">
        <v>70</v>
      </c>
    </row>
    <row customHeight="true" ht="23.703703703703702" r="597">
      <c r="A597" s="42">
        <v>46092</v>
      </c>
      <c r="B597" s="28" t="s">
        <v>49</v>
      </c>
      <c r="C597" s="28">
        <v>2</v>
      </c>
      <c r="D597" s="43">
        <v>58.8</v>
      </c>
      <c r="E597" s="30">
        <v>117.6</v>
      </c>
      <c r="F597" s="29">
        <v>16.27</v>
      </c>
      <c r="G597" s="30">
        <v>16</v>
      </c>
      <c r="H597" s="30">
        <v>28.23</v>
      </c>
      <c r="I597" s="30">
        <v>2.94</v>
      </c>
      <c r="J597" s="30">
        <v>17.37</v>
      </c>
      <c r="K597" s="32">
        <v>0.147704081632653</v>
      </c>
      <c r="L597" s="30">
        <v>138.96</v>
      </c>
      <c r="M597" s="30">
        <v>940.8</v>
      </c>
      <c r="N597" s="32">
        <v>0.240051020408163</v>
      </c>
      <c r="O597" s="44">
        <v>1</v>
      </c>
      <c r="P597" s="44">
        <v>1</v>
      </c>
      <c r="Q597" s="34">
        <v>0.5</v>
      </c>
      <c r="R597" s="34">
        <v>0.480102040816327</v>
      </c>
      <c r="S597" s="45" t="s">
        <v>57</v>
      </c>
    </row>
    <row customHeight="true" ht="23.703703703703702" r="598">
      <c r="A598" s="42">
        <v>46092</v>
      </c>
      <c r="B598" s="28" t="s">
        <v>50</v>
      </c>
      <c r="C598" s="28">
        <v>2</v>
      </c>
      <c r="D598" s="43">
        <v>59.35</v>
      </c>
      <c r="E598" s="30">
        <v>118.7</v>
      </c>
      <c r="F598" s="29">
        <v>15.72</v>
      </c>
      <c r="G598" s="30">
        <v>16</v>
      </c>
      <c r="H598" s="30">
        <v>22.91</v>
      </c>
      <c r="I598" s="30">
        <v>2.9675</v>
      </c>
      <c r="J598" s="30">
        <v>21.5625</v>
      </c>
      <c r="K598" s="32">
        <v>0.181655433866891</v>
      </c>
      <c r="L598" s="30">
        <v>172.5</v>
      </c>
      <c r="M598" s="30">
        <v>949.6</v>
      </c>
      <c r="N598" s="32">
        <v>0.193007582139848</v>
      </c>
      <c r="O598" s="44">
        <v>1</v>
      </c>
      <c r="P598" s="44">
        <v>1</v>
      </c>
      <c r="Q598" s="34">
        <v>0.5</v>
      </c>
      <c r="R598" s="34">
        <v>0.386015164279697</v>
      </c>
      <c r="S598" s="45" t="s">
        <v>57</v>
      </c>
    </row>
    <row customHeight="true" ht="23.703703703703702" r="599">
      <c r="A599" s="42">
        <v>46092</v>
      </c>
      <c r="B599" s="28" t="s">
        <v>52</v>
      </c>
      <c r="C599" s="28">
        <v>6</v>
      </c>
      <c r="D599" s="43">
        <v>52.3</v>
      </c>
      <c r="E599" s="30">
        <v>313.8</v>
      </c>
      <c r="F599" s="29">
        <v>4.3</v>
      </c>
      <c r="G599" s="30">
        <v>48</v>
      </c>
      <c r="H599" s="30">
        <v>40.72</v>
      </c>
      <c r="I599" s="30">
        <v>7.845</v>
      </c>
      <c r="J599" s="30">
        <v>25.235</v>
      </c>
      <c r="K599" s="32">
        <v>0.0804174633524538</v>
      </c>
      <c r="L599" s="30">
        <v>227.115</v>
      </c>
      <c r="M599" s="30">
        <v>2824.2</v>
      </c>
      <c r="N599" s="32">
        <v>0.129764181007011</v>
      </c>
      <c r="O599" s="44">
        <v>3</v>
      </c>
      <c r="P599" s="44">
        <v>3</v>
      </c>
      <c r="Q599" s="34">
        <v>0.5</v>
      </c>
      <c r="R599" s="34">
        <v>0.259528362014022</v>
      </c>
      <c r="S599" s="38" t="s">
        <v>72</v>
      </c>
    </row>
    <row customHeight="true" ht="23.703703703703702" r="600">
      <c r="A600" s="42">
        <v>46092</v>
      </c>
      <c r="B600" s="28" t="s">
        <v>27</v>
      </c>
      <c r="C600" s="28">
        <v>39</v>
      </c>
      <c r="D600" s="38"/>
      <c r="E600" s="30">
        <v>2206.3</v>
      </c>
      <c r="F600" s="31">
        <v>51.99</v>
      </c>
      <c r="G600" s="30"/>
      <c r="H600" s="30"/>
      <c r="I600" s="30"/>
      <c r="J600" s="30">
        <v>409.9925</v>
      </c>
      <c r="K600" s="32">
        <v>0.185828083216244</v>
      </c>
      <c r="L600" s="30">
        <v>3305.175</v>
      </c>
      <c r="M600" s="30">
        <v>17964.2</v>
      </c>
      <c r="N600" s="32"/>
      <c r="O600" s="44">
        <v>14</v>
      </c>
      <c r="P600" s="44">
        <v>25</v>
      </c>
      <c r="Q600" s="34">
        <v>0.358974358974359</v>
      </c>
      <c r="R600" s="34"/>
      <c r="S600" s="38"/>
    </row>
    <row customHeight="true" ht="23.703703703703702" r="601">
      <c r="B601" s="26" t="s">
        <v>54</v>
      </c>
    </row>
    <row customHeight="true" ht="23.703703703703702" r="602">
      <c r="A602" s="20" t="s">
        <v>65</v>
      </c>
      <c r="B602" s="21" t="s">
        <v>28</v>
      </c>
      <c r="C602" s="39" t="s">
        <v>29</v>
      </c>
      <c r="D602" s="21" t="s">
        <v>30</v>
      </c>
      <c r="E602" s="22" t="s">
        <v>31</v>
      </c>
      <c r="F602" s="23" t="s">
        <v>32</v>
      </c>
      <c r="G602" s="22" t="s">
        <v>33</v>
      </c>
      <c r="H602" s="40" t="s">
        <v>34</v>
      </c>
      <c r="I602" s="22" t="s">
        <v>35</v>
      </c>
      <c r="J602" s="22" t="s">
        <v>32</v>
      </c>
      <c r="K602" s="24" t="s">
        <v>36</v>
      </c>
      <c r="L602" s="22" t="s">
        <v>37</v>
      </c>
      <c r="M602" s="22" t="s">
        <v>38</v>
      </c>
      <c r="N602" s="21" t="s">
        <v>39</v>
      </c>
      <c r="O602" s="41" t="s">
        <v>40</v>
      </c>
      <c r="P602" s="25" t="s">
        <v>41</v>
      </c>
      <c r="Q602" s="24" t="s">
        <v>42</v>
      </c>
      <c r="R602" s="24" t="s">
        <v>43</v>
      </c>
      <c r="S602" s="24" t="s">
        <v>56</v>
      </c>
    </row>
    <row customHeight="true" ht="23.703703703703702" r="603">
      <c r="A603" s="42">
        <v>46093</v>
      </c>
      <c r="B603" s="28" t="s">
        <v>46</v>
      </c>
      <c r="C603" s="28">
        <v>11</v>
      </c>
      <c r="D603" s="43" cm="1">
        <f t="array" ref="D603:D603">_xlfn.XLOOKUP(B603&amp;S603,'除-价格-毛利'!A:A&amp;'除-价格-毛利'!B:B,'除-价格-毛利'!D:D,0)</f>
      </c>
      <c r="E603" s="30">
        <f t="shared" ref="E603:E607" si="66">C603*D603</f>
      </c>
      <c r="F603" s="29" cm="1">
        <f t="array" ref="F603:F603">_xlfn.XLOOKUP(B603&amp;S603,'除-价格-毛利'!A:A&amp;'除-价格-毛利'!B:B,'除-价格-毛利'!C:C,0)</f>
      </c>
      <c r="G603" s="30">
        <f t="shared" ref="G603:G607" si="30">C603*8</f>
      </c>
      <c r="H603" s="30">
        <v>66.24</v>
      </c>
      <c r="I603" s="30">
        <f t="shared" ref="I603:I607" si="20">E603*0.025</f>
      </c>
      <c r="J603" s="30">
        <f t="shared" ref="J603:J607" si="10">F603*C603+G603-H603-I603</f>
      </c>
      <c r="K603" s="32">
        <f t="shared" ref="K603:K608" si="1">IFERROR(J603/E603,0)</f>
      </c>
      <c r="L603" s="30">
        <f t="shared" ref="L603:L606" si="94">J603*8</f>
      </c>
      <c r="M603" s="30">
        <f t="shared" ref="M603:M606" si="84">E603*8</f>
      </c>
      <c r="N603" s="32">
        <f t="shared" ref="N603:N607" si="74">IFERROR(H603/E603,0)</f>
      </c>
      <c r="O603" s="44">
        <v>2</v>
      </c>
      <c r="P603" s="44">
        <f t="shared" ref="P603:P608" si="48">C603-O603</f>
      </c>
      <c r="Q603" s="34">
        <f t="shared" ref="Q603:Q608" si="56">IFERROR(O603/C603,0)</f>
      </c>
      <c r="R603" s="34">
        <f t="shared" ref="R603:R607" si="38">IFERROR(H603/(E603*Q603),0)</f>
      </c>
      <c r="S603" s="45" t="s">
        <v>61</v>
      </c>
    </row>
    <row customHeight="true" ht="23.703703703703702" r="604">
      <c r="A604" s="42">
        <v>46093</v>
      </c>
      <c r="B604" s="28" t="s">
        <v>47</v>
      </c>
      <c r="C604" s="28">
        <v>10</v>
      </c>
      <c r="D604" s="43" cm="1">
        <f t="array" ref="D604:D604">_xlfn.XLOOKUP(B604&amp;S604,'除-价格-毛利'!A:A&amp;'除-价格-毛利'!B:B,'除-价格-毛利'!D:D,0)</f>
      </c>
      <c r="E604" s="30">
        <f t="shared" si="66"/>
      </c>
      <c r="F604" s="29" cm="1">
        <f t="array" ref="F604:F604">_xlfn.XLOOKUP(B604&amp;S604,'除-价格-毛利'!A:A&amp;'除-价格-毛利'!B:B,'除-价格-毛利'!C:C,0)</f>
      </c>
      <c r="G604" s="30">
        <f t="shared" si="30"/>
      </c>
      <c r="H604" s="30">
        <v>26.93</v>
      </c>
      <c r="I604" s="30">
        <f t="shared" si="20"/>
      </c>
      <c r="J604" s="30">
        <f t="shared" si="10"/>
      </c>
      <c r="K604" s="32">
        <f t="shared" si="1"/>
      </c>
      <c r="L604" s="30">
        <f t="shared" si="94"/>
      </c>
      <c r="M604" s="30">
        <f t="shared" si="84"/>
      </c>
      <c r="N604" s="32">
        <f t="shared" si="74"/>
      </c>
      <c r="O604" s="44">
        <v>4</v>
      </c>
      <c r="P604" s="44">
        <f t="shared" si="48"/>
      </c>
      <c r="Q604" s="34">
        <f t="shared" si="56"/>
      </c>
      <c r="R604" s="34">
        <f t="shared" si="38"/>
      </c>
      <c r="S604" s="45" t="s">
        <v>70</v>
      </c>
    </row>
    <row customHeight="true" ht="23.703703703703702" r="605">
      <c r="A605" s="42">
        <v>46093</v>
      </c>
      <c r="B605" s="28" t="s">
        <v>49</v>
      </c>
      <c r="C605" s="28">
        <v>2</v>
      </c>
      <c r="D605" s="43" cm="1">
        <f t="array" ref="D605:D605">_xlfn.XLOOKUP(B605&amp;S605,'除-价格-毛利'!A:A&amp;'除-价格-毛利'!B:B,'除-价格-毛利'!D:D,0)</f>
      </c>
      <c r="E605" s="30">
        <f t="shared" si="66"/>
      </c>
      <c r="F605" s="29" cm="1">
        <f t="array" ref="F605:F605">_xlfn.XLOOKUP(B605&amp;S605,'除-价格-毛利'!A:A&amp;'除-价格-毛利'!B:B,'除-价格-毛利'!C:C,0)</f>
      </c>
      <c r="G605" s="30">
        <f t="shared" si="30"/>
      </c>
      <c r="H605" s="30">
        <v>32.82</v>
      </c>
      <c r="I605" s="30">
        <f t="shared" si="20"/>
      </c>
      <c r="J605" s="30">
        <f t="shared" si="10"/>
      </c>
      <c r="K605" s="32">
        <f t="shared" si="1"/>
      </c>
      <c r="L605" s="30">
        <f t="shared" si="94"/>
      </c>
      <c r="M605" s="30">
        <f t="shared" si="84"/>
      </c>
      <c r="N605" s="32">
        <f t="shared" si="74"/>
      </c>
      <c r="O605" s="44">
        <v>1</v>
      </c>
      <c r="P605" s="44">
        <f t="shared" si="48"/>
      </c>
      <c r="Q605" s="34">
        <f t="shared" si="56"/>
      </c>
      <c r="R605" s="34">
        <f t="shared" si="38"/>
      </c>
      <c r="S605" s="45" t="s">
        <v>57</v>
      </c>
    </row>
    <row customHeight="true" ht="23.703703703703702" r="606">
      <c r="A606" s="42">
        <v>46093</v>
      </c>
      <c r="B606" s="28" t="s">
        <v>50</v>
      </c>
      <c r="C606" s="28">
        <v>3</v>
      </c>
      <c r="D606" s="43" cm="1">
        <f t="array" ref="D606:D606">_xlfn.XLOOKUP(B606&amp;S606,'除-价格-毛利'!A:A&amp;'除-价格-毛利'!B:B,'除-价格-毛利'!D:D,0)</f>
      </c>
      <c r="E606" s="30">
        <f t="shared" si="66"/>
      </c>
      <c r="F606" s="29" cm="1">
        <f t="array" ref="F606:F606">_xlfn.XLOOKUP(B606&amp;S606,'除-价格-毛利'!A:A&amp;'除-价格-毛利'!B:B,'除-价格-毛利'!C:C,0)</f>
      </c>
      <c r="G606" s="30">
        <f t="shared" si="30"/>
      </c>
      <c r="H606" s="30">
        <v>21.54</v>
      </c>
      <c r="I606" s="30">
        <f t="shared" si="20"/>
      </c>
      <c r="J606" s="30">
        <f t="shared" si="10"/>
      </c>
      <c r="K606" s="32">
        <f t="shared" si="1"/>
      </c>
      <c r="L606" s="30">
        <f t="shared" si="94"/>
      </c>
      <c r="M606" s="30">
        <f t="shared" si="84"/>
      </c>
      <c r="N606" s="32">
        <f t="shared" si="74"/>
      </c>
      <c r="O606" s="44">
        <v>1</v>
      </c>
      <c r="P606" s="44">
        <f t="shared" si="48"/>
      </c>
      <c r="Q606" s="34">
        <f t="shared" si="56"/>
      </c>
      <c r="R606" s="34">
        <f t="shared" si="38"/>
      </c>
      <c r="S606" s="45" t="s">
        <v>66</v>
      </c>
    </row>
    <row customHeight="true" ht="23.703703703703702" r="607">
      <c r="A607" s="42">
        <v>46093</v>
      </c>
      <c r="B607" s="28" t="s">
        <v>52</v>
      </c>
      <c r="C607" s="28">
        <v>8</v>
      </c>
      <c r="D607" s="43" cm="1">
        <f t="array" ref="D607:D607">_xlfn.XLOOKUP(B607&amp;S607,'除-价格-毛利'!A:A&amp;'除-价格-毛利'!B:B,'除-价格-毛利'!D:D,0)</f>
      </c>
      <c r="E607" s="30">
        <f t="shared" si="66"/>
      </c>
      <c r="F607" s="29" cm="1">
        <f t="array" ref="F607:F607">_xlfn.XLOOKUP(B607&amp;S607,'除-价格-毛利'!A:A&amp;'除-价格-毛利'!B:B,'除-价格-毛利'!C:C,0)</f>
      </c>
      <c r="G607" s="30">
        <f t="shared" si="30"/>
      </c>
      <c r="H607" s="30">
        <v>53.73</v>
      </c>
      <c r="I607" s="30">
        <f t="shared" si="20"/>
      </c>
      <c r="J607" s="30">
        <f t="shared" si="10"/>
      </c>
      <c r="K607" s="32">
        <f t="shared" si="1"/>
      </c>
      <c r="L607" s="30">
        <f>J607*9</f>
      </c>
      <c r="M607" s="30">
        <f>E607*9</f>
      </c>
      <c r="N607" s="32">
        <f t="shared" si="74"/>
      </c>
      <c r="O607" s="44">
        <v>1</v>
      </c>
      <c r="P607" s="44">
        <f t="shared" si="48"/>
      </c>
      <c r="Q607" s="34">
        <f t="shared" si="56"/>
      </c>
      <c r="R607" s="34">
        <f t="shared" si="38"/>
      </c>
      <c r="S607" s="38" t="s">
        <v>72</v>
      </c>
    </row>
    <row customHeight="true" ht="23.703703703703702" r="608">
      <c r="A608" s="42">
        <v>46093</v>
      </c>
      <c r="B608" s="28" t="s">
        <v>27</v>
      </c>
      <c r="C608" s="28">
        <f>SUM(C603:C607)</f>
      </c>
      <c r="D608" s="38"/>
      <c r="E608" s="30">
        <f>SUM(E603:E607)</f>
      </c>
      <c r="F608" s="31">
        <f>SUM(F603:F607)</f>
      </c>
      <c r="G608" s="30"/>
      <c r="H608" s="30"/>
      <c r="I608" s="30"/>
      <c r="J608" s="30">
        <f>SUM(J603:J607)</f>
      </c>
      <c r="K608" s="32">
        <f t="shared" si="1"/>
      </c>
      <c r="L608" s="30">
        <f>SUM(L603:L607)</f>
      </c>
      <c r="M608" s="30">
        <f>SUM(M603:M607)</f>
      </c>
      <c r="N608" s="32"/>
      <c r="O608" s="44">
        <f>SUM(O603:O607)</f>
      </c>
      <c r="P608" s="44">
        <f t="shared" si="48"/>
      </c>
      <c r="Q608" s="34">
        <f t="shared" si="56"/>
      </c>
      <c r="R608" s="34"/>
      <c r="S608" s="38"/>
    </row>
    <row customHeight="true" ht="23.703703703703702" r="609">
      <c r="B609" s="26" t="s">
        <v>54</v>
      </c>
    </row>
    <row customHeight="true" ht="23.703703703703702" r="610">
      <c r="A610" s="20" t="s">
        <v>65</v>
      </c>
      <c r="B610" s="21" t="s">
        <v>28</v>
      </c>
      <c r="C610" s="39" t="s">
        <v>29</v>
      </c>
      <c r="D610" s="21" t="s">
        <v>30</v>
      </c>
      <c r="E610" s="22" t="s">
        <v>31</v>
      </c>
      <c r="F610" s="23" t="s">
        <v>32</v>
      </c>
      <c r="G610" s="22" t="s">
        <v>33</v>
      </c>
      <c r="H610" s="40" t="s">
        <v>34</v>
      </c>
      <c r="I610" s="22" t="s">
        <v>35</v>
      </c>
      <c r="J610" s="22" t="s">
        <v>32</v>
      </c>
      <c r="K610" s="24" t="s">
        <v>36</v>
      </c>
      <c r="L610" s="22" t="s">
        <v>37</v>
      </c>
      <c r="M610" s="22" t="s">
        <v>38</v>
      </c>
      <c r="N610" s="21" t="s">
        <v>39</v>
      </c>
      <c r="O610" s="41" t="s">
        <v>40</v>
      </c>
      <c r="P610" s="25" t="s">
        <v>41</v>
      </c>
      <c r="Q610" s="24" t="s">
        <v>42</v>
      </c>
      <c r="R610" s="24" t="s">
        <v>43</v>
      </c>
      <c r="S610" s="24" t="s">
        <v>56</v>
      </c>
    </row>
    <row customHeight="true" ht="23.703703703703702" r="611">
      <c r="A611" s="42">
        <v>46094</v>
      </c>
      <c r="B611" s="28" t="s">
        <v>46</v>
      </c>
      <c r="C611" s="46">
        <v>96</v>
      </c>
      <c r="D611" s="43" cm="1">
        <f t="array" ref="D611:D611">_xlfn.XLOOKUP(B611&amp;S611,'除-价格-毛利'!A:A&amp;'除-价格-毛利'!B:B,'除-价格-毛利'!D:D,0)</f>
      </c>
      <c r="E611" s="30">
        <f t="shared" ref="E611:E615" si="67">C611*D611</f>
      </c>
      <c r="F611" s="29" cm="1">
        <f t="array" ref="F611:F611">_xlfn.XLOOKUP(B611&amp;S611,'除-价格-毛利'!A:A&amp;'除-价格-毛利'!B:B,'除-价格-毛利'!C:C,0)</f>
      </c>
      <c r="G611" s="30">
        <f t="shared" ref="G611:G615" si="31">C611*8</f>
      </c>
      <c r="H611" s="30">
        <v>19.91</v>
      </c>
      <c r="I611" s="30">
        <f t="shared" ref="I611:I615" si="21">E611*0.025</f>
      </c>
      <c r="J611" s="30">
        <f t="shared" ref="J611:J615" si="11">F611*C611+G611-H611-I611</f>
      </c>
      <c r="K611" s="32">
        <f t="shared" ref="K611:K616" si="2">IFERROR(J611/E611,0)</f>
      </c>
      <c r="L611" s="30">
        <f t="shared" ref="L611:L614" si="95">J611*8</f>
      </c>
      <c r="M611" s="30">
        <f t="shared" ref="M611:M614" si="85">E611*8</f>
      </c>
      <c r="N611" s="32">
        <f t="shared" ref="N611:N615" si="75">IFERROR(H611/E611,0)</f>
      </c>
      <c r="O611" s="44">
        <v>3</v>
      </c>
      <c r="P611" s="44">
        <f t="shared" ref="P611:P616" si="49">C611-O611</f>
      </c>
      <c r="Q611" s="34">
        <f t="shared" ref="Q611:Q616" si="57">IFERROR(O611/C611,0)</f>
      </c>
      <c r="R611" s="34">
        <f t="shared" ref="R611:R615" si="39">IFERROR(H611/(E611*Q611),0)</f>
      </c>
      <c r="S611" s="45" t="s">
        <v>61</v>
      </c>
    </row>
    <row customHeight="true" ht="23.703703703703702" r="612">
      <c r="A612" s="42">
        <v>46094</v>
      </c>
      <c r="B612" s="28" t="s">
        <v>47</v>
      </c>
      <c r="C612" s="28">
        <v>2</v>
      </c>
      <c r="D612" s="43" cm="1">
        <f t="array" ref="D612:D612">_xlfn.XLOOKUP(B612&amp;S612,'除-价格-毛利'!A:A&amp;'除-价格-毛利'!B:B,'除-价格-毛利'!D:D,0)</f>
      </c>
      <c r="E612" s="30">
        <f t="shared" si="67"/>
      </c>
      <c r="F612" s="29" cm="1">
        <f t="array" ref="F612:F612">_xlfn.XLOOKUP(B612&amp;S612,'除-价格-毛利'!A:A&amp;'除-价格-毛利'!B:B,'除-价格-毛利'!C:C,0)</f>
      </c>
      <c r="G612" s="30">
        <f t="shared" si="31"/>
      </c>
      <c r="H612" s="30">
        <v>17.77</v>
      </c>
      <c r="I612" s="30">
        <f t="shared" si="21"/>
      </c>
      <c r="J612" s="30">
        <f t="shared" si="11"/>
      </c>
      <c r="K612" s="32">
        <f t="shared" si="2"/>
      </c>
      <c r="L612" s="30">
        <f t="shared" si="95"/>
      </c>
      <c r="M612" s="30">
        <f t="shared" si="85"/>
      </c>
      <c r="N612" s="32">
        <f t="shared" si="75"/>
      </c>
      <c r="O612" s="44">
        <v>0</v>
      </c>
      <c r="P612" s="44">
        <f t="shared" si="49"/>
      </c>
      <c r="Q612" s="34">
        <f t="shared" si="57"/>
      </c>
      <c r="R612" s="34">
        <f t="shared" si="39"/>
      </c>
      <c r="S612" s="45" t="s">
        <v>57</v>
      </c>
    </row>
    <row customHeight="true" ht="23.703703703703702" r="613">
      <c r="A613" s="42">
        <v>46094</v>
      </c>
      <c r="B613" s="28" t="s">
        <v>49</v>
      </c>
      <c r="C613" s="28">
        <v>2</v>
      </c>
      <c r="D613" s="43" cm="1">
        <f t="array" ref="D613:D613">_xlfn.XLOOKUP(B613&amp;S613,'除-价格-毛利'!A:A&amp;'除-价格-毛利'!B:B,'除-价格-毛利'!D:D,0)</f>
      </c>
      <c r="E613" s="30">
        <f t="shared" si="67"/>
      </c>
      <c r="F613" s="29" cm="1">
        <f t="array" ref="F613:F613">_xlfn.XLOOKUP(B613&amp;S613,'除-价格-毛利'!A:A&amp;'除-价格-毛利'!B:B,'除-价格-毛利'!C:C,0)</f>
      </c>
      <c r="G613" s="30">
        <f t="shared" si="31"/>
      </c>
      <c r="H613" s="30">
        <v>33.41</v>
      </c>
      <c r="I613" s="30">
        <f t="shared" si="21"/>
      </c>
      <c r="J613" s="30">
        <f t="shared" si="11"/>
      </c>
      <c r="K613" s="32">
        <f t="shared" si="2"/>
      </c>
      <c r="L613" s="30">
        <f t="shared" si="95"/>
      </c>
      <c r="M613" s="30">
        <f t="shared" si="85"/>
      </c>
      <c r="N613" s="32">
        <f t="shared" si="75"/>
      </c>
      <c r="O613" s="44">
        <v>0</v>
      </c>
      <c r="P613" s="44">
        <f t="shared" si="49"/>
      </c>
      <c r="Q613" s="34">
        <f t="shared" si="57"/>
      </c>
      <c r="R613" s="34">
        <f t="shared" si="39"/>
      </c>
      <c r="S613" s="45" t="s">
        <v>57</v>
      </c>
    </row>
    <row customHeight="true" ht="23.703703703703702" r="614">
      <c r="A614" s="42">
        <v>46094</v>
      </c>
      <c r="B614" s="28" t="s">
        <v>50</v>
      </c>
      <c r="C614" s="28">
        <v>1</v>
      </c>
      <c r="D614" s="43" cm="1">
        <f t="array" ref="D614:D614">_xlfn.XLOOKUP(B614&amp;S614,'除-价格-毛利'!A:A&amp;'除-价格-毛利'!B:B,'除-价格-毛利'!D:D,0)</f>
      </c>
      <c r="E614" s="30">
        <f t="shared" si="67"/>
      </c>
      <c r="F614" s="29" cm="1">
        <f t="array" ref="F614:F614">_xlfn.XLOOKUP(B614&amp;S614,'除-价格-毛利'!A:A&amp;'除-价格-毛利'!B:B,'除-价格-毛利'!C:C,0)</f>
      </c>
      <c r="G614" s="30">
        <f t="shared" si="31"/>
      </c>
      <c r="H614" s="30">
        <v>17.66</v>
      </c>
      <c r="I614" s="30">
        <f t="shared" si="21"/>
      </c>
      <c r="J614" s="30">
        <f t="shared" si="11"/>
      </c>
      <c r="K614" s="32">
        <f t="shared" si="2"/>
      </c>
      <c r="L614" s="30">
        <f t="shared" si="95"/>
      </c>
      <c r="M614" s="30">
        <f t="shared" si="85"/>
      </c>
      <c r="N614" s="32">
        <f t="shared" si="75"/>
      </c>
      <c r="O614" s="44">
        <v>0</v>
      </c>
      <c r="P614" s="44">
        <f t="shared" si="49"/>
      </c>
      <c r="Q614" s="34">
        <f t="shared" si="57"/>
      </c>
      <c r="R614" s="34">
        <f t="shared" si="39"/>
      </c>
      <c r="S614" s="45" t="s">
        <v>57</v>
      </c>
    </row>
    <row customHeight="true" ht="23.703703703703702" r="615">
      <c r="A615" s="42">
        <v>46094</v>
      </c>
      <c r="B615" s="28" t="s">
        <v>52</v>
      </c>
      <c r="C615" s="28">
        <v>5</v>
      </c>
      <c r="D615" s="43" cm="1">
        <f t="array" ref="D615:D615">_xlfn.XLOOKUP(B615&amp;S615,'除-价格-毛利'!A:A&amp;'除-价格-毛利'!B:B,'除-价格-毛利'!D:D,0)</f>
      </c>
      <c r="E615" s="30">
        <f t="shared" si="67"/>
      </c>
      <c r="F615" s="29" cm="1">
        <f t="array" ref="F615:F615">_xlfn.XLOOKUP(B615&amp;S615,'除-价格-毛利'!A:A&amp;'除-价格-毛利'!B:B,'除-价格-毛利'!C:C,0)</f>
      </c>
      <c r="G615" s="30">
        <f t="shared" si="31"/>
      </c>
      <c r="H615" s="30">
        <v>38.91</v>
      </c>
      <c r="I615" s="30">
        <f t="shared" si="21"/>
      </c>
      <c r="J615" s="30">
        <f t="shared" si="11"/>
      </c>
      <c r="K615" s="32">
        <f t="shared" si="2"/>
      </c>
      <c r="L615" s="30">
        <f>J615*9</f>
      </c>
      <c r="M615" s="30">
        <f>E615*9</f>
      </c>
      <c r="N615" s="32">
        <f t="shared" si="75"/>
      </c>
      <c r="O615" s="44">
        <v>0</v>
      </c>
      <c r="P615" s="44">
        <f t="shared" si="49"/>
      </c>
      <c r="Q615" s="34">
        <f t="shared" si="57"/>
      </c>
      <c r="R615" s="34">
        <f t="shared" si="39"/>
      </c>
      <c r="S615" s="38" t="s">
        <v>72</v>
      </c>
    </row>
    <row customHeight="true" ht="23.703703703703702" r="616">
      <c r="A616" s="42">
        <v>46094</v>
      </c>
      <c r="B616" s="28" t="s">
        <v>27</v>
      </c>
      <c r="C616" s="28">
        <f>SUM(C611:C615)</f>
      </c>
      <c r="D616" s="38"/>
      <c r="E616" s="30">
        <f>SUM(E611:E615)</f>
      </c>
      <c r="F616" s="31">
        <f>SUM(F611:F615)</f>
      </c>
      <c r="G616" s="30"/>
      <c r="H616" s="30"/>
      <c r="I616" s="30"/>
      <c r="J616" s="30">
        <f>SUM(J611:J615)</f>
      </c>
      <c r="K616" s="32">
        <f t="shared" si="2"/>
      </c>
      <c r="L616" s="30">
        <f>SUM(L611:L615)</f>
      </c>
      <c r="M616" s="30">
        <f>SUM(M611:M615)</f>
      </c>
      <c r="N616" s="32"/>
      <c r="O616" s="44">
        <f>SUM(O611:O615)</f>
      </c>
      <c r="P616" s="44">
        <f t="shared" si="49"/>
      </c>
      <c r="Q616" s="34">
        <f t="shared" si="57"/>
      </c>
      <c r="R616" s="34"/>
      <c r="S616" s="38"/>
    </row>
    <row customHeight="true" ht="23.703703703703702" r="617">
      <c r="B617" s="26" t="s">
        <v>54</v>
      </c>
    </row>
    <row customHeight="true" ht="23.703703703703702" r="618">
      <c r="A618" s="20" t="s">
        <v>65</v>
      </c>
      <c r="B618" s="21" t="s">
        <v>28</v>
      </c>
      <c r="C618" s="39" t="s">
        <v>29</v>
      </c>
      <c r="D618" s="21" t="s">
        <v>30</v>
      </c>
      <c r="E618" s="22" t="s">
        <v>31</v>
      </c>
      <c r="F618" s="23" t="s">
        <v>32</v>
      </c>
      <c r="G618" s="22" t="s">
        <v>33</v>
      </c>
      <c r="H618" s="40" t="s">
        <v>34</v>
      </c>
      <c r="I618" s="22" t="s">
        <v>35</v>
      </c>
      <c r="J618" s="22" t="s">
        <v>32</v>
      </c>
      <c r="K618" s="24" t="s">
        <v>36</v>
      </c>
      <c r="L618" s="22" t="s">
        <v>37</v>
      </c>
      <c r="M618" s="22" t="s">
        <v>38</v>
      </c>
      <c r="N618" s="21" t="s">
        <v>39</v>
      </c>
      <c r="O618" s="41" t="s">
        <v>40</v>
      </c>
      <c r="P618" s="25" t="s">
        <v>41</v>
      </c>
      <c r="Q618" s="24" t="s">
        <v>42</v>
      </c>
      <c r="R618" s="24" t="s">
        <v>43</v>
      </c>
      <c r="S618" s="24" t="s">
        <v>56</v>
      </c>
    </row>
    <row customHeight="true" ht="23.703703703703702" r="619">
      <c r="A619" s="42">
        <v>46095</v>
      </c>
      <c r="B619" s="28" t="s">
        <v>46</v>
      </c>
      <c r="C619" s="47">
        <v>110</v>
      </c>
      <c r="D619" s="43" cm="1">
        <f t="array" ref="D619:D619">_xlfn.XLOOKUP(B619&amp;S619,'除-价格-毛利'!A:A&amp;'除-价格-毛利'!B:B,'除-价格-毛利'!D:D,0)</f>
      </c>
      <c r="E619" s="30">
        <f t="shared" ref="E619:E623" si="68">C619*D619</f>
      </c>
      <c r="F619" s="29" cm="1">
        <f t="array" ref="F619:F619">_xlfn.XLOOKUP(B619&amp;S619,'除-价格-毛利'!A:A&amp;'除-价格-毛利'!B:B,'除-价格-毛利'!C:C,0)</f>
      </c>
      <c r="G619" s="30">
        <f t="shared" ref="G619:G623" si="32">C619*8</f>
      </c>
      <c r="H619" s="30">
        <v>37.75</v>
      </c>
      <c r="I619" s="30">
        <f t="shared" ref="I619:I623" si="22">E619*0.025</f>
      </c>
      <c r="J619" s="30">
        <f t="shared" ref="J619:J623" si="12">F619*C619+G619-H619-I619</f>
      </c>
      <c r="K619" s="32">
        <f t="shared" ref="K619:K624" si="3">IFERROR(J619/E619,0)</f>
      </c>
      <c r="L619" s="30">
        <f t="shared" ref="L619:L622" si="96">J619*8</f>
      </c>
      <c r="M619" s="30">
        <f t="shared" ref="M619:M622" si="86">E619*8</f>
      </c>
      <c r="N619" s="32">
        <f t="shared" ref="N619:N623" si="76">IFERROR(H619/E619,0)</f>
      </c>
      <c r="O619" s="44">
        <v>3</v>
      </c>
      <c r="P619" s="44">
        <f t="shared" ref="P619:P624" si="50">C619-O619</f>
      </c>
      <c r="Q619" s="34">
        <f t="shared" ref="Q619:Q624" si="58">IFERROR(O619/C619,0)</f>
      </c>
      <c r="R619" s="34">
        <f t="shared" ref="R619:R623" si="40">IFERROR(H619/(E619*Q619),0)</f>
      </c>
      <c r="S619" s="45" t="s">
        <v>61</v>
      </c>
    </row>
    <row customHeight="true" ht="23.703703703703702" r="620">
      <c r="A620" s="42">
        <v>46095</v>
      </c>
      <c r="B620" s="28" t="s">
        <v>47</v>
      </c>
      <c r="C620" s="28">
        <v>2</v>
      </c>
      <c r="D620" s="43" cm="1">
        <f t="array" ref="D620:D620">_xlfn.XLOOKUP(B620&amp;S620,'除-价格-毛利'!A:A&amp;'除-价格-毛利'!B:B,'除-价格-毛利'!D:D,0)</f>
      </c>
      <c r="E620" s="30">
        <f t="shared" si="68"/>
      </c>
      <c r="F620" s="29" cm="1">
        <f t="array" ref="F620:F620">_xlfn.XLOOKUP(B620&amp;S620,'除-价格-毛利'!A:A&amp;'除-价格-毛利'!B:B,'除-价格-毛利'!C:C,0)</f>
      </c>
      <c r="G620" s="30">
        <f t="shared" si="32"/>
      </c>
      <c r="H620" s="30">
        <v>28.39</v>
      </c>
      <c r="I620" s="30">
        <f t="shared" si="22"/>
      </c>
      <c r="J620" s="30">
        <f t="shared" si="12"/>
      </c>
      <c r="K620" s="32">
        <f t="shared" si="3"/>
      </c>
      <c r="L620" s="30">
        <f t="shared" si="96"/>
      </c>
      <c r="M620" s="30">
        <f t="shared" si="86"/>
      </c>
      <c r="N620" s="32">
        <f t="shared" si="76"/>
      </c>
      <c r="O620" s="44">
        <v>0</v>
      </c>
      <c r="P620" s="44">
        <f t="shared" si="50"/>
      </c>
      <c r="Q620" s="34">
        <f t="shared" si="58"/>
      </c>
      <c r="R620" s="34">
        <f t="shared" si="40"/>
      </c>
      <c r="S620" s="45" t="s">
        <v>57</v>
      </c>
    </row>
    <row customHeight="true" ht="23.703703703703702" r="621">
      <c r="A621" s="42">
        <v>46095</v>
      </c>
      <c r="B621" s="28" t="s">
        <v>49</v>
      </c>
      <c r="C621" s="28">
        <v>4</v>
      </c>
      <c r="D621" s="43" cm="1">
        <f t="array" ref="D621:D621">_xlfn.XLOOKUP(B621&amp;S621,'除-价格-毛利'!A:A&amp;'除-价格-毛利'!B:B,'除-价格-毛利'!D:D,0)</f>
      </c>
      <c r="E621" s="30">
        <f t="shared" si="68"/>
      </c>
      <c r="F621" s="29" cm="1">
        <f t="array" ref="F621:F621">_xlfn.XLOOKUP(B621&amp;S621,'除-价格-毛利'!A:A&amp;'除-价格-毛利'!B:B,'除-价格-毛利'!C:C,0)</f>
      </c>
      <c r="G621" s="30">
        <f t="shared" si="32"/>
      </c>
      <c r="H621" s="30">
        <v>31.69</v>
      </c>
      <c r="I621" s="30">
        <f t="shared" si="22"/>
      </c>
      <c r="J621" s="30">
        <f t="shared" si="12"/>
      </c>
      <c r="K621" s="32">
        <f t="shared" si="3"/>
      </c>
      <c r="L621" s="30">
        <f t="shared" si="96"/>
      </c>
      <c r="M621" s="30">
        <f t="shared" si="86"/>
      </c>
      <c r="N621" s="32">
        <f t="shared" si="76"/>
      </c>
      <c r="O621" s="44">
        <v>2</v>
      </c>
      <c r="P621" s="44">
        <f t="shared" si="50"/>
      </c>
      <c r="Q621" s="34">
        <f t="shared" si="58"/>
      </c>
      <c r="R621" s="34">
        <f t="shared" si="40"/>
      </c>
      <c r="S621" s="45" t="s">
        <v>57</v>
      </c>
    </row>
    <row customHeight="true" ht="23.703703703703702" r="622">
      <c r="A622" s="42">
        <v>46095</v>
      </c>
      <c r="B622" s="28" t="s">
        <v>50</v>
      </c>
      <c r="C622" s="28">
        <v>3</v>
      </c>
      <c r="D622" s="43" cm="1">
        <f t="array" ref="D622:D622">_xlfn.XLOOKUP(B622&amp;S622,'除-价格-毛利'!A:A&amp;'除-价格-毛利'!B:B,'除-价格-毛利'!D:D,0)</f>
      </c>
      <c r="E622" s="30">
        <f t="shared" si="68"/>
      </c>
      <c r="F622" s="29" cm="1">
        <f t="array" ref="F622:F622">_xlfn.XLOOKUP(B622&amp;S622,'除-价格-毛利'!A:A&amp;'除-价格-毛利'!B:B,'除-价格-毛利'!C:C,0)</f>
      </c>
      <c r="G622" s="30">
        <f t="shared" si="32"/>
      </c>
      <c r="H622" s="30">
        <v>41.55</v>
      </c>
      <c r="I622" s="30">
        <f t="shared" si="22"/>
      </c>
      <c r="J622" s="30">
        <f t="shared" si="12"/>
      </c>
      <c r="K622" s="32">
        <f t="shared" si="3"/>
      </c>
      <c r="L622" s="30">
        <f t="shared" si="96"/>
      </c>
      <c r="M622" s="30">
        <f t="shared" si="86"/>
      </c>
      <c r="N622" s="32">
        <f t="shared" si="76"/>
      </c>
      <c r="O622" s="44">
        <v>2</v>
      </c>
      <c r="P622" s="44">
        <f t="shared" si="50"/>
      </c>
      <c r="Q622" s="34">
        <f t="shared" si="58"/>
      </c>
      <c r="R622" s="34">
        <f t="shared" si="40"/>
      </c>
      <c r="S622" s="45" t="s">
        <v>66</v>
      </c>
    </row>
    <row customHeight="true" ht="23.703703703703702" r="623">
      <c r="A623" s="42">
        <v>46095</v>
      </c>
      <c r="B623" s="28" t="s">
        <v>52</v>
      </c>
      <c r="C623" s="47">
        <v>19</v>
      </c>
      <c r="D623" s="43" cm="1">
        <f t="array" ref="D623:D623">_xlfn.XLOOKUP(B623&amp;S623,'除-价格-毛利'!A:A&amp;'除-价格-毛利'!B:B,'除-价格-毛利'!D:D,0)</f>
      </c>
      <c r="E623" s="30">
        <f t="shared" si="68"/>
      </c>
      <c r="F623" s="29" cm="1">
        <f t="array" ref="F623:F623">_xlfn.XLOOKUP(B623&amp;S623,'除-价格-毛利'!A:A&amp;'除-价格-毛利'!B:B,'除-价格-毛利'!C:C,0)</f>
      </c>
      <c r="G623" s="30">
        <f t="shared" si="32"/>
      </c>
      <c r="H623" s="30">
        <v>56.11</v>
      </c>
      <c r="I623" s="30">
        <f t="shared" si="22"/>
      </c>
      <c r="J623" s="30">
        <f t="shared" si="12"/>
      </c>
      <c r="K623" s="32">
        <f t="shared" si="3"/>
      </c>
      <c r="L623" s="30">
        <f>J623*9</f>
      </c>
      <c r="M623" s="30">
        <f>E623*9</f>
      </c>
      <c r="N623" s="32">
        <f t="shared" si="76"/>
      </c>
      <c r="O623" s="44">
        <v>3</v>
      </c>
      <c r="P623" s="44">
        <f t="shared" si="50"/>
      </c>
      <c r="Q623" s="34">
        <f t="shared" si="58"/>
      </c>
      <c r="R623" s="34">
        <f t="shared" si="40"/>
      </c>
      <c r="S623" s="38" t="s">
        <v>72</v>
      </c>
    </row>
    <row customHeight="true" ht="23.703703703703702" r="624">
      <c r="A624" s="42">
        <v>46095</v>
      </c>
      <c r="B624" s="28" t="s">
        <v>27</v>
      </c>
      <c r="C624" s="28">
        <f>SUM(C619:C623)</f>
      </c>
      <c r="D624" s="38"/>
      <c r="E624" s="30">
        <f>SUM(E619:E623)</f>
      </c>
      <c r="F624" s="31">
        <f>SUM(F619:F623)</f>
      </c>
      <c r="G624" s="30"/>
      <c r="H624" s="30"/>
      <c r="I624" s="30"/>
      <c r="J624" s="30">
        <f>SUM(J619:J623)</f>
      </c>
      <c r="K624" s="32">
        <f t="shared" si="3"/>
      </c>
      <c r="L624" s="30">
        <f>SUM(L619:L623)</f>
      </c>
      <c r="M624" s="30">
        <f>SUM(M619:M623)</f>
      </c>
      <c r="N624" s="32"/>
      <c r="O624" s="44">
        <f>SUM(O619:O623)</f>
      </c>
      <c r="P624" s="44">
        <f t="shared" si="50"/>
      </c>
      <c r="Q624" s="34">
        <f t="shared" si="58"/>
      </c>
      <c r="R624" s="34"/>
      <c r="S624" s="38"/>
    </row>
    <row customHeight="true" ht="23.703703703703702" r="625">
      <c r="B625" s="26" t="s">
        <v>54</v>
      </c>
    </row>
    <row customHeight="true" ht="23.703703703703702" r="626">
      <c r="A626" s="20" t="s">
        <v>65</v>
      </c>
      <c r="B626" s="21" t="s">
        <v>28</v>
      </c>
      <c r="C626" s="39" t="s">
        <v>29</v>
      </c>
      <c r="D626" s="21" t="s">
        <v>30</v>
      </c>
      <c r="E626" s="22" t="s">
        <v>31</v>
      </c>
      <c r="F626" s="23" t="s">
        <v>32</v>
      </c>
      <c r="G626" s="22" t="s">
        <v>33</v>
      </c>
      <c r="H626" s="40" t="s">
        <v>34</v>
      </c>
      <c r="I626" s="22" t="s">
        <v>35</v>
      </c>
      <c r="J626" s="22" t="s">
        <v>32</v>
      </c>
      <c r="K626" s="24" t="s">
        <v>36</v>
      </c>
      <c r="L626" s="22" t="s">
        <v>37</v>
      </c>
      <c r="M626" s="22" t="s">
        <v>38</v>
      </c>
      <c r="N626" s="21" t="s">
        <v>39</v>
      </c>
      <c r="O626" s="41" t="s">
        <v>40</v>
      </c>
      <c r="P626" s="25" t="s">
        <v>41</v>
      </c>
      <c r="Q626" s="24" t="s">
        <v>42</v>
      </c>
      <c r="R626" s="24" t="s">
        <v>43</v>
      </c>
      <c r="S626" s="24" t="s">
        <v>56</v>
      </c>
    </row>
    <row customHeight="true" ht="23.703703703703702" r="627">
      <c r="A627" s="42">
        <v>46096</v>
      </c>
      <c r="B627" s="28" t="s">
        <v>46</v>
      </c>
      <c r="C627" s="47">
        <v>99</v>
      </c>
      <c r="D627" s="43" cm="1">
        <f t="array" ref="D627:D627">_xlfn.XLOOKUP(B627&amp;S627,'除-价格-毛利'!A:A&amp;'除-价格-毛利'!B:B,'除-价格-毛利'!D:D,0)</f>
      </c>
      <c r="E627" s="30">
        <f t="shared" ref="E627:E631" si="69">C627*D627</f>
      </c>
      <c r="F627" s="29" cm="1">
        <f t="array" ref="F627:F627">_xlfn.XLOOKUP(B627&amp;S627,'除-价格-毛利'!A:A&amp;'除-价格-毛利'!B:B,'除-价格-毛利'!C:C,0)</f>
      </c>
      <c r="G627" s="30">
        <f t="shared" ref="G627:G631" si="33">C627*8</f>
      </c>
      <c r="H627" s="30">
        <v>52.41</v>
      </c>
      <c r="I627" s="30">
        <f t="shared" ref="I627:I631" si="23">E627*0.025</f>
      </c>
      <c r="J627" s="30">
        <f t="shared" ref="J627:J631" si="13">F627*C627+G627-H627-I627</f>
      </c>
      <c r="K627" s="32">
        <f t="shared" ref="K627:K632" si="4">IFERROR(J627/E627,0)</f>
      </c>
      <c r="L627" s="30">
        <f t="shared" ref="L627:L630" si="97">J627*8</f>
      </c>
      <c r="M627" s="30">
        <f t="shared" ref="M627:M630" si="87">E627*8</f>
      </c>
      <c r="N627" s="32">
        <f t="shared" ref="N627:N631" si="77">IFERROR(H627/E627,0)</f>
      </c>
      <c r="O627" s="44">
        <v>5</v>
      </c>
      <c r="P627" s="44">
        <f t="shared" ref="P627:P632" si="51">C627-O627</f>
      </c>
      <c r="Q627" s="34">
        <f t="shared" ref="Q627:Q632" si="59">IFERROR(O627/C627,0)</f>
      </c>
      <c r="R627" s="34">
        <f t="shared" ref="R627:R631" si="41">IFERROR(H627/(E627*Q627),0)</f>
      </c>
      <c r="S627" s="45" t="s">
        <v>61</v>
      </c>
    </row>
    <row customHeight="true" ht="23.703703703703702" r="628">
      <c r="A628" s="42">
        <v>46096</v>
      </c>
      <c r="B628" s="28" t="s">
        <v>47</v>
      </c>
      <c r="C628" s="47">
        <v>22</v>
      </c>
      <c r="D628" s="43" cm="1">
        <f t="array" ref="D628:D628">_xlfn.XLOOKUP(B628&amp;S628,'除-价格-毛利'!A:A&amp;'除-价格-毛利'!B:B,'除-价格-毛利'!D:D,0)</f>
      </c>
      <c r="E628" s="30">
        <f t="shared" si="69"/>
      </c>
      <c r="F628" s="29" cm="1">
        <f t="array" ref="F628:F628">_xlfn.XLOOKUP(B628&amp;S628,'除-价格-毛利'!A:A&amp;'除-价格-毛利'!B:B,'除-价格-毛利'!C:C,0)</f>
      </c>
      <c r="G628" s="30">
        <f t="shared" si="33"/>
      </c>
      <c r="H628" s="30">
        <v>25.15</v>
      </c>
      <c r="I628" s="30">
        <f t="shared" si="23"/>
      </c>
      <c r="J628" s="30">
        <f t="shared" si="13"/>
      </c>
      <c r="K628" s="32">
        <f t="shared" si="4"/>
      </c>
      <c r="L628" s="30">
        <f t="shared" si="97"/>
      </c>
      <c r="M628" s="30">
        <f t="shared" si="87"/>
      </c>
      <c r="N628" s="32">
        <f t="shared" si="77"/>
      </c>
      <c r="O628" s="44">
        <v>0</v>
      </c>
      <c r="P628" s="44">
        <f t="shared" si="51"/>
      </c>
      <c r="Q628" s="34">
        <f t="shared" si="59"/>
      </c>
      <c r="R628" s="34">
        <f t="shared" si="41"/>
      </c>
      <c r="S628" s="45" t="s">
        <v>57</v>
      </c>
    </row>
    <row customHeight="true" ht="23.703703703703702" r="629">
      <c r="A629" s="42">
        <v>46096</v>
      </c>
      <c r="B629" s="28" t="s">
        <v>49</v>
      </c>
      <c r="C629" s="47">
        <v>24</v>
      </c>
      <c r="D629" s="43" cm="1">
        <f t="array" ref="D629:D629">_xlfn.XLOOKUP(B629&amp;S629,'除-价格-毛利'!A:A&amp;'除-价格-毛利'!B:B,'除-价格-毛利'!D:D,0)</f>
      </c>
      <c r="E629" s="30">
        <f t="shared" si="69"/>
      </c>
      <c r="F629" s="29" cm="1">
        <f t="array" ref="F629:F629">_xlfn.XLOOKUP(B629&amp;S629,'除-价格-毛利'!A:A&amp;'除-价格-毛利'!B:B,'除-价格-毛利'!C:C,0)</f>
      </c>
      <c r="G629" s="30">
        <f t="shared" si="33"/>
      </c>
      <c r="H629" s="30">
        <v>39.97</v>
      </c>
      <c r="I629" s="30">
        <f t="shared" si="23"/>
      </c>
      <c r="J629" s="30">
        <f t="shared" si="13"/>
      </c>
      <c r="K629" s="32">
        <f t="shared" si="4"/>
      </c>
      <c r="L629" s="30">
        <f t="shared" si="97"/>
      </c>
      <c r="M629" s="30">
        <f t="shared" si="87"/>
      </c>
      <c r="N629" s="32">
        <f t="shared" si="77"/>
      </c>
      <c r="O629" s="44">
        <v>0</v>
      </c>
      <c r="P629" s="44">
        <f t="shared" si="51"/>
      </c>
      <c r="Q629" s="34">
        <f t="shared" si="59"/>
      </c>
      <c r="R629" s="34">
        <f t="shared" si="41"/>
      </c>
      <c r="S629" s="45" t="s">
        <v>57</v>
      </c>
    </row>
    <row customHeight="true" ht="23.703703703703702" r="630">
      <c r="A630" s="42">
        <v>46096</v>
      </c>
      <c r="B630" s="28" t="s">
        <v>50</v>
      </c>
      <c r="C630" s="47">
        <v>25</v>
      </c>
      <c r="D630" s="43" cm="1">
        <f t="array" ref="D630:D630">_xlfn.XLOOKUP(B630&amp;S630,'除-价格-毛利'!A:A&amp;'除-价格-毛利'!B:B,'除-价格-毛利'!D:D,0)</f>
      </c>
      <c r="E630" s="30">
        <f t="shared" si="69"/>
      </c>
      <c r="F630" s="29" cm="1">
        <f t="array" ref="F630:F630">_xlfn.XLOOKUP(B630&amp;S630,'除-价格-毛利'!A:A&amp;'除-价格-毛利'!B:B,'除-价格-毛利'!C:C,0)</f>
      </c>
      <c r="G630" s="30">
        <f t="shared" si="33"/>
      </c>
      <c r="H630" s="30">
        <v>62.23</v>
      </c>
      <c r="I630" s="30">
        <f t="shared" si="23"/>
      </c>
      <c r="J630" s="30">
        <f t="shared" si="13"/>
      </c>
      <c r="K630" s="32">
        <f t="shared" si="4"/>
      </c>
      <c r="L630" s="30">
        <f t="shared" si="97"/>
      </c>
      <c r="M630" s="30">
        <f t="shared" si="87"/>
      </c>
      <c r="N630" s="32">
        <f t="shared" si="77"/>
      </c>
      <c r="O630" s="44">
        <v>3</v>
      </c>
      <c r="P630" s="44">
        <f t="shared" si="51"/>
      </c>
      <c r="Q630" s="34">
        <f t="shared" si="59"/>
      </c>
      <c r="R630" s="34">
        <f t="shared" si="41"/>
      </c>
      <c r="S630" s="45" t="s">
        <v>57</v>
      </c>
    </row>
    <row customHeight="true" ht="23.703703703703702" r="631">
      <c r="A631" s="42">
        <v>46096</v>
      </c>
      <c r="B631" s="28" t="s">
        <v>52</v>
      </c>
      <c r="C631" s="47">
        <v>13</v>
      </c>
      <c r="D631" s="43" cm="1">
        <f t="array" ref="D631:D631">_xlfn.XLOOKUP(B631&amp;S631,'除-价格-毛利'!A:A&amp;'除-价格-毛利'!B:B,'除-价格-毛利'!D:D,0)</f>
      </c>
      <c r="E631" s="30">
        <f t="shared" si="69"/>
      </c>
      <c r="F631" s="29" cm="1">
        <f t="array" ref="F631:F631">_xlfn.XLOOKUP(B631&amp;S631,'除-价格-毛利'!A:A&amp;'除-价格-毛利'!B:B,'除-价格-毛利'!C:C,0)</f>
      </c>
      <c r="G631" s="30">
        <f t="shared" si="33"/>
      </c>
      <c r="H631" s="30">
        <v>51.01</v>
      </c>
      <c r="I631" s="30">
        <f t="shared" si="23"/>
      </c>
      <c r="J631" s="30">
        <f t="shared" si="13"/>
      </c>
      <c r="K631" s="32">
        <f t="shared" si="4"/>
      </c>
      <c r="L631" s="30">
        <f>J631*9</f>
      </c>
      <c r="M631" s="30">
        <f>E631*9</f>
      </c>
      <c r="N631" s="32">
        <f t="shared" si="77"/>
      </c>
      <c r="O631" s="44">
        <v>0</v>
      </c>
      <c r="P631" s="44">
        <f t="shared" si="51"/>
      </c>
      <c r="Q631" s="34">
        <f t="shared" si="59"/>
      </c>
      <c r="R631" s="34">
        <f t="shared" si="41"/>
      </c>
      <c r="S631" s="45" t="s">
        <v>57</v>
      </c>
    </row>
    <row customHeight="true" ht="23.703703703703702" r="632">
      <c r="A632" s="42">
        <v>46096</v>
      </c>
      <c r="B632" s="28" t="s">
        <v>27</v>
      </c>
      <c r="C632" s="28">
        <f>SUM(C627:C631)</f>
      </c>
      <c r="D632" s="38"/>
      <c r="E632" s="30">
        <f>SUM(E627:E631)</f>
      </c>
      <c r="F632" s="31">
        <f>SUM(F627:F631)</f>
      </c>
      <c r="G632" s="30"/>
      <c r="H632" s="30"/>
      <c r="I632" s="30"/>
      <c r="J632" s="30">
        <f>SUM(J627:J631)</f>
      </c>
      <c r="K632" s="32">
        <f t="shared" si="4"/>
      </c>
      <c r="L632" s="30">
        <f>SUM(L627:L631)</f>
      </c>
      <c r="M632" s="30">
        <f>SUM(M627:M631)</f>
      </c>
      <c r="N632" s="32"/>
      <c r="O632" s="44">
        <f>SUM(O627:O631)</f>
      </c>
      <c r="P632" s="44">
        <f t="shared" si="51"/>
      </c>
      <c r="Q632" s="34">
        <f t="shared" si="59"/>
      </c>
      <c r="R632" s="34"/>
      <c r="S632" s="38"/>
    </row>
    <row customHeight="true" ht="23.703703703703702" r="633">
      <c r="B633" s="26" t="s">
        <v>54</v>
      </c>
    </row>
    <row customHeight="true" ht="23.703703703703702" r="634">
      <c r="A634" s="20" t="s">
        <v>65</v>
      </c>
      <c r="B634" s="21" t="s">
        <v>28</v>
      </c>
      <c r="C634" s="39" t="s">
        <v>29</v>
      </c>
      <c r="D634" s="21" t="s">
        <v>30</v>
      </c>
      <c r="E634" s="22" t="s">
        <v>31</v>
      </c>
      <c r="F634" s="23" t="s">
        <v>32</v>
      </c>
      <c r="G634" s="22" t="s">
        <v>33</v>
      </c>
      <c r="H634" s="40" t="s">
        <v>34</v>
      </c>
      <c r="I634" s="22" t="s">
        <v>35</v>
      </c>
      <c r="J634" s="22" t="s">
        <v>32</v>
      </c>
      <c r="K634" s="24" t="s">
        <v>36</v>
      </c>
      <c r="L634" s="22" t="s">
        <v>37</v>
      </c>
      <c r="M634" s="22" t="s">
        <v>38</v>
      </c>
      <c r="N634" s="21" t="s">
        <v>39</v>
      </c>
      <c r="O634" s="41" t="s">
        <v>40</v>
      </c>
      <c r="P634" s="25" t="s">
        <v>41</v>
      </c>
      <c r="Q634" s="24" t="s">
        <v>42</v>
      </c>
      <c r="R634" s="24" t="s">
        <v>43</v>
      </c>
      <c r="S634" s="24" t="s">
        <v>56</v>
      </c>
    </row>
    <row customHeight="true" ht="23.703703703703702" r="635">
      <c r="A635" s="42">
        <v>46097</v>
      </c>
      <c r="B635" s="28" t="s">
        <v>46</v>
      </c>
      <c r="C635" s="28">
        <v>20</v>
      </c>
      <c r="D635" s="43" cm="1">
        <f t="array" ref="D635:D635">_xlfn.XLOOKUP(B635&amp;S635,'除-价格-毛利'!A:A&amp;'除-价格-毛利'!B:B,'除-价格-毛利'!D:D,0)</f>
      </c>
      <c r="E635" s="30">
        <f t="shared" ref="E635:E639" si="70">C635*D635</f>
      </c>
      <c r="F635" s="29" cm="1">
        <f t="array" ref="F635:F635">_xlfn.XLOOKUP(B635&amp;S635,'除-价格-毛利'!A:A&amp;'除-价格-毛利'!B:B,'除-价格-毛利'!C:C,0)</f>
      </c>
      <c r="G635" s="30">
        <f t="shared" ref="G635:G639" si="34">C635*8</f>
      </c>
      <c r="H635" s="30">
        <v>19.08</v>
      </c>
      <c r="I635" s="30">
        <f t="shared" ref="I635:I639" si="24">E635*0.025</f>
      </c>
      <c r="J635" s="30">
        <f t="shared" ref="J635:J639" si="14">F635*C635+G635-H635-I635</f>
      </c>
      <c r="K635" s="32">
        <f t="shared" ref="K635:K640" si="5">IFERROR(J635/E635,0)</f>
      </c>
      <c r="L635" s="30">
        <f t="shared" ref="L635:L638" si="98">J635*8</f>
      </c>
      <c r="M635" s="30">
        <f t="shared" ref="M635:M638" si="88">E635*8</f>
      </c>
      <c r="N635" s="32">
        <f t="shared" ref="N635:N639" si="78">IFERROR(H635/E635,0)</f>
      </c>
      <c r="O635" s="44">
        <v>2</v>
      </c>
      <c r="P635" s="44">
        <f t="shared" ref="P635:P640" si="52">C635-O635</f>
      </c>
      <c r="Q635" s="34">
        <f t="shared" ref="Q635:Q640" si="60">IFERROR(O635/C635,0)</f>
      </c>
      <c r="R635" s="34">
        <f t="shared" ref="R635:R639" si="42">IFERROR(H635/(E635*Q635),0)</f>
      </c>
      <c r="S635" s="45" t="s">
        <v>61</v>
      </c>
    </row>
    <row customHeight="true" ht="23.703703703703702" r="636">
      <c r="A636" s="42">
        <v>46097</v>
      </c>
      <c r="B636" s="28" t="s">
        <v>47</v>
      </c>
      <c r="C636" s="28">
        <v>3</v>
      </c>
      <c r="D636" s="43" cm="1">
        <f t="array" ref="D636:D636">_xlfn.XLOOKUP(B636&amp;S636,'除-价格-毛利'!A:A&amp;'除-价格-毛利'!B:B,'除-价格-毛利'!D:D,0)</f>
      </c>
      <c r="E636" s="30">
        <f t="shared" si="70"/>
      </c>
      <c r="F636" s="29" cm="1">
        <f t="array" ref="F636:F636">_xlfn.XLOOKUP(B636&amp;S636,'除-价格-毛利'!A:A&amp;'除-价格-毛利'!B:B,'除-价格-毛利'!C:C,0)</f>
      </c>
      <c r="G636" s="30">
        <f t="shared" si="34"/>
      </c>
      <c r="H636" s="30">
        <v>22.9</v>
      </c>
      <c r="I636" s="30">
        <f t="shared" si="24"/>
      </c>
      <c r="J636" s="30">
        <f t="shared" si="14"/>
      </c>
      <c r="K636" s="32">
        <f t="shared" si="5"/>
      </c>
      <c r="L636" s="30">
        <f t="shared" si="98"/>
      </c>
      <c r="M636" s="30">
        <f t="shared" si="88"/>
      </c>
      <c r="N636" s="32">
        <f t="shared" si="78"/>
      </c>
      <c r="O636" s="44">
        <v>1</v>
      </c>
      <c r="P636" s="44">
        <f t="shared" si="52"/>
      </c>
      <c r="Q636" s="34">
        <f t="shared" si="60"/>
      </c>
      <c r="R636" s="34">
        <f t="shared" si="42"/>
      </c>
      <c r="S636" s="45" t="s">
        <v>57</v>
      </c>
    </row>
    <row customHeight="true" ht="23.703703703703702" r="637">
      <c r="A637" s="42">
        <v>46097</v>
      </c>
      <c r="B637" s="28" t="s">
        <v>49</v>
      </c>
      <c r="C637" s="28">
        <v>6</v>
      </c>
      <c r="D637" s="43" cm="1">
        <f t="array" ref="D637:D637">_xlfn.XLOOKUP(B637&amp;S637,'除-价格-毛利'!A:A&amp;'除-价格-毛利'!B:B,'除-价格-毛利'!D:D,0)</f>
      </c>
      <c r="E637" s="30">
        <f t="shared" si="70"/>
      </c>
      <c r="F637" s="29" cm="1">
        <f t="array" ref="F637:F637">_xlfn.XLOOKUP(B637&amp;S637,'除-价格-毛利'!A:A&amp;'除-价格-毛利'!B:B,'除-价格-毛利'!C:C,0)</f>
      </c>
      <c r="G637" s="30">
        <f t="shared" si="34"/>
      </c>
      <c r="H637" s="30">
        <v>31.71</v>
      </c>
      <c r="I637" s="30">
        <f t="shared" si="24"/>
      </c>
      <c r="J637" s="30">
        <f t="shared" si="14"/>
      </c>
      <c r="K637" s="32">
        <f t="shared" si="5"/>
      </c>
      <c r="L637" s="30">
        <f t="shared" si="98"/>
      </c>
      <c r="M637" s="30">
        <f t="shared" si="88"/>
      </c>
      <c r="N637" s="32">
        <f t="shared" si="78"/>
      </c>
      <c r="O637" s="44">
        <v>1</v>
      </c>
      <c r="P637" s="44">
        <f t="shared" si="52"/>
      </c>
      <c r="Q637" s="34">
        <f t="shared" si="60"/>
      </c>
      <c r="R637" s="34">
        <f t="shared" si="42"/>
      </c>
      <c r="S637" s="45" t="s">
        <v>57</v>
      </c>
    </row>
    <row customHeight="true" ht="23.703703703703702" r="638">
      <c r="A638" s="42">
        <v>46097</v>
      </c>
      <c r="B638" s="28" t="s">
        <v>50</v>
      </c>
      <c r="C638" s="28">
        <v>5</v>
      </c>
      <c r="D638" s="43" cm="1">
        <f t="array" ref="D638:D638">_xlfn.XLOOKUP(B638&amp;S638,'除-价格-毛利'!A:A&amp;'除-价格-毛利'!B:B,'除-价格-毛利'!D:D,0)</f>
      </c>
      <c r="E638" s="30">
        <f t="shared" si="70"/>
      </c>
      <c r="F638" s="29" cm="1">
        <f t="array" ref="F638:F638">_xlfn.XLOOKUP(B638&amp;S638,'除-价格-毛利'!A:A&amp;'除-价格-毛利'!B:B,'除-价格-毛利'!C:C,0)</f>
      </c>
      <c r="G638" s="30">
        <f t="shared" si="34"/>
      </c>
      <c r="H638" s="30">
        <v>34.17</v>
      </c>
      <c r="I638" s="30">
        <f t="shared" si="24"/>
      </c>
      <c r="J638" s="30">
        <f t="shared" si="14"/>
      </c>
      <c r="K638" s="32">
        <f t="shared" si="5"/>
      </c>
      <c r="L638" s="30">
        <f t="shared" si="98"/>
      </c>
      <c r="M638" s="30">
        <f t="shared" si="88"/>
      </c>
      <c r="N638" s="32">
        <f t="shared" si="78"/>
      </c>
      <c r="O638" s="44">
        <v>1</v>
      </c>
      <c r="P638" s="44">
        <f t="shared" si="52"/>
      </c>
      <c r="Q638" s="34">
        <f t="shared" si="60"/>
      </c>
      <c r="R638" s="34">
        <f t="shared" si="42"/>
      </c>
      <c r="S638" s="45" t="s">
        <v>57</v>
      </c>
    </row>
    <row customHeight="true" ht="23.703703703703702" r="639">
      <c r="A639" s="42">
        <v>46097</v>
      </c>
      <c r="B639" s="28" t="s">
        <v>52</v>
      </c>
      <c r="C639" s="28">
        <v>2</v>
      </c>
      <c r="D639" s="43" cm="1">
        <f t="array" ref="D639:D639">_xlfn.XLOOKUP(B639&amp;S639,'除-价格-毛利'!A:A&amp;'除-价格-毛利'!B:B,'除-价格-毛利'!D:D,0)</f>
      </c>
      <c r="E639" s="30">
        <f t="shared" si="70"/>
      </c>
      <c r="F639" s="29" cm="1">
        <f t="array" ref="F639:F639">_xlfn.XLOOKUP(B639&amp;S639,'除-价格-毛利'!A:A&amp;'除-价格-毛利'!B:B,'除-价格-毛利'!C:C,0)</f>
      </c>
      <c r="G639" s="30">
        <f t="shared" si="34"/>
      </c>
      <c r="H639" s="30">
        <v>10.22</v>
      </c>
      <c r="I639" s="30">
        <f t="shared" si="24"/>
      </c>
      <c r="J639" s="30">
        <f t="shared" si="14"/>
      </c>
      <c r="K639" s="32">
        <f t="shared" si="5"/>
      </c>
      <c r="L639" s="30">
        <f>J639*9</f>
      </c>
      <c r="M639" s="30">
        <f>E639*9</f>
      </c>
      <c r="N639" s="32">
        <f t="shared" si="78"/>
      </c>
      <c r="O639" s="44">
        <v>1</v>
      </c>
      <c r="P639" s="44">
        <f t="shared" si="52"/>
      </c>
      <c r="Q639" s="34">
        <f t="shared" si="60"/>
      </c>
      <c r="R639" s="34">
        <f t="shared" si="42"/>
      </c>
      <c r="S639" s="45" t="s">
        <v>57</v>
      </c>
    </row>
    <row customHeight="true" ht="23.703703703703702" r="640">
      <c r="A640" s="42">
        <v>46097</v>
      </c>
      <c r="B640" s="28" t="s">
        <v>27</v>
      </c>
      <c r="C640" s="28">
        <f>SUM(C635:C639)</f>
      </c>
      <c r="D640" s="38"/>
      <c r="E640" s="30">
        <f>SUM(E635:E639)</f>
      </c>
      <c r="F640" s="31">
        <f>SUM(F635:F639)</f>
      </c>
      <c r="G640" s="30"/>
      <c r="H640" s="30"/>
      <c r="I640" s="30"/>
      <c r="J640" s="30">
        <f>SUM(J635:J639)</f>
      </c>
      <c r="K640" s="32">
        <f t="shared" si="5"/>
      </c>
      <c r="L640" s="30">
        <f>SUM(L635:L639)</f>
      </c>
      <c r="M640" s="30">
        <f>SUM(M635:M639)</f>
      </c>
      <c r="N640" s="32"/>
      <c r="O640" s="44">
        <f>SUM(O635:O639)</f>
      </c>
      <c r="P640" s="44">
        <f t="shared" si="52"/>
      </c>
      <c r="Q640" s="34">
        <f t="shared" si="60"/>
      </c>
      <c r="R640" s="34"/>
      <c r="S640" s="38"/>
    </row>
    <row customHeight="true" ht="23.703703703703702" r="641">
      <c r="B641" s="26" t="s">
        <v>54</v>
      </c>
    </row>
    <row customHeight="true" ht="23.703703703703702" r="642">
      <c r="A642" s="20" t="s">
        <v>65</v>
      </c>
      <c r="B642" s="21" t="s">
        <v>28</v>
      </c>
      <c r="C642" s="39" t="s">
        <v>29</v>
      </c>
      <c r="D642" s="21" t="s">
        <v>30</v>
      </c>
      <c r="E642" s="22" t="s">
        <v>31</v>
      </c>
      <c r="F642" s="23" t="s">
        <v>32</v>
      </c>
      <c r="G642" s="22" t="s">
        <v>33</v>
      </c>
      <c r="H642" s="40" t="s">
        <v>34</v>
      </c>
      <c r="I642" s="22" t="s">
        <v>35</v>
      </c>
      <c r="J642" s="22" t="s">
        <v>32</v>
      </c>
      <c r="K642" s="24" t="s">
        <v>36</v>
      </c>
      <c r="L642" s="22" t="s">
        <v>37</v>
      </c>
      <c r="M642" s="22" t="s">
        <v>38</v>
      </c>
      <c r="N642" s="21" t="s">
        <v>39</v>
      </c>
      <c r="O642" s="41" t="s">
        <v>40</v>
      </c>
      <c r="P642" s="25" t="s">
        <v>41</v>
      </c>
      <c r="Q642" s="24" t="s">
        <v>42</v>
      </c>
      <c r="R642" s="24" t="s">
        <v>43</v>
      </c>
      <c r="S642" s="24" t="s">
        <v>56</v>
      </c>
    </row>
    <row customHeight="true" ht="23.703703703703702" r="643">
      <c r="A643" s="42">
        <v>46098</v>
      </c>
      <c r="B643" s="28" t="s">
        <v>46</v>
      </c>
      <c r="C643" s="47">
        <v>133</v>
      </c>
      <c r="D643" s="43" cm="1">
        <f t="array" ref="D643:D643">_xlfn.XLOOKUP(B643&amp;S643,'除-价格-毛利'!A:A&amp;'除-价格-毛利'!B:B,'除-价格-毛利'!D:D,0)</f>
      </c>
      <c r="E643" s="30">
        <f t="shared" ref="E643:E647" si="71">C643*D643</f>
      </c>
      <c r="F643" s="29" cm="1">
        <f t="array" ref="F643:F643">_xlfn.XLOOKUP(B643&amp;S643,'除-价格-毛利'!A:A&amp;'除-价格-毛利'!B:B,'除-价格-毛利'!C:C,0)</f>
      </c>
      <c r="G643" s="30">
        <f t="shared" ref="G643:G647" si="35">C643*8</f>
      </c>
      <c r="H643" s="30">
        <v>233.86</v>
      </c>
      <c r="I643" s="30">
        <f t="shared" ref="I643:I647" si="25">E643*0.025</f>
      </c>
      <c r="J643" s="30">
        <f t="shared" ref="J643:J647" si="15">F643*C643+G643-H643-I643</f>
      </c>
      <c r="K643" s="32">
        <f t="shared" ref="K643:K648" si="6">IFERROR(J643/E643,0)</f>
      </c>
      <c r="L643" s="30">
        <f t="shared" ref="L643:L646" si="99">J643*8</f>
      </c>
      <c r="M643" s="30">
        <f t="shared" ref="M643:M646" si="89">E643*8</f>
      </c>
      <c r="N643" s="32">
        <f t="shared" ref="N643:N647" si="79">IFERROR(H643/E643,0)</f>
      </c>
      <c r="O643" s="44">
        <v>20</v>
      </c>
      <c r="P643" s="44">
        <f t="shared" ref="P643:P648" si="53">C643-O643</f>
      </c>
      <c r="Q643" s="34">
        <f t="shared" ref="Q643:Q648" si="61">IFERROR(O643/C643,0)</f>
      </c>
      <c r="R643" s="34">
        <f t="shared" ref="R643:R647" si="43">IFERROR(H643/(E643*Q643),0)</f>
      </c>
      <c r="S643" s="45" t="s">
        <v>74</v>
      </c>
    </row>
    <row customHeight="true" ht="23.703703703703702" r="644">
      <c r="A644" s="42">
        <v>46098</v>
      </c>
      <c r="B644" s="28" t="s">
        <v>47</v>
      </c>
      <c r="C644" s="28">
        <v>8</v>
      </c>
      <c r="D644" s="43" cm="1">
        <f t="array" ref="D644:D644">_xlfn.XLOOKUP(B644&amp;S644,'除-价格-毛利'!A:A&amp;'除-价格-毛利'!B:B,'除-价格-毛利'!D:D,0)</f>
      </c>
      <c r="E644" s="30">
        <f t="shared" si="71"/>
      </c>
      <c r="F644" s="29" cm="1">
        <f t="array" ref="F644:F644">_xlfn.XLOOKUP(B644&amp;S644,'除-价格-毛利'!A:A&amp;'除-价格-毛利'!B:B,'除-价格-毛利'!C:C,0)</f>
      </c>
      <c r="G644" s="30">
        <f t="shared" si="35"/>
      </c>
      <c r="H644" s="30">
        <v>28.87</v>
      </c>
      <c r="I644" s="30">
        <f t="shared" si="25"/>
      </c>
      <c r="J644" s="30">
        <f t="shared" si="15"/>
      </c>
      <c r="K644" s="32">
        <f t="shared" si="6"/>
      </c>
      <c r="L644" s="30">
        <f t="shared" si="99"/>
      </c>
      <c r="M644" s="30">
        <f t="shared" si="89"/>
      </c>
      <c r="N644" s="32">
        <f t="shared" si="79"/>
      </c>
      <c r="O644" s="44">
        <v>5</v>
      </c>
      <c r="P644" s="44">
        <f t="shared" si="53"/>
      </c>
      <c r="Q644" s="34">
        <f t="shared" si="61"/>
      </c>
      <c r="R644" s="34">
        <f t="shared" si="43"/>
      </c>
      <c r="S644" s="45" t="s">
        <v>75</v>
      </c>
    </row>
    <row customHeight="true" ht="23.703703703703702" r="645">
      <c r="A645" s="42">
        <v>46098</v>
      </c>
      <c r="B645" s="28" t="s">
        <v>49</v>
      </c>
      <c r="C645" s="28">
        <v>4</v>
      </c>
      <c r="D645" s="43" cm="1">
        <f t="array" ref="D645:D645">_xlfn.XLOOKUP(B645&amp;S645,'除-价格-毛利'!A:A&amp;'除-价格-毛利'!B:B,'除-价格-毛利'!D:D,0)</f>
      </c>
      <c r="E645" s="30">
        <f t="shared" si="71"/>
      </c>
      <c r="F645" s="29" cm="1">
        <f t="array" ref="F645:F645">_xlfn.XLOOKUP(B645&amp;S645,'除-价格-毛利'!A:A&amp;'除-价格-毛利'!B:B,'除-价格-毛利'!C:C,0)</f>
      </c>
      <c r="G645" s="30">
        <f t="shared" si="35"/>
      </c>
      <c r="H645" s="30">
        <v>51.62</v>
      </c>
      <c r="I645" s="30">
        <f t="shared" si="25"/>
      </c>
      <c r="J645" s="30">
        <f t="shared" si="15"/>
      </c>
      <c r="K645" s="32">
        <f t="shared" si="6"/>
      </c>
      <c r="L645" s="30">
        <f t="shared" si="99"/>
      </c>
      <c r="M645" s="30">
        <f t="shared" si="89"/>
      </c>
      <c r="N645" s="32">
        <f t="shared" si="79"/>
      </c>
      <c r="O645" s="44">
        <v>3</v>
      </c>
      <c r="P645" s="44">
        <f t="shared" si="53"/>
      </c>
      <c r="Q645" s="34">
        <f t="shared" si="61"/>
      </c>
      <c r="R645" s="34">
        <f t="shared" si="43"/>
      </c>
      <c r="S645" s="45" t="s">
        <v>57</v>
      </c>
    </row>
    <row customHeight="true" ht="23.703703703703702" r="646">
      <c r="A646" s="42">
        <v>46098</v>
      </c>
      <c r="B646" s="28" t="s">
        <v>50</v>
      </c>
      <c r="C646" s="28">
        <v>7</v>
      </c>
      <c r="D646" s="43" cm="1">
        <f t="array" ref="D646:D646">_xlfn.XLOOKUP(B646&amp;S646,'除-价格-毛利'!A:A&amp;'除-价格-毛利'!B:B,'除-价格-毛利'!D:D,0)</f>
      </c>
      <c r="E646" s="30">
        <f t="shared" si="71"/>
      </c>
      <c r="F646" s="29" cm="1">
        <f t="array" ref="F646:F646">_xlfn.XLOOKUP(B646&amp;S646,'除-价格-毛利'!A:A&amp;'除-价格-毛利'!B:B,'除-价格-毛利'!C:C,0)</f>
      </c>
      <c r="G646" s="30">
        <f t="shared" si="35"/>
      </c>
      <c r="H646" s="30">
        <v>42.42</v>
      </c>
      <c r="I646" s="30">
        <f t="shared" si="25"/>
      </c>
      <c r="J646" s="30">
        <f t="shared" si="15"/>
      </c>
      <c r="K646" s="32">
        <f t="shared" si="6"/>
      </c>
      <c r="L646" s="30">
        <f t="shared" si="99"/>
      </c>
      <c r="M646" s="30">
        <f t="shared" si="89"/>
      </c>
      <c r="N646" s="32">
        <f t="shared" si="79"/>
      </c>
      <c r="O646" s="44">
        <v>5</v>
      </c>
      <c r="P646" s="44">
        <f t="shared" si="53"/>
      </c>
      <c r="Q646" s="34">
        <f t="shared" si="61"/>
      </c>
      <c r="R646" s="34">
        <f t="shared" si="43"/>
      </c>
      <c r="S646" s="45" t="s">
        <v>62</v>
      </c>
    </row>
    <row customHeight="true" ht="23.703703703703702" r="647">
      <c r="A647" s="42">
        <v>46098</v>
      </c>
      <c r="B647" s="28" t="s">
        <v>52</v>
      </c>
      <c r="C647" s="47">
        <v>20</v>
      </c>
      <c r="D647" s="43" cm="1">
        <f t="array" ref="D647:D647">_xlfn.XLOOKUP(B647&amp;S647,'除-价格-毛利'!A:A&amp;'除-价格-毛利'!B:B,'除-价格-毛利'!D:D,0)</f>
      </c>
      <c r="E647" s="30">
        <f t="shared" si="71"/>
      </c>
      <c r="F647" s="29" cm="1">
        <f t="array" ref="F647:F647">_xlfn.XLOOKUP(B647&amp;S647,'除-价格-毛利'!A:A&amp;'除-价格-毛利'!B:B,'除-价格-毛利'!C:C,0)</f>
      </c>
      <c r="G647" s="30">
        <f t="shared" si="35"/>
      </c>
      <c r="H647" s="48">
        <v>40</v>
      </c>
      <c r="I647" s="30">
        <f t="shared" si="25"/>
      </c>
      <c r="J647" s="30">
        <f t="shared" si="15"/>
      </c>
      <c r="K647" s="32">
        <f t="shared" si="6"/>
      </c>
      <c r="L647" s="30">
        <f>J647*9</f>
      </c>
      <c r="M647" s="30">
        <f>E647*9</f>
      </c>
      <c r="N647" s="32">
        <f t="shared" si="79"/>
      </c>
      <c r="O647" s="44">
        <v>0</v>
      </c>
      <c r="P647" s="44">
        <f t="shared" si="53"/>
      </c>
      <c r="Q647" s="34">
        <f t="shared" si="61"/>
      </c>
      <c r="R647" s="34">
        <f t="shared" si="43"/>
      </c>
      <c r="S647" s="45" t="s">
        <v>57</v>
      </c>
    </row>
    <row customHeight="true" ht="23.703703703703702" r="648">
      <c r="A648" s="42">
        <v>46098</v>
      </c>
      <c r="B648" s="28" t="s">
        <v>27</v>
      </c>
      <c r="C648" s="28">
        <f>SUM(C643:C647)</f>
      </c>
      <c r="D648" s="38"/>
      <c r="E648" s="30">
        <f>SUM(E643:E647)</f>
      </c>
      <c r="F648" s="31">
        <f>SUM(F643:F647)</f>
      </c>
      <c r="G648" s="30"/>
      <c r="H648" s="30"/>
      <c r="I648" s="30"/>
      <c r="J648" s="30">
        <f>SUM(J643:J647)</f>
      </c>
      <c r="K648" s="32">
        <f t="shared" si="6"/>
      </c>
      <c r="L648" s="30">
        <f>SUM(L643:L647)</f>
      </c>
      <c r="M648" s="30">
        <f>SUM(M643:M647)</f>
      </c>
      <c r="N648" s="32"/>
      <c r="O648" s="44">
        <f>SUM(O643:O647)</f>
      </c>
      <c r="P648" s="44">
        <f t="shared" si="53"/>
      </c>
      <c r="Q648" s="34">
        <f t="shared" si="61"/>
      </c>
      <c r="R648" s="34"/>
      <c r="S648" s="38"/>
    </row>
    <row customHeight="true" ht="23.703703703703702" r="649">
      <c r="B649" s="26" t="s">
        <v>54</v>
      </c>
    </row>
    <row customHeight="true" ht="23.703703703703702" r="650">
      <c r="A650" s="20" t="s">
        <v>65</v>
      </c>
      <c r="B650" s="21" t="s">
        <v>28</v>
      </c>
      <c r="C650" s="39" t="s">
        <v>29</v>
      </c>
      <c r="D650" s="21" t="s">
        <v>30</v>
      </c>
      <c r="E650" s="22" t="s">
        <v>31</v>
      </c>
      <c r="F650" s="23" t="s">
        <v>32</v>
      </c>
      <c r="G650" s="22" t="s">
        <v>33</v>
      </c>
      <c r="H650" s="40" t="s">
        <v>34</v>
      </c>
      <c r="I650" s="22" t="s">
        <v>35</v>
      </c>
      <c r="J650" s="22" t="s">
        <v>32</v>
      </c>
      <c r="K650" s="24" t="s">
        <v>36</v>
      </c>
      <c r="L650" s="22" t="s">
        <v>37</v>
      </c>
      <c r="M650" s="22" t="s">
        <v>38</v>
      </c>
      <c r="N650" s="21" t="s">
        <v>39</v>
      </c>
      <c r="O650" s="41" t="s">
        <v>40</v>
      </c>
      <c r="P650" s="25" t="s">
        <v>41</v>
      </c>
      <c r="Q650" s="24" t="s">
        <v>42</v>
      </c>
      <c r="R650" s="24" t="s">
        <v>43</v>
      </c>
      <c r="S650" s="24" t="s">
        <v>56</v>
      </c>
    </row>
    <row customHeight="true" ht="23.703703703703702" r="651">
      <c r="A651" s="42">
        <v>46099</v>
      </c>
      <c r="B651" s="28" t="s">
        <v>46</v>
      </c>
      <c r="C651" s="47">
        <v>146</v>
      </c>
      <c r="D651" s="43" cm="1">
        <f t="array" ref="D651:D651">_xlfn.XLOOKUP(B651&amp;S651,'除-价格-毛利'!A:A&amp;'除-价格-毛利'!B:B,'除-价格-毛利'!D:D,0)</f>
      </c>
      <c r="E651" s="30">
        <f t="shared" ref="E651:E655" si="72">C651*D651</f>
      </c>
      <c r="F651" s="29" cm="1">
        <f t="array" ref="F651:F651">_xlfn.XLOOKUP(B651&amp;S651,'除-价格-毛利'!A:A&amp;'除-价格-毛利'!B:B,'除-价格-毛利'!C:C,0)</f>
      </c>
      <c r="G651" s="30">
        <f t="shared" ref="G651:G655" si="36">C651*8</f>
      </c>
      <c r="H651" s="30">
        <v>184.19</v>
      </c>
      <c r="I651" s="30">
        <f t="shared" ref="I651:I655" si="26">E651*0.025</f>
      </c>
      <c r="J651" s="30">
        <f t="shared" ref="J651:J655" si="16">F651*C651+G651-H651-I651</f>
      </c>
      <c r="K651" s="32">
        <f t="shared" ref="K651:K656" si="7">IFERROR(J651/E651,0)</f>
      </c>
      <c r="L651" s="30">
        <f t="shared" ref="L651:L654" si="100">J651*8</f>
      </c>
      <c r="M651" s="30">
        <f t="shared" ref="M651:M654" si="90">E651*8</f>
      </c>
      <c r="N651" s="32">
        <f t="shared" ref="N651:N655" si="80">IFERROR(H651/E651,0)</f>
      </c>
      <c r="O651" s="44">
        <v>26</v>
      </c>
      <c r="P651" s="44">
        <f t="shared" ref="P651:P656" si="54">C651-O651</f>
      </c>
      <c r="Q651" s="34">
        <f t="shared" ref="Q651:Q656" si="62">IFERROR(O651/C651,0)</f>
      </c>
      <c r="R651" s="34">
        <f t="shared" ref="R651:R655" si="44">IFERROR(H651/(E651*Q651),0)</f>
      </c>
      <c r="S651" s="45" t="s">
        <v>74</v>
      </c>
    </row>
    <row customHeight="true" ht="23.703703703703702" r="652">
      <c r="A652" s="42">
        <v>46099</v>
      </c>
      <c r="B652" s="28" t="s">
        <v>47</v>
      </c>
      <c r="C652" s="47">
        <v>27</v>
      </c>
      <c r="D652" s="43" cm="1">
        <f t="array" ref="D652:D652">_xlfn.XLOOKUP(B652&amp;S652,'除-价格-毛利'!A:A&amp;'除-价格-毛利'!B:B,'除-价格-毛利'!D:D,0)</f>
      </c>
      <c r="E652" s="30">
        <f t="shared" si="72"/>
      </c>
      <c r="F652" s="29" cm="1">
        <f t="array" ref="F652:F652">_xlfn.XLOOKUP(B652&amp;S652,'除-价格-毛利'!A:A&amp;'除-价格-毛利'!B:B,'除-价格-毛利'!C:C,0)</f>
      </c>
      <c r="G652" s="30">
        <f t="shared" si="36"/>
      </c>
      <c r="H652" s="30">
        <v>32.52</v>
      </c>
      <c r="I652" s="30">
        <f t="shared" si="26"/>
      </c>
      <c r="J652" s="30">
        <f t="shared" si="16"/>
      </c>
      <c r="K652" s="32">
        <f t="shared" si="7"/>
      </c>
      <c r="L652" s="30">
        <f t="shared" si="100"/>
      </c>
      <c r="M652" s="30">
        <f t="shared" si="90"/>
      </c>
      <c r="N652" s="32">
        <f t="shared" si="80"/>
      </c>
      <c r="O652" s="44">
        <v>4</v>
      </c>
      <c r="P652" s="44">
        <f t="shared" si="54"/>
      </c>
      <c r="Q652" s="34">
        <f t="shared" si="62"/>
      </c>
      <c r="R652" s="34">
        <f t="shared" si="44"/>
      </c>
      <c r="S652" s="45" t="s">
        <v>75</v>
      </c>
    </row>
    <row customHeight="true" ht="23.703703703703702" r="653">
      <c r="A653" s="42">
        <v>46099</v>
      </c>
      <c r="B653" s="28" t="s">
        <v>49</v>
      </c>
      <c r="C653" s="47">
        <v>29</v>
      </c>
      <c r="D653" s="43" cm="1">
        <f t="array" ref="D653:D653">_xlfn.XLOOKUP(B653&amp;S653,'除-价格-毛利'!A:A&amp;'除-价格-毛利'!B:B,'除-价格-毛利'!D:D,0)</f>
      </c>
      <c r="E653" s="30">
        <f t="shared" si="72"/>
      </c>
      <c r="F653" s="29" cm="1">
        <f t="array" ref="F653:F653">_xlfn.XLOOKUP(B653&amp;S653,'除-价格-毛利'!A:A&amp;'除-价格-毛利'!B:B,'除-价格-毛利'!C:C,0)</f>
      </c>
      <c r="G653" s="30">
        <f t="shared" si="36"/>
      </c>
      <c r="H653" s="30">
        <v>34.95</v>
      </c>
      <c r="I653" s="30">
        <f t="shared" si="26"/>
      </c>
      <c r="J653" s="30">
        <f t="shared" si="16"/>
      </c>
      <c r="K653" s="32">
        <f t="shared" si="7"/>
      </c>
      <c r="L653" s="30">
        <f t="shared" si="100"/>
      </c>
      <c r="M653" s="30">
        <f t="shared" si="90"/>
      </c>
      <c r="N653" s="32">
        <f t="shared" si="80"/>
      </c>
      <c r="O653" s="44">
        <v>3</v>
      </c>
      <c r="P653" s="44">
        <f t="shared" si="54"/>
      </c>
      <c r="Q653" s="34">
        <f t="shared" si="62"/>
      </c>
      <c r="R653" s="34">
        <f t="shared" si="44"/>
      </c>
      <c r="S653" s="45" t="s">
        <v>57</v>
      </c>
    </row>
    <row customHeight="true" ht="23.703703703703702" r="654">
      <c r="A654" s="42">
        <v>46099</v>
      </c>
      <c r="B654" s="28" t="s">
        <v>50</v>
      </c>
      <c r="C654" s="47">
        <v>30</v>
      </c>
      <c r="D654" s="43" cm="1">
        <f t="array" ref="D654:D654">_xlfn.XLOOKUP(B654&amp;S654,'除-价格-毛利'!A:A&amp;'除-价格-毛利'!B:B,'除-价格-毛利'!D:D,0)</f>
      </c>
      <c r="E654" s="30">
        <f t="shared" si="72"/>
      </c>
      <c r="F654" s="29" cm="1">
        <f t="array" ref="F654:F654">_xlfn.XLOOKUP(B654&amp;S654,'除-价格-毛利'!A:A&amp;'除-价格-毛利'!B:B,'除-价格-毛利'!C:C,0)</f>
      </c>
      <c r="G654" s="30">
        <f t="shared" si="36"/>
      </c>
      <c r="H654" s="30">
        <v>34.91</v>
      </c>
      <c r="I654" s="30">
        <f t="shared" si="26"/>
      </c>
      <c r="J654" s="30">
        <f t="shared" si="16"/>
      </c>
      <c r="K654" s="32">
        <f t="shared" si="7"/>
      </c>
      <c r="L654" s="30">
        <f t="shared" si="100"/>
      </c>
      <c r="M654" s="30">
        <f t="shared" si="90"/>
      </c>
      <c r="N654" s="32">
        <f t="shared" si="80"/>
      </c>
      <c r="O654" s="44">
        <v>1</v>
      </c>
      <c r="P654" s="44">
        <f t="shared" si="54"/>
      </c>
      <c r="Q654" s="34">
        <f t="shared" si="62"/>
      </c>
      <c r="R654" s="34">
        <f t="shared" si="44"/>
      </c>
      <c r="S654" s="45" t="s">
        <v>62</v>
      </c>
    </row>
    <row customHeight="true" ht="23.703703703703702" r="655">
      <c r="A655" s="42">
        <v>46099</v>
      </c>
      <c r="B655" s="28" t="s">
        <v>52</v>
      </c>
      <c r="C655" s="47">
        <v>10</v>
      </c>
      <c r="D655" s="43" cm="1">
        <f t="array" ref="D655:D655">_xlfn.XLOOKUP(B655&amp;S655,'除-价格-毛利'!A:A&amp;'除-价格-毛利'!B:B,'除-价格-毛利'!D:D,0)</f>
      </c>
      <c r="E655" s="30">
        <f t="shared" si="72"/>
      </c>
      <c r="F655" s="29" cm="1">
        <f t="array" ref="F655:F655">_xlfn.XLOOKUP(B655&amp;S655,'除-价格-毛利'!A:A&amp;'除-价格-毛利'!B:B,'除-价格-毛利'!C:C,0)</f>
      </c>
      <c r="G655" s="30">
        <f t="shared" si="36"/>
      </c>
      <c r="H655" s="30">
        <v>0</v>
      </c>
      <c r="I655" s="30">
        <f t="shared" si="26"/>
      </c>
      <c r="J655" s="30">
        <f t="shared" si="16"/>
      </c>
      <c r="K655" s="32">
        <f t="shared" si="7"/>
      </c>
      <c r="L655" s="30">
        <f>J655*9</f>
      </c>
      <c r="M655" s="30">
        <f>E655*9</f>
      </c>
      <c r="N655" s="32">
        <f t="shared" si="80"/>
      </c>
      <c r="O655" s="49">
        <v>2</v>
      </c>
      <c r="P655" s="44">
        <f t="shared" si="54"/>
      </c>
      <c r="Q655" s="34">
        <f t="shared" si="62"/>
      </c>
      <c r="R655" s="34">
        <f t="shared" si="44"/>
      </c>
      <c r="S655" s="45" t="s">
        <v>57</v>
      </c>
    </row>
    <row customHeight="true" ht="23.703703703703702" r="656">
      <c r="A656" s="42">
        <v>46099</v>
      </c>
      <c r="B656" s="28" t="s">
        <v>27</v>
      </c>
      <c r="C656" s="28">
        <f>SUM(C651:C655)</f>
      </c>
      <c r="D656" s="38"/>
      <c r="E656" s="30">
        <f>SUM(E651:E655)</f>
      </c>
      <c r="F656" s="31">
        <f>SUM(F651:F655)</f>
      </c>
      <c r="G656" s="30"/>
      <c r="H656" s="30"/>
      <c r="I656" s="30"/>
      <c r="J656" s="30">
        <f>SUM(J651:J655)</f>
      </c>
      <c r="K656" s="32">
        <f t="shared" si="7"/>
      </c>
      <c r="L656" s="30">
        <f>SUM(L651:L655)</f>
      </c>
      <c r="M656" s="30">
        <f>SUM(M651:M655)</f>
      </c>
      <c r="N656" s="32"/>
      <c r="O656" s="44">
        <f>SUM(O651:O655)</f>
      </c>
      <c r="P656" s="44">
        <f t="shared" si="54"/>
      </c>
      <c r="Q656" s="34">
        <f t="shared" si="62"/>
      </c>
      <c r="R656" s="34"/>
      <c r="S656" s="38"/>
    </row>
    <row customHeight="true" ht="23.703703703703702" r="657">
      <c r="B657" s="26" t="s">
        <v>54</v>
      </c>
    </row>
    <row customHeight="true" ht="23.703703703703702" r="658">
      <c r="A658" s="20" t="s">
        <v>65</v>
      </c>
      <c r="B658" s="21" t="s">
        <v>28</v>
      </c>
      <c r="C658" s="39" t="s">
        <v>29</v>
      </c>
      <c r="D658" s="21" t="s">
        <v>30</v>
      </c>
      <c r="E658" s="22" t="s">
        <v>31</v>
      </c>
      <c r="F658" s="23" t="s">
        <v>32</v>
      </c>
      <c r="G658" s="22" t="s">
        <v>33</v>
      </c>
      <c r="H658" s="40" t="s">
        <v>34</v>
      </c>
      <c r="I658" s="22" t="s">
        <v>35</v>
      </c>
      <c r="J658" s="22" t="s">
        <v>32</v>
      </c>
      <c r="K658" s="24" t="s">
        <v>36</v>
      </c>
      <c r="L658" s="22" t="s">
        <v>37</v>
      </c>
      <c r="M658" s="22" t="s">
        <v>38</v>
      </c>
      <c r="N658" s="21" t="s">
        <v>39</v>
      </c>
      <c r="O658" s="41" t="s">
        <v>40</v>
      </c>
      <c r="P658" s="25" t="s">
        <v>41</v>
      </c>
      <c r="Q658" s="24" t="s">
        <v>42</v>
      </c>
      <c r="R658" s="24" t="s">
        <v>43</v>
      </c>
      <c r="S658" s="24" t="s">
        <v>56</v>
      </c>
    </row>
    <row customHeight="true" ht="23.703703703703702" r="659">
      <c r="A659" s="42">
        <v>46100</v>
      </c>
      <c r="B659" s="28" t="s">
        <v>46</v>
      </c>
      <c r="C659" s="47">
        <v>134</v>
      </c>
      <c r="D659" s="43" cm="1">
        <f t="array" ref="D659:D659">_xlfn.XLOOKUP(B659&amp;S659,'除-价格-毛利'!A:A&amp;'除-价格-毛利'!B:B,'除-价格-毛利'!D:D,0)</f>
      </c>
      <c r="E659" s="30">
        <f t="shared" ref="E659:E663" si="73">C659*D659</f>
      </c>
      <c r="F659" s="29" cm="1">
        <f t="array" ref="F659:F659">_xlfn.XLOOKUP(B659&amp;S659,'除-价格-毛利'!A:A&amp;'除-价格-毛利'!B:B,'除-价格-毛利'!C:C,0)</f>
      </c>
      <c r="G659" s="30">
        <f t="shared" ref="G659:G663" si="37">C659*8</f>
      </c>
      <c r="H659" s="30">
        <v>71</v>
      </c>
      <c r="I659" s="30">
        <f t="shared" ref="I659:I663" si="27">E659*0.025</f>
      </c>
      <c r="J659" s="30">
        <f t="shared" ref="J659:J663" si="17">F659*C659+G659-H659-I659</f>
      </c>
      <c r="K659" s="32">
        <f t="shared" ref="K659:K664" si="8">IFERROR(J659/E659,0)</f>
      </c>
      <c r="L659" s="30">
        <f t="shared" ref="L659:L662" si="101">J659*8</f>
      </c>
      <c r="M659" s="30">
        <f t="shared" ref="M659:M662" si="91">E659*8</f>
      </c>
      <c r="N659" s="32">
        <f t="shared" ref="N659:N663" si="81">IFERROR(H659/E659,0)</f>
      </c>
      <c r="O659" s="44">
        <v>13</v>
      </c>
      <c r="P659" s="44">
        <f t="shared" ref="P659:P664" si="55">C659-O659</f>
      </c>
      <c r="Q659" s="34">
        <f t="shared" ref="Q659:Q664" si="63">IFERROR(O659/C659,0)</f>
      </c>
      <c r="R659" s="34">
        <f t="shared" ref="R659:R663" si="45">IFERROR(H659/(E659*Q659),0)</f>
      </c>
      <c r="S659" s="45" t="s">
        <v>74</v>
      </c>
    </row>
    <row customHeight="true" ht="23.703703703703702" r="660">
      <c r="A660" s="42">
        <v>46100</v>
      </c>
      <c r="B660" s="28" t="s">
        <v>47</v>
      </c>
      <c r="C660" s="47">
        <v>30</v>
      </c>
      <c r="D660" s="43" cm="1">
        <f t="array" ref="D660:D660">_xlfn.XLOOKUP(B660&amp;S660,'除-价格-毛利'!A:A&amp;'除-价格-毛利'!B:B,'除-价格-毛利'!D:D,0)</f>
      </c>
      <c r="E660" s="30">
        <f t="shared" si="73"/>
      </c>
      <c r="F660" s="29" cm="1">
        <f t="array" ref="F660:F660">_xlfn.XLOOKUP(B660&amp;S660,'除-价格-毛利'!A:A&amp;'除-价格-毛利'!B:B,'除-价格-毛利'!C:C,0)</f>
      </c>
      <c r="G660" s="30">
        <f t="shared" si="37"/>
      </c>
      <c r="H660" s="30">
        <v>31.15</v>
      </c>
      <c r="I660" s="30">
        <f t="shared" si="27"/>
      </c>
      <c r="J660" s="30">
        <f t="shared" si="17"/>
      </c>
      <c r="K660" s="32">
        <f t="shared" si="8"/>
      </c>
      <c r="L660" s="30">
        <f t="shared" si="101"/>
      </c>
      <c r="M660" s="30">
        <f t="shared" si="91"/>
      </c>
      <c r="N660" s="32">
        <f t="shared" si="81"/>
      </c>
      <c r="O660" s="44">
        <v>2</v>
      </c>
      <c r="P660" s="44">
        <f t="shared" si="55"/>
      </c>
      <c r="Q660" s="34">
        <f t="shared" si="63"/>
      </c>
      <c r="R660" s="34">
        <f t="shared" si="45"/>
      </c>
      <c r="S660" s="45" t="s">
        <v>75</v>
      </c>
    </row>
    <row customHeight="true" ht="23.703703703703702" r="661">
      <c r="A661" s="42">
        <v>46100</v>
      </c>
      <c r="B661" s="28" t="s">
        <v>49</v>
      </c>
      <c r="C661" s="47">
        <v>20</v>
      </c>
      <c r="D661" s="43" cm="1">
        <f t="array" ref="D661:D661">_xlfn.XLOOKUP(B661&amp;S661,'除-价格-毛利'!A:A&amp;'除-价格-毛利'!B:B,'除-价格-毛利'!D:D,0)</f>
      </c>
      <c r="E661" s="30">
        <f t="shared" si="73"/>
      </c>
      <c r="F661" s="29" cm="1">
        <f t="array" ref="F661:F661">_xlfn.XLOOKUP(B661&amp;S661,'除-价格-毛利'!A:A&amp;'除-价格-毛利'!B:B,'除-价格-毛利'!C:C,0)</f>
      </c>
      <c r="G661" s="30">
        <f t="shared" si="37"/>
      </c>
      <c r="H661" s="30">
        <v>30.58</v>
      </c>
      <c r="I661" s="30">
        <f t="shared" si="27"/>
      </c>
      <c r="J661" s="30">
        <f t="shared" si="17"/>
      </c>
      <c r="K661" s="32">
        <f t="shared" si="8"/>
      </c>
      <c r="L661" s="30">
        <f t="shared" si="101"/>
      </c>
      <c r="M661" s="30">
        <f t="shared" si="91"/>
      </c>
      <c r="N661" s="32">
        <f t="shared" si="81"/>
      </c>
      <c r="O661" s="49">
        <v>2</v>
      </c>
      <c r="P661" s="44">
        <f t="shared" si="55"/>
      </c>
      <c r="Q661" s="34">
        <f t="shared" si="63"/>
      </c>
      <c r="R661" s="34">
        <f t="shared" si="45"/>
      </c>
      <c r="S661" s="45" t="s">
        <v>57</v>
      </c>
    </row>
    <row customHeight="true" ht="23.703703703703702" r="662">
      <c r="A662" s="42">
        <v>46100</v>
      </c>
      <c r="B662" s="28" t="s">
        <v>50</v>
      </c>
      <c r="C662" s="47">
        <v>60</v>
      </c>
      <c r="D662" s="43" cm="1">
        <f t="array" ref="D662:D662">_xlfn.XLOOKUP(B662&amp;S662,'除-价格-毛利'!A:A&amp;'除-价格-毛利'!B:B,'除-价格-毛利'!D:D,0)</f>
      </c>
      <c r="E662" s="30">
        <f t="shared" si="73"/>
      </c>
      <c r="F662" s="29" cm="1">
        <f t="array" ref="F662:F662">_xlfn.XLOOKUP(B662&amp;S662,'除-价格-毛利'!A:A&amp;'除-价格-毛利'!B:B,'除-价格-毛利'!C:C,0)</f>
      </c>
      <c r="G662" s="30">
        <f t="shared" si="37"/>
      </c>
      <c r="H662" s="30">
        <v>36.81</v>
      </c>
      <c r="I662" s="30">
        <f t="shared" si="27"/>
      </c>
      <c r="J662" s="30">
        <f t="shared" si="17"/>
      </c>
      <c r="K662" s="32">
        <f t="shared" si="8"/>
      </c>
      <c r="L662" s="30">
        <f t="shared" si="101"/>
      </c>
      <c r="M662" s="30">
        <f t="shared" si="91"/>
      </c>
      <c r="N662" s="32">
        <f t="shared" si="81"/>
      </c>
      <c r="O662" s="44">
        <v>3</v>
      </c>
      <c r="P662" s="44">
        <f t="shared" si="55"/>
      </c>
      <c r="Q662" s="34">
        <f t="shared" si="63"/>
      </c>
      <c r="R662" s="34">
        <f t="shared" si="45"/>
      </c>
      <c r="S662" s="45" t="s">
        <v>62</v>
      </c>
    </row>
    <row customHeight="true" ht="23.703703703703702" r="663">
      <c r="A663" s="42">
        <v>46100</v>
      </c>
      <c r="B663" s="28" t="s">
        <v>52</v>
      </c>
      <c r="C663" s="47">
        <v>10</v>
      </c>
      <c r="D663" s="43" cm="1">
        <f t="array" ref="D663:D663">_xlfn.XLOOKUP(B663&amp;S663,'除-价格-毛利'!A:A&amp;'除-价格-毛利'!B:B,'除-价格-毛利'!D:D,0)</f>
      </c>
      <c r="E663" s="30">
        <f t="shared" si="73"/>
      </c>
      <c r="F663" s="29" cm="1">
        <f t="array" ref="F663:F663">_xlfn.XLOOKUP(B663&amp;S663,'除-价格-毛利'!A:A&amp;'除-价格-毛利'!B:B,'除-价格-毛利'!C:C,0)</f>
      </c>
      <c r="G663" s="30">
        <f t="shared" si="37"/>
      </c>
      <c r="H663" s="48">
        <v>40</v>
      </c>
      <c r="I663" s="30">
        <f t="shared" si="27"/>
      </c>
      <c r="J663" s="30">
        <f t="shared" si="17"/>
      </c>
      <c r="K663" s="32">
        <f t="shared" si="8"/>
      </c>
      <c r="L663" s="30">
        <f>J663*9</f>
      </c>
      <c r="M663" s="30">
        <f>E663*9</f>
      </c>
      <c r="N663" s="32">
        <f t="shared" si="81"/>
      </c>
      <c r="O663" s="49">
        <v>2</v>
      </c>
      <c r="P663" s="44">
        <f t="shared" si="55"/>
      </c>
      <c r="Q663" s="34">
        <f t="shared" si="63"/>
      </c>
      <c r="R663" s="34">
        <f t="shared" si="45"/>
      </c>
      <c r="S663" s="45" t="s">
        <v>57</v>
      </c>
    </row>
    <row customHeight="true" ht="23.703703703703702" r="664">
      <c r="A664" s="42">
        <v>46100</v>
      </c>
      <c r="B664" s="28" t="s">
        <v>27</v>
      </c>
      <c r="C664" s="28">
        <f>SUM(C659:C663)</f>
      </c>
      <c r="D664" s="38"/>
      <c r="E664" s="30">
        <f>SUM(E659:E663)</f>
      </c>
      <c r="F664" s="31">
        <f>SUM(F659:F663)</f>
      </c>
      <c r="G664" s="30"/>
      <c r="H664" s="30"/>
      <c r="I664" s="30"/>
      <c r="J664" s="30">
        <f>SUM(J659:J663)</f>
      </c>
      <c r="K664" s="32">
        <f t="shared" si="8"/>
      </c>
      <c r="L664" s="30">
        <f>SUM(L659:L663)</f>
      </c>
      <c r="M664" s="30">
        <f>SUM(M659:M663)</f>
      </c>
      <c r="N664" s="32"/>
      <c r="O664" s="44">
        <f>SUM(O659:O663)</f>
      </c>
      <c r="P664" s="44">
        <f t="shared" si="55"/>
      </c>
      <c r="Q664" s="34">
        <f t="shared" si="63"/>
      </c>
      <c r="R664" s="34"/>
      <c r="S664" s="38"/>
    </row>
    <row customHeight="true" ht="23.703703703703702" r="665">
      <c r="B665" s="26" t="s">
        <v>54</v>
      </c>
    </row>
    <row r="666">
      <c r="B666" s="26"/>
    </row>
    <row r="667">
      <c r="B667" s="26"/>
    </row>
    <row r="668">
      <c r="B668" s="26"/>
    </row>
    <row r="669">
      <c r="B669" s="26"/>
    </row>
    <row r="670">
      <c r="B670" s="26"/>
    </row>
    <row r="671">
      <c r="B671" s="26"/>
    </row>
    <row r="672">
      <c r="B672" s="26"/>
    </row>
    <row r="673">
      <c r="B673" s="26"/>
    </row>
    <row r="674">
      <c r="B674" s="26"/>
    </row>
    <row r="675">
      <c r="B675" s="26"/>
    </row>
    <row r="676">
      <c r="B676" s="26"/>
    </row>
    <row r="677">
      <c r="B677" s="26"/>
    </row>
    <row r="678">
      <c r="B678" s="26"/>
    </row>
    <row r="679">
      <c r="B679" s="26"/>
    </row>
    <row r="680">
      <c r="B680" s="26"/>
    </row>
    <row r="681">
      <c r="B681" s="26"/>
    </row>
    <row r="682">
      <c r="B682" s="26"/>
    </row>
    <row r="683">
      <c r="B683" s="26"/>
    </row>
    <row r="684">
      <c r="B684" s="26"/>
    </row>
    <row r="685">
      <c r="B685" s="26"/>
    </row>
  </sheetData>
  <autoFilter ref="A1:S66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9.266666666666667"/>
    <col collapsed="false" customWidth="true" hidden="false" max="10" min="10" style="0" width="9.266666666666667"/>
    <col collapsed="false" customWidth="true" hidden="false" max="14" min="14" style="0" width="9.266666666666667"/>
    <col collapsed="false" customWidth="true" hidden="false" max="17" min="17" style="0" width="9.266666666666667"/>
    <col collapsed="false" customWidth="true" hidden="false" max="2" min="2" style="0" width="20.733333333333334"/>
    <col collapsed="false" customWidth="true" hidden="false" max="7" min="7" style="0" width="9.266666666666667"/>
    <col collapsed="false" customWidth="true" hidden="false" max="11" min="11" style="0" width="9.266666666666667"/>
    <col collapsed="false" customWidth="true" hidden="false" max="15" min="15" style="0" width="9.266666666666667"/>
    <col collapsed="false" customWidth="true" hidden="false" max="18" min="18" style="0" width="9.266666666666667"/>
    <col collapsed="false" customWidth="true" hidden="false" max="3" min="3" style="0" width="15.533333333333333"/>
    <col collapsed="false" customWidth="true" hidden="false" max="8" min="8" style="0" width="9.266666666666667"/>
    <col collapsed="false" customWidth="true" hidden="false" max="12" min="12" style="0" width="9.266666666666667"/>
    <col collapsed="false" customWidth="true" hidden="false" max="16" min="16" style="0" width="9.266666666666667"/>
    <col collapsed="false" customWidth="true" hidden="false" max="19" min="19" style="0" width="9.266666666666667"/>
    <col collapsed="false" customWidth="true" hidden="false" max="4" min="4" style="0" width="19"/>
    <col collapsed="false" customWidth="true" hidden="false" max="5" min="5" style="0" width="19.133333333333333"/>
    <col collapsed="false" customWidth="true" hidden="false" max="9" min="9" style="0" width="9.266666666666667"/>
    <col collapsed="false" customWidth="true" hidden="false" max="13" min="13" style="0" width="9.266666666666667"/>
    <col collapsed="false" customWidth="true" hidden="false" max="20" min="20" style="0" width="9.266666666666667"/>
    <col collapsed="false" customWidth="true" hidden="false" max="1" min="1" style="0" width="9.266666666666667"/>
  </cols>
  <sheetData>
    <row customHeight="true" ht="16.296296296296294" r="1">
      <c r="A1" s="60" t="s">
        <v>90</v>
      </c>
      <c r="B1" s="60" t="s">
        <v>91</v>
      </c>
      <c r="C1" s="61" t="s">
        <v>92</v>
      </c>
      <c r="D1" s="61" t="s">
        <v>93</v>
      </c>
      <c r="E1" s="61" t="s">
        <v>94</v>
      </c>
    </row>
    <row customHeight="true" ht="16.296296296296294" r="2">
      <c r="A2" s="62" t="s">
        <v>95</v>
      </c>
      <c r="B2" s="63" t="s">
        <v>96</v>
      </c>
      <c r="C2" s="64">
        <v>15.78</v>
      </c>
      <c r="D2" s="65">
        <v>55.85</v>
      </c>
      <c r="E2" s="66">
        <v>67.99</v>
      </c>
    </row>
    <row customHeight="true" ht="16.296296296296294" r="3">
      <c r="A3" s="62" t="s">
        <v>95</v>
      </c>
      <c r="B3" s="63" t="s">
        <v>97</v>
      </c>
      <c r="C3" s="64">
        <v>11.78</v>
      </c>
      <c r="D3" s="65">
        <v>55.85</v>
      </c>
      <c r="E3" s="66">
        <v>67.99</v>
      </c>
    </row>
    <row customHeight="true" ht="16.296296296296294" r="4">
      <c r="A4" s="62" t="s">
        <v>95</v>
      </c>
      <c r="B4" s="63" t="s">
        <v>98</v>
      </c>
      <c r="C4" s="64">
        <v>7.78</v>
      </c>
      <c r="D4" s="65">
        <v>55.85</v>
      </c>
      <c r="E4" s="66">
        <v>67.99</v>
      </c>
    </row>
    <row customHeight="true" ht="16.296296296296294" r="5">
      <c r="A5" s="62" t="s">
        <v>95</v>
      </c>
      <c r="B5" s="63" t="s">
        <v>99</v>
      </c>
      <c r="C5" s="64">
        <v>3.78</v>
      </c>
      <c r="D5" s="65">
        <v>55.85</v>
      </c>
      <c r="E5" s="66">
        <v>67.99</v>
      </c>
    </row>
    <row customHeight="true" ht="16.296296296296294" r="6">
      <c r="A6" s="62" t="s">
        <v>95</v>
      </c>
      <c r="B6" s="63" t="s">
        <v>100</v>
      </c>
      <c r="C6" s="64">
        <v>5.69</v>
      </c>
      <c r="D6" s="65">
        <v>55.85</v>
      </c>
      <c r="E6" s="66">
        <v>67.99</v>
      </c>
    </row>
    <row customHeight="true" ht="16.296296296296294" r="7">
      <c r="A7" s="62" t="s">
        <v>95</v>
      </c>
      <c r="B7" s="63" t="s">
        <v>101</v>
      </c>
      <c r="C7" s="64">
        <v>4.06</v>
      </c>
      <c r="D7" s="65">
        <v>55.85</v>
      </c>
      <c r="E7" s="66">
        <v>67.99</v>
      </c>
    </row>
    <row customHeight="true" ht="16.296296296296294" r="8">
      <c r="A8" s="62" t="s">
        <v>102</v>
      </c>
      <c r="B8" s="63" t="s">
        <v>96</v>
      </c>
      <c r="C8" s="64">
        <v>15.01</v>
      </c>
      <c r="D8" s="65">
        <v>55.35</v>
      </c>
      <c r="E8" s="66">
        <v>67.99</v>
      </c>
    </row>
    <row customHeight="true" ht="16.296296296296294" r="9">
      <c r="A9" s="62" t="s">
        <v>102</v>
      </c>
      <c r="B9" s="63" t="s">
        <v>97</v>
      </c>
      <c r="C9" s="64">
        <v>11.01</v>
      </c>
      <c r="D9" s="65">
        <v>55.35</v>
      </c>
      <c r="E9" s="66">
        <v>67.99</v>
      </c>
    </row>
    <row customHeight="true" ht="16.296296296296294" r="10">
      <c r="A10" s="62" t="s">
        <v>102</v>
      </c>
      <c r="B10" s="63" t="s">
        <v>98</v>
      </c>
      <c r="C10" s="64">
        <v>7.01</v>
      </c>
      <c r="D10" s="65">
        <v>55.35</v>
      </c>
      <c r="E10" s="66">
        <v>67.99</v>
      </c>
    </row>
    <row customHeight="true" ht="16.296296296296294" r="11">
      <c r="A11" s="62" t="s">
        <v>102</v>
      </c>
      <c r="B11" s="63" t="s">
        <v>99</v>
      </c>
      <c r="C11" s="64">
        <v>3.01</v>
      </c>
      <c r="D11" s="65">
        <v>55.35</v>
      </c>
      <c r="E11" s="66">
        <v>67.99</v>
      </c>
    </row>
    <row customHeight="true" ht="16.296296296296294" r="12">
      <c r="A12" s="62" t="s">
        <v>102</v>
      </c>
      <c r="B12" s="63" t="s">
        <v>103</v>
      </c>
      <c r="C12" s="64">
        <v>6.67</v>
      </c>
      <c r="D12" s="65">
        <v>55.35</v>
      </c>
      <c r="E12" s="66">
        <v>67.99</v>
      </c>
    </row>
    <row customHeight="true" ht="16.296296296296294" r="13">
      <c r="A13" s="62" t="s">
        <v>102</v>
      </c>
      <c r="B13" s="63" t="s">
        <v>104</v>
      </c>
      <c r="C13" s="64">
        <v>10.01</v>
      </c>
      <c r="D13" s="65">
        <v>55.35</v>
      </c>
      <c r="E13" s="66">
        <v>67.99</v>
      </c>
    </row>
    <row customHeight="true" ht="16.296296296296294" r="14">
      <c r="A14" s="62" t="s">
        <v>102</v>
      </c>
      <c r="B14" s="63" t="s">
        <v>105</v>
      </c>
      <c r="C14" s="64">
        <v>9.44</v>
      </c>
      <c r="D14" s="65">
        <v>55.35</v>
      </c>
      <c r="E14" s="66">
        <v>67.99</v>
      </c>
    </row>
    <row customHeight="true" ht="16.296296296296294" r="15">
      <c r="A15" s="62" t="s">
        <v>106</v>
      </c>
      <c r="B15" s="63" t="s">
        <v>96</v>
      </c>
      <c r="C15" s="64">
        <v>14.76</v>
      </c>
      <c r="D15" s="65">
        <v>55.35</v>
      </c>
      <c r="E15" s="66">
        <v>67.99</v>
      </c>
    </row>
    <row customHeight="true" ht="16.296296296296294" r="16">
      <c r="A16" s="62" t="s">
        <v>106</v>
      </c>
      <c r="B16" s="63" t="s">
        <v>97</v>
      </c>
      <c r="C16" s="64">
        <v>10.76</v>
      </c>
      <c r="D16" s="65">
        <v>55.35</v>
      </c>
      <c r="E16" s="66">
        <v>67.99</v>
      </c>
    </row>
    <row customHeight="true" ht="16.296296296296294" r="17">
      <c r="A17" s="62" t="s">
        <v>106</v>
      </c>
      <c r="B17" s="63" t="s">
        <v>98</v>
      </c>
      <c r="C17" s="64">
        <v>6.76</v>
      </c>
      <c r="D17" s="65">
        <v>55.35</v>
      </c>
      <c r="E17" s="66">
        <v>67.99</v>
      </c>
    </row>
    <row customHeight="true" ht="16.296296296296294" r="18">
      <c r="A18" s="62" t="s">
        <v>106</v>
      </c>
      <c r="B18" s="63" t="s">
        <v>99</v>
      </c>
      <c r="C18" s="64">
        <v>2.76</v>
      </c>
      <c r="D18" s="65">
        <v>55.35</v>
      </c>
      <c r="E18" s="66">
        <v>67.99</v>
      </c>
    </row>
    <row customHeight="true" ht="16.296296296296294" r="19">
      <c r="A19" s="62" t="s">
        <v>107</v>
      </c>
      <c r="B19" s="63" t="s">
        <v>96</v>
      </c>
      <c r="C19" s="64">
        <v>13.76</v>
      </c>
      <c r="D19" s="65">
        <v>55.35</v>
      </c>
      <c r="E19" s="66">
        <v>67.99</v>
      </c>
    </row>
    <row customHeight="true" ht="16.296296296296294" r="20">
      <c r="A20" s="62" t="s">
        <v>107</v>
      </c>
      <c r="B20" s="63" t="s">
        <v>97</v>
      </c>
      <c r="C20" s="64">
        <v>9.76</v>
      </c>
      <c r="D20" s="65">
        <v>55.35</v>
      </c>
      <c r="E20" s="66">
        <v>67.99</v>
      </c>
    </row>
    <row customHeight="true" ht="16.296296296296294" r="21">
      <c r="A21" s="62" t="s">
        <v>107</v>
      </c>
      <c r="B21" s="63" t="s">
        <v>98</v>
      </c>
      <c r="C21" s="64">
        <v>5.76</v>
      </c>
      <c r="D21" s="65">
        <v>55.35</v>
      </c>
      <c r="E21" s="66">
        <v>67.99</v>
      </c>
    </row>
    <row customHeight="true" ht="16.296296296296294" r="22">
      <c r="A22" s="62" t="s">
        <v>107</v>
      </c>
      <c r="B22" s="63" t="s">
        <v>99</v>
      </c>
      <c r="C22" s="64">
        <v>1.76</v>
      </c>
      <c r="D22" s="65">
        <v>55.35</v>
      </c>
      <c r="E22" s="66">
        <v>67.99</v>
      </c>
    </row>
    <row customHeight="true" ht="16.296296296296294" r="23">
      <c r="A23" s="62" t="s">
        <v>107</v>
      </c>
      <c r="B23" s="63" t="s">
        <v>108</v>
      </c>
      <c r="C23" s="64">
        <v>3.22</v>
      </c>
      <c r="D23" s="65">
        <v>55.35</v>
      </c>
      <c r="E23" s="66">
        <v>67.99</v>
      </c>
    </row>
    <row customHeight="true" ht="16.296296296296294" r="24">
      <c r="A24" s="62" t="s">
        <v>109</v>
      </c>
      <c r="B24" s="63" t="s">
        <v>96</v>
      </c>
      <c r="C24" s="64">
        <v>13.14</v>
      </c>
      <c r="D24" s="65">
        <v>48.3</v>
      </c>
      <c r="E24" s="66">
        <v>55.88</v>
      </c>
    </row>
    <row customHeight="true" ht="16.296296296296294" r="25">
      <c r="A25" s="62" t="s">
        <v>109</v>
      </c>
      <c r="B25" s="63" t="s">
        <v>97</v>
      </c>
      <c r="C25" s="64">
        <v>9.64</v>
      </c>
      <c r="D25" s="65">
        <v>48.3</v>
      </c>
      <c r="E25" s="66">
        <v>55.88</v>
      </c>
    </row>
    <row customHeight="true" ht="16.296296296296294" r="26">
      <c r="A26" s="62" t="s">
        <v>109</v>
      </c>
      <c r="B26" s="63" t="s">
        <v>98</v>
      </c>
      <c r="C26" s="64">
        <v>4.39</v>
      </c>
      <c r="D26" s="65">
        <v>48.3</v>
      </c>
      <c r="E26" s="66">
        <v>55.88</v>
      </c>
    </row>
    <row customHeight="true" ht="16.296296296296294" r="27">
      <c r="A27" s="62" t="s">
        <v>109</v>
      </c>
      <c r="B27" s="63" t="s">
        <v>99</v>
      </c>
      <c r="C27" s="64">
        <v>2.64</v>
      </c>
      <c r="D27" s="65">
        <v>48.3</v>
      </c>
      <c r="E27" s="66">
        <v>55.88</v>
      </c>
    </row>
    <row customHeight="true" ht="16.296296296296294" r="28">
      <c r="A28" s="62" t="s">
        <v>109</v>
      </c>
      <c r="B28" s="63" t="s">
        <v>110</v>
      </c>
      <c r="C28" s="64">
        <v>2.72</v>
      </c>
      <c r="D28" s="65">
        <v>48.3</v>
      </c>
      <c r="E28" s="66">
        <v>55.88</v>
      </c>
    </row>
    <row r="29">
      <c r="A29" s="67"/>
      <c r="B29" s="68"/>
      <c r="C29" s="69"/>
      <c r="D29" s="70"/>
      <c r="E29" s="66"/>
    </row>
    <row r="30">
      <c r="A30" s="67"/>
      <c r="B30" s="68"/>
      <c r="C30" s="69"/>
      <c r="D30" s="70"/>
      <c r="E30" s="66"/>
    </row>
    <row r="31">
      <c r="A31" s="67"/>
      <c r="B31" s="68"/>
      <c r="C31" s="69"/>
      <c r="D31" s="70"/>
      <c r="E31" s="66"/>
    </row>
    <row r="32">
      <c r="A32" s="67"/>
      <c r="B32" s="68"/>
      <c r="C32" s="69"/>
      <c r="D32" s="70"/>
      <c r="E32" s="66"/>
    </row>
    <row r="33">
      <c r="A33" s="67"/>
      <c r="B33" s="68"/>
      <c r="C33" s="69"/>
      <c r="D33" s="70"/>
      <c r="E33" s="66"/>
    </row>
    <row r="34">
      <c r="A34" s="67"/>
      <c r="B34" s="68"/>
      <c r="C34" s="69"/>
      <c r="D34" s="70"/>
      <c r="E34" s="66"/>
    </row>
    <row r="35">
      <c r="A35" s="67"/>
      <c r="B35" s="68"/>
      <c r="C35" s="69"/>
      <c r="D35" s="70"/>
      <c r="E35" s="66"/>
    </row>
    <row r="36">
      <c r="A36" s="67"/>
      <c r="B36" s="68"/>
      <c r="C36" s="69"/>
      <c r="D36" s="70"/>
      <c r="E36" s="66"/>
    </row>
    <row r="37">
      <c r="A37" s="67"/>
      <c r="B37" s="68"/>
      <c r="C37" s="69"/>
      <c r="D37" s="70"/>
      <c r="E37" s="66"/>
    </row>
    <row r="38">
      <c r="A38" s="67"/>
      <c r="B38" s="68"/>
      <c r="C38" s="69"/>
      <c r="D38" s="70"/>
      <c r="E38" s="66"/>
    </row>
    <row r="39">
      <c r="A39" s="67"/>
      <c r="B39" s="68"/>
      <c r="C39" s="69"/>
      <c r="D39" s="70"/>
      <c r="E39" s="66"/>
    </row>
    <row r="40">
      <c r="A40" s="67"/>
      <c r="B40" s="68"/>
      <c r="C40" s="69"/>
      <c r="D40" s="70"/>
      <c r="E40" s="66"/>
    </row>
    <row r="41">
      <c r="A41" s="67"/>
      <c r="B41" s="68"/>
      <c r="C41" s="69"/>
      <c r="D41" s="70"/>
      <c r="E41" s="66"/>
    </row>
    <row r="42">
      <c r="A42" s="67"/>
      <c r="B42" s="68"/>
      <c r="C42" s="69"/>
      <c r="D42" s="70"/>
      <c r="E42" s="66"/>
    </row>
    <row r="43">
      <c r="A43" s="67"/>
      <c r="B43" s="68"/>
      <c r="C43" s="69"/>
      <c r="D43" s="70"/>
      <c r="E43" s="66"/>
    </row>
    <row r="44">
      <c r="A44" s="67"/>
      <c r="B44" s="68"/>
      <c r="C44" s="69"/>
      <c r="D44" s="70"/>
      <c r="E44" s="66"/>
    </row>
    <row r="45">
      <c r="A45" s="67"/>
      <c r="B45" s="68"/>
      <c r="C45" s="69"/>
      <c r="D45" s="70"/>
      <c r="E45" s="66"/>
    </row>
    <row r="46">
      <c r="A46" s="67"/>
      <c r="B46" s="68"/>
      <c r="C46" s="69"/>
      <c r="D46" s="70"/>
      <c r="E46" s="66"/>
    </row>
    <row r="47">
      <c r="A47" s="67"/>
      <c r="B47" s="68"/>
      <c r="C47" s="69"/>
      <c r="D47" s="70"/>
      <c r="E47" s="66"/>
    </row>
    <row r="48">
      <c r="A48" s="67"/>
      <c r="B48" s="68"/>
      <c r="C48" s="69"/>
      <c r="D48" s="70"/>
      <c r="E48" s="66"/>
    </row>
  </sheetData>
  <autoFilter ref="A1:E28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5BD42"/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6.066666666666666"/>
    <col collapsed="false" customWidth="true" hidden="false" max="7" min="7" style="0" width="10.466666666666667"/>
    <col collapsed="false" customWidth="true" hidden="false" max="11" min="11" style="0" width="8.2"/>
    <col collapsed="false" customWidth="true" hidden="false" max="15" min="15" style="0" width="10.466666666666667"/>
    <col collapsed="false" customWidth="true" hidden="false" max="19" min="19" style="0" width="14.2"/>
    <col collapsed="false" customWidth="true" hidden="false" max="2" min="2" style="0" width="6.066666666666666"/>
    <col collapsed="false" customWidth="true" hidden="false" max="6" min="6" style="0" width="9.666666666666666"/>
    <col collapsed="false" customWidth="true" hidden="false" max="10" min="10" style="0" width="11.266666666666667"/>
    <col collapsed="false" customWidth="true" hidden="false" max="14" min="14" style="0" width="10.466666666666667"/>
    <col collapsed="false" customWidth="true" hidden="false" max="18" min="18" style="0" width="9"/>
    <col collapsed="false" customWidth="true" hidden="false" max="1" min="1" style="0" width="11.533333333333333"/>
    <col collapsed="false" customWidth="true" hidden="false" max="5" min="5" style="0" width="12.466666666666667"/>
    <col collapsed="false" customWidth="true" hidden="false" max="9" min="9" style="0" width="11.266666666666667"/>
    <col collapsed="false" customWidth="true" hidden="false" max="13" min="13" style="0" width="14.466666666666667"/>
    <col collapsed="false" customWidth="true" hidden="false" max="17" min="17" style="0" width="15.133333333333333"/>
    <col collapsed="false" customWidth="true" hidden="false" max="4" min="4" style="0" width="9"/>
    <col collapsed="false" customWidth="true" hidden="false" max="8" min="8" style="0" width="10.466666666666667"/>
    <col collapsed="false" customWidth="true" hidden="false" max="12" min="12" style="0" width="13.533333333333333"/>
    <col collapsed="false" customWidth="true" hidden="false" max="16" min="16" style="0" width="10.466666666666667"/>
    <col collapsed="false" customWidth="true" hidden="false" max="20" min="20" style="0" width="29.933333333333334"/>
  </cols>
  <sheetData>
    <row customHeight="true" ht="23.703703703703702" r="1">
      <c r="A1" s="71" t="s">
        <v>111</v>
      </c>
      <c r="B1" s="72" t="s">
        <v>112</v>
      </c>
      <c r="C1" s="72" t="s">
        <v>113</v>
      </c>
      <c r="D1" s="72" t="s">
        <v>114</v>
      </c>
      <c r="E1" s="73" t="s">
        <v>115</v>
      </c>
      <c r="F1" s="74" t="s">
        <v>116</v>
      </c>
      <c r="G1" s="73" t="s">
        <v>117</v>
      </c>
      <c r="H1" s="73" t="s">
        <v>118</v>
      </c>
      <c r="I1" s="73" t="s">
        <v>119</v>
      </c>
      <c r="J1" s="73" t="s">
        <v>116</v>
      </c>
      <c r="K1" s="75" t="s">
        <v>120</v>
      </c>
      <c r="L1" s="73" t="s">
        <v>121</v>
      </c>
      <c r="M1" s="73" t="s">
        <v>122</v>
      </c>
      <c r="N1" s="72" t="s">
        <v>123</v>
      </c>
      <c r="O1" s="76" t="s">
        <v>124</v>
      </c>
      <c r="P1" s="76" t="s">
        <v>125</v>
      </c>
      <c r="Q1" s="75" t="s">
        <v>126</v>
      </c>
      <c r="R1" s="75" t="s">
        <v>127</v>
      </c>
      <c r="S1" s="77" t="s">
        <v>128</v>
      </c>
    </row>
    <row customHeight="true" ht="23.703703703703702" r="2">
      <c r="A2" s="78" t="s">
        <v>129</v>
      </c>
      <c r="B2" s="79" t="s">
        <v>130</v>
      </c>
      <c r="C2" s="79">
        <f t="shared" ref="C2:C7" si="360">SUMIFS($C$10:$C$3487,$B$10:$B$3487,B2,$A$10:$A$3487,"&gt;="&amp;$A$3,$A$10:$A$3487,"&lt;="&amp;$A$5)</f>
      </c>
      <c r="D2" s="80">
        <v>55.85</v>
      </c>
      <c r="E2" s="81">
        <f t="shared" ref="E2:E7" si="419">SUMIFS($E$10:$E$3487,$B$10:$B$3487,B2,$A$10:$A$3487,"&gt;="&amp;$A$3,$A$10:$A$3487,"&lt;="&amp;$A$5)</f>
      </c>
      <c r="F2" s="82"/>
      <c r="G2" s="81">
        <f t="shared" ref="G2:G7" si="592">SUMIFS($G$10:$G$3487,$B$10:$B$3487,B2,$A$10:$A$3487,"&gt;="&amp;$A$3,$A$10:$A$3487,"&lt;="&amp;$A$5)</f>
      </c>
      <c r="H2" s="81">
        <f t="shared" ref="H2:H7" si="650">SUMIFS($H$10:$H$3487,$B$10:$B$3487,B2,$A$10:$A$3487,"&gt;="&amp;$A$3,$A$10:$A$3487,"&lt;="&amp;$A$5)</f>
      </c>
      <c r="I2" s="81">
        <f t="shared" ref="I2:I7" si="105">SUMIFS($I$10:$I$3487,$B$10:$B$3487,B2,$A$10:$A$3487,"&gt;="&amp;$A$3,$A$10:$A$3487,"&lt;="&amp;$A$5)</f>
      </c>
      <c r="J2" s="81">
        <f t="shared" ref="J2:J7" si="164">SUMIFS($J$10:$J$3487,$B$10:$B$3487,B2,$A$10:$A$3487,"&gt;="&amp;$A$3,$A$10:$A$3487,"&lt;="&amp;$A$5)</f>
      </c>
      <c r="K2" s="83">
        <f t="shared" ref="K2:K7" si="232">J2/E2</f>
      </c>
      <c r="L2" s="81">
        <f t="shared" ref="L2:L7" si="301">SUMIFS($L$10:$L$3487,$B$10:$B$3487,B2,$A$10:$A$3487,"&gt;="&amp;$A$3,$A$10:$A$3487,"&lt;="&amp;$A$5)</f>
      </c>
      <c r="M2" s="81">
        <f t="shared" ref="M2:M7" si="233">SUMIFS($M$10:$M$3487,$B$10:$B$3487,B2,$A$10:$A$3487,"&gt;="&amp;$A$3,$A$10:$A$3487,"&lt;="&amp;$A$5)</f>
      </c>
      <c r="N2" s="83">
        <f t="shared" ref="N2:N7" si="302">H2/E2</f>
      </c>
      <c r="O2" s="84">
        <f t="shared" ref="O2:O7" si="361">SUMIFS($O$10:$O$3487,$B$10:$B$3487,B2,$A$10:$A$3487,"&gt;="&amp;$A$3,$A$10:$A$3487,"&lt;="&amp;$A$5)</f>
      </c>
      <c r="P2" s="84">
        <f t="shared" ref="P2:P8" si="420">C2-O2</f>
      </c>
      <c r="Q2" s="85">
        <f t="shared" ref="Q2:Q8" si="0">O2/C2</f>
      </c>
      <c r="R2" s="85">
        <f t="shared" ref="R2:R7" si="106">H2/(E2*Q2)</f>
      </c>
    </row>
    <row customHeight="true" ht="23.703703703703702" r="3">
      <c r="A3" s="86">
        <v>46082</v>
      </c>
      <c r="B3" s="79" t="s">
        <v>131</v>
      </c>
      <c r="C3" s="79">
        <f t="shared" si="360"/>
      </c>
      <c r="D3" s="80">
        <v>58</v>
      </c>
      <c r="E3" s="81">
        <f t="shared" si="419"/>
      </c>
      <c r="F3" s="82"/>
      <c r="G3" s="81">
        <f t="shared" si="592"/>
      </c>
      <c r="H3" s="81">
        <f t="shared" si="650"/>
      </c>
      <c r="I3" s="81">
        <f t="shared" si="105"/>
      </c>
      <c r="J3" s="81">
        <f t="shared" si="164"/>
      </c>
      <c r="K3" s="83">
        <f t="shared" si="232"/>
      </c>
      <c r="L3" s="81">
        <f t="shared" si="301"/>
      </c>
      <c r="M3" s="81">
        <f t="shared" si="233"/>
      </c>
      <c r="N3" s="83">
        <f t="shared" si="302"/>
      </c>
      <c r="O3" s="84">
        <f t="shared" si="361"/>
      </c>
      <c r="P3" s="84">
        <f t="shared" si="420"/>
      </c>
      <c r="Q3" s="85">
        <f t="shared" si="0"/>
      </c>
      <c r="R3" s="85">
        <f t="shared" si="106"/>
      </c>
    </row>
    <row customHeight="true" ht="23.703703703703702" r="4">
      <c r="A4" s="78" t="s">
        <v>132</v>
      </c>
      <c r="B4" s="79" t="s">
        <v>133</v>
      </c>
      <c r="C4" s="79">
        <f t="shared" si="360"/>
      </c>
      <c r="D4" s="80">
        <v>58.8</v>
      </c>
      <c r="E4" s="81">
        <f t="shared" si="419"/>
      </c>
      <c r="F4" s="82"/>
      <c r="G4" s="81">
        <f t="shared" si="592"/>
      </c>
      <c r="H4" s="81">
        <f t="shared" si="650"/>
      </c>
      <c r="I4" s="81">
        <f t="shared" si="105"/>
      </c>
      <c r="J4" s="81">
        <f t="shared" si="164"/>
      </c>
      <c r="K4" s="83">
        <f t="shared" si="232"/>
      </c>
      <c r="L4" s="81">
        <f t="shared" si="301"/>
      </c>
      <c r="M4" s="81">
        <f t="shared" si="233"/>
      </c>
      <c r="N4" s="83">
        <f t="shared" si="302"/>
      </c>
      <c r="O4" s="84">
        <f t="shared" si="361"/>
      </c>
      <c r="P4" s="84">
        <f t="shared" si="420"/>
      </c>
      <c r="Q4" s="85">
        <f t="shared" si="0"/>
      </c>
      <c r="R4" s="85">
        <f t="shared" si="106"/>
      </c>
    </row>
    <row customHeight="true" ht="23.703703703703702" r="5">
      <c r="A5" s="86">
        <v>46112</v>
      </c>
      <c r="B5" s="79" t="s">
        <v>134</v>
      </c>
      <c r="C5" s="79">
        <f t="shared" si="360"/>
      </c>
      <c r="D5" s="80">
        <v>59.35</v>
      </c>
      <c r="E5" s="81">
        <f t="shared" si="419"/>
      </c>
      <c r="F5" s="82"/>
      <c r="G5" s="81">
        <f t="shared" si="592"/>
      </c>
      <c r="H5" s="81">
        <f t="shared" si="650"/>
      </c>
      <c r="I5" s="81">
        <f t="shared" si="105"/>
      </c>
      <c r="J5" s="81">
        <f t="shared" si="164"/>
      </c>
      <c r="K5" s="83">
        <f t="shared" si="232"/>
      </c>
      <c r="L5" s="81">
        <f t="shared" si="301"/>
      </c>
      <c r="M5" s="81">
        <f t="shared" si="233"/>
      </c>
      <c r="N5" s="83">
        <f t="shared" si="302"/>
      </c>
      <c r="O5" s="84">
        <f t="shared" si="361"/>
      </c>
      <c r="P5" s="84">
        <f t="shared" si="420"/>
      </c>
      <c r="Q5" s="85">
        <f t="shared" si="0"/>
      </c>
      <c r="R5" s="85">
        <f t="shared" si="106"/>
      </c>
    </row>
    <row customHeight="true" ht="23.703703703703702" r="6">
      <c r="A6" s="78" t="s">
        <v>135</v>
      </c>
      <c r="B6" s="79" t="s">
        <v>136</v>
      </c>
      <c r="C6" s="79">
        <f t="shared" si="360"/>
      </c>
      <c r="D6" s="80">
        <v>55.3</v>
      </c>
      <c r="E6" s="81">
        <f t="shared" si="419"/>
      </c>
      <c r="F6" s="82"/>
      <c r="G6" s="81">
        <f t="shared" si="592"/>
      </c>
      <c r="H6" s="81">
        <f t="shared" si="650"/>
      </c>
      <c r="I6" s="81">
        <f t="shared" si="105"/>
      </c>
      <c r="J6" s="81">
        <f t="shared" si="164"/>
      </c>
      <c r="K6" s="83">
        <f t="shared" si="232"/>
      </c>
      <c r="L6" s="81">
        <f t="shared" si="301"/>
      </c>
      <c r="M6" s="81">
        <f t="shared" si="233"/>
      </c>
      <c r="N6" s="83">
        <f t="shared" si="302"/>
      </c>
      <c r="O6" s="84">
        <f t="shared" si="361"/>
      </c>
      <c r="P6" s="84">
        <f t="shared" si="420"/>
      </c>
      <c r="Q6" s="85">
        <f t="shared" si="0"/>
      </c>
      <c r="R6" s="85">
        <f t="shared" si="106"/>
      </c>
    </row>
    <row customHeight="true" ht="23.703703703703702" r="7">
      <c r="A7" s="87">
        <f>NOW()</f>
      </c>
      <c r="B7" s="79" t="s">
        <v>137</v>
      </c>
      <c r="C7" s="79">
        <f t="shared" si="360"/>
      </c>
      <c r="D7" s="80">
        <v>49.99</v>
      </c>
      <c r="E7" s="81">
        <f t="shared" si="419"/>
      </c>
      <c r="F7" s="82"/>
      <c r="G7" s="81">
        <f t="shared" si="592"/>
      </c>
      <c r="H7" s="81">
        <f t="shared" si="650"/>
      </c>
      <c r="I7" s="81">
        <f t="shared" si="105"/>
      </c>
      <c r="J7" s="81">
        <f t="shared" si="164"/>
      </c>
      <c r="K7" s="83">
        <f t="shared" si="232"/>
      </c>
      <c r="L7" s="81">
        <f t="shared" si="301"/>
      </c>
      <c r="M7" s="81">
        <f t="shared" si="233"/>
      </c>
      <c r="N7" s="83">
        <f t="shared" si="302"/>
      </c>
      <c r="O7" s="84">
        <f t="shared" si="361"/>
      </c>
      <c r="P7" s="84">
        <f t="shared" si="420"/>
      </c>
      <c r="Q7" s="85">
        <f t="shared" si="0"/>
      </c>
      <c r="R7" s="85">
        <f t="shared" si="106"/>
      </c>
    </row>
    <row customHeight="true" ht="23.703703703703702" r="8">
      <c r="A8" s="88"/>
      <c r="B8" s="79" t="s">
        <v>111</v>
      </c>
      <c r="C8" s="79">
        <f>SUM(C2:C7)</f>
      </c>
      <c r="D8" s="89"/>
      <c r="E8" s="81"/>
      <c r="F8" s="82"/>
      <c r="G8" s="81"/>
      <c r="H8" s="81"/>
      <c r="I8" s="81"/>
      <c r="J8" s="81"/>
      <c r="K8" s="83">
        <f>L8/M8</f>
      </c>
      <c r="L8" s="81">
        <f>SUM(L2:L7)</f>
      </c>
      <c r="M8" s="81">
        <f>SUM(M2:M7)</f>
      </c>
      <c r="N8" s="83"/>
      <c r="O8" s="84">
        <f>SUM(O2:O7)</f>
      </c>
      <c r="P8" s="84">
        <f t="shared" si="420"/>
      </c>
      <c r="Q8" s="85">
        <f t="shared" si="0"/>
      </c>
      <c r="R8" s="85"/>
    </row>
    <row customHeight="true" ht="23.703703703703702" r="9">
      <c r="B9" s="77" t="s">
        <v>138</v>
      </c>
    </row>
    <row customHeight="true" ht="23.703703703703702" r="10">
      <c r="A10" s="71" t="s">
        <v>139</v>
      </c>
      <c r="B10" s="72" t="s">
        <v>112</v>
      </c>
      <c r="C10" s="90" t="s">
        <v>113</v>
      </c>
      <c r="D10" s="72" t="s">
        <v>114</v>
      </c>
      <c r="E10" s="73" t="s">
        <v>115</v>
      </c>
      <c r="F10" s="74" t="s">
        <v>116</v>
      </c>
      <c r="G10" s="73" t="s">
        <v>117</v>
      </c>
      <c r="H10" s="91" t="s">
        <v>118</v>
      </c>
      <c r="I10" s="73" t="s">
        <v>119</v>
      </c>
      <c r="J10" s="73" t="s">
        <v>116</v>
      </c>
      <c r="K10" s="75" t="s">
        <v>120</v>
      </c>
      <c r="L10" s="73" t="s">
        <v>121</v>
      </c>
      <c r="M10" s="73" t="s">
        <v>122</v>
      </c>
      <c r="N10" s="72" t="s">
        <v>123</v>
      </c>
      <c r="O10" s="92" t="s">
        <v>124</v>
      </c>
      <c r="P10" s="76" t="s">
        <v>125</v>
      </c>
      <c r="Q10" s="75" t="s">
        <v>126</v>
      </c>
      <c r="R10" s="75" t="s">
        <v>127</v>
      </c>
      <c r="S10" s="75" t="s">
        <v>140</v>
      </c>
    </row>
    <row customHeight="true" ht="23.703703703703702" r="11">
      <c r="A11" s="93">
        <v>46034</v>
      </c>
      <c r="B11" s="79" t="s">
        <v>130</v>
      </c>
      <c r="C11" s="79">
        <v>0</v>
      </c>
      <c r="D11" s="94" cm="1">
        <f t="array" ref="D11:D11">_xlfn.XLOOKUP(B11&amp;S11,'净-价格-毛利'!A:A&amp;'净-价格-毛利'!B:B,'净-价格-毛利'!D:D,0)</f>
      </c>
      <c r="E11" s="81">
        <f t="shared" ref="E11:E21" si="478">C11*D11</f>
      </c>
      <c r="F11" s="80" cm="1">
        <f t="array" ref="F11:F11">_xlfn.XLOOKUP(B11&amp;S11,'净-价格-毛利'!A:A&amp;'净-价格-毛利'!B:B,'净-价格-毛利'!C:C,0)</f>
      </c>
      <c r="G11" s="81">
        <f>C11*5</f>
      </c>
      <c r="H11" s="81"/>
      <c r="I11" s="81">
        <f t="shared" ref="I11:I21" si="107">E11*0.025</f>
      </c>
      <c r="J11" s="81">
        <f t="shared" ref="J11:J20" si="165">F11*C11+G11-H11-I11</f>
      </c>
      <c r="K11" s="83">
        <f t="shared" ref="K11:K22" si="234">IFERROR(J11/E11,0)</f>
      </c>
      <c r="L11" s="81">
        <f t="shared" ref="L11:L18" si="303">J11*8</f>
      </c>
      <c r="M11" s="81">
        <f t="shared" ref="M11:M18" si="362">E11*8</f>
      </c>
      <c r="N11" s="83">
        <f t="shared" ref="N11:N21" si="535">IFERROR(H11/E11,0)</f>
      </c>
      <c r="O11" s="95"/>
      <c r="P11" s="95">
        <f t="shared" ref="P11:P22" si="421">C11-O11</f>
      </c>
      <c r="Q11" s="85">
        <f t="shared" ref="Q11:Q22" si="593">IFERROR(O11/C11,0)</f>
      </c>
      <c r="R11" s="85">
        <f t="shared" ref="R11:R20" si="48">IFERROR(H11/(E11*Q11),0)</f>
      </c>
      <c r="S11" s="96" t="s">
        <v>141</v>
      </c>
    </row>
    <row customHeight="true" ht="23.703703703703702" r="12">
      <c r="A12" s="93">
        <v>46034</v>
      </c>
      <c r="B12" s="79" t="s">
        <v>130</v>
      </c>
      <c r="C12" s="79">
        <v>4</v>
      </c>
      <c r="D12" s="94" cm="1">
        <f t="array" ref="D12:D12">_xlfn.XLOOKUP(B12&amp;S12,'净-价格-毛利'!A:A&amp;'净-价格-毛利'!B:B,'净-价格-毛利'!D:D,0)</f>
      </c>
      <c r="E12" s="81">
        <f t="shared" si="478"/>
      </c>
      <c r="F12" s="80" cm="1">
        <f t="array" ref="F12:F12">_xlfn.XLOOKUP(B12&amp;S12,'净-价格-毛利'!A:A&amp;'净-价格-毛利'!B:B,'净-价格-毛利'!C:C,0)</f>
      </c>
      <c r="G12" s="81">
        <f>C12*6</f>
      </c>
      <c r="H12" s="81">
        <v>111.54</v>
      </c>
      <c r="I12" s="81">
        <f t="shared" si="107"/>
      </c>
      <c r="J12" s="81">
        <f t="shared" si="165"/>
      </c>
      <c r="K12" s="83">
        <f t="shared" si="234"/>
      </c>
      <c r="L12" s="81">
        <f t="shared" si="303"/>
      </c>
      <c r="M12" s="81">
        <f t="shared" si="362"/>
      </c>
      <c r="N12" s="83">
        <f t="shared" si="535"/>
      </c>
      <c r="O12" s="84">
        <v>4</v>
      </c>
      <c r="P12" s="95">
        <f t="shared" si="421"/>
      </c>
      <c r="Q12" s="85">
        <f t="shared" si="593"/>
      </c>
      <c r="R12" s="85">
        <f t="shared" si="48"/>
      </c>
      <c r="S12" s="97" t="s">
        <v>142</v>
      </c>
    </row>
    <row customHeight="true" ht="23.703703703703702" r="13">
      <c r="A13" s="93">
        <v>46034</v>
      </c>
      <c r="B13" s="79" t="s">
        <v>131</v>
      </c>
      <c r="C13" s="79">
        <v>0</v>
      </c>
      <c r="D13" s="94" cm="1">
        <f t="array" ref="D13:D13">_xlfn.XLOOKUP(B13&amp;S13,'净-价格-毛利'!A:A&amp;'净-价格-毛利'!B:B,'净-价格-毛利'!D:D,0)</f>
      </c>
      <c r="E13" s="81">
        <f t="shared" si="478"/>
      </c>
      <c r="F13" s="80" cm="1">
        <f t="array" ref="F13:F13">_xlfn.XLOOKUP(B13&amp;S13,'净-价格-毛利'!A:A&amp;'净-价格-毛利'!B:B,'净-价格-毛利'!C:C,0)</f>
      </c>
      <c r="G13" s="81">
        <f>C13*5</f>
      </c>
      <c r="H13" s="81"/>
      <c r="I13" s="81">
        <f t="shared" si="107"/>
      </c>
      <c r="J13" s="81">
        <f t="shared" si="165"/>
      </c>
      <c r="K13" s="83">
        <f t="shared" si="234"/>
      </c>
      <c r="L13" s="81">
        <f t="shared" si="303"/>
      </c>
      <c r="M13" s="81">
        <f t="shared" si="362"/>
      </c>
      <c r="N13" s="83">
        <f t="shared" si="535"/>
      </c>
      <c r="O13" s="95"/>
      <c r="P13" s="95">
        <f t="shared" si="421"/>
      </c>
      <c r="Q13" s="85">
        <f t="shared" si="593"/>
      </c>
      <c r="R13" s="85">
        <f t="shared" si="48"/>
      </c>
      <c r="S13" s="96" t="s">
        <v>141</v>
      </c>
    </row>
    <row customHeight="true" ht="23.703703703703702" r="14">
      <c r="A14" s="93">
        <v>46034</v>
      </c>
      <c r="B14" s="79" t="s">
        <v>131</v>
      </c>
      <c r="C14" s="79">
        <v>1</v>
      </c>
      <c r="D14" s="94" cm="1">
        <f t="array" ref="D14:D14">_xlfn.XLOOKUP(B14&amp;S14,'净-价格-毛利'!A:A&amp;'净-价格-毛利'!B:B,'净-价格-毛利'!D:D,0)</f>
      </c>
      <c r="E14" s="81">
        <f t="shared" si="478"/>
      </c>
      <c r="F14" s="80" cm="1">
        <f t="array" ref="F14:F14">_xlfn.XLOOKUP(B14&amp;S14,'净-价格-毛利'!A:A&amp;'净-价格-毛利'!B:B,'净-价格-毛利'!C:C,0)</f>
      </c>
      <c r="G14" s="81">
        <f>C14*6</f>
      </c>
      <c r="H14" s="81">
        <v>26.33</v>
      </c>
      <c r="I14" s="81">
        <f t="shared" si="107"/>
      </c>
      <c r="J14" s="81">
        <f t="shared" si="165"/>
      </c>
      <c r="K14" s="83">
        <f t="shared" si="234"/>
      </c>
      <c r="L14" s="81">
        <f t="shared" si="303"/>
      </c>
      <c r="M14" s="81">
        <f t="shared" si="362"/>
      </c>
      <c r="N14" s="83">
        <f t="shared" si="535"/>
      </c>
      <c r="O14" s="95">
        <v>1</v>
      </c>
      <c r="P14" s="95">
        <f t="shared" si="421"/>
      </c>
      <c r="Q14" s="85">
        <f t="shared" si="593"/>
      </c>
      <c r="R14" s="85">
        <f t="shared" si="48"/>
      </c>
      <c r="S14" s="97" t="s">
        <v>143</v>
      </c>
    </row>
    <row customHeight="true" ht="23.703703703703702" r="15">
      <c r="A15" s="93">
        <v>46034</v>
      </c>
      <c r="B15" s="79" t="s">
        <v>133</v>
      </c>
      <c r="C15" s="79">
        <v>0</v>
      </c>
      <c r="D15" s="94" cm="1">
        <f t="array" ref="D15:D15">_xlfn.XLOOKUP(B15&amp;S15,'净-价格-毛利'!A:A&amp;'净-价格-毛利'!B:B,'净-价格-毛利'!D:D,0)</f>
      </c>
      <c r="E15" s="81">
        <f t="shared" si="478"/>
      </c>
      <c r="F15" s="80" cm="1">
        <f t="array" ref="F15:F15">_xlfn.XLOOKUP(B15&amp;S15,'净-价格-毛利'!A:A&amp;'净-价格-毛利'!B:B,'净-价格-毛利'!C:C,0)</f>
      </c>
      <c r="G15" s="81">
        <f>C15*5</f>
      </c>
      <c r="H15" s="81"/>
      <c r="I15" s="81">
        <f t="shared" si="107"/>
      </c>
      <c r="J15" s="81">
        <f t="shared" si="165"/>
      </c>
      <c r="K15" s="83">
        <f t="shared" si="234"/>
      </c>
      <c r="L15" s="81">
        <f t="shared" si="303"/>
      </c>
      <c r="M15" s="81">
        <f t="shared" si="362"/>
      </c>
      <c r="N15" s="83">
        <f t="shared" si="535"/>
      </c>
      <c r="O15" s="95"/>
      <c r="P15" s="95">
        <f t="shared" si="421"/>
      </c>
      <c r="Q15" s="85">
        <f t="shared" si="593"/>
      </c>
      <c r="R15" s="85">
        <f t="shared" si="48"/>
      </c>
      <c r="S15" s="96" t="s">
        <v>141</v>
      </c>
    </row>
    <row customHeight="true" ht="23.703703703703702" r="16">
      <c r="A16" s="93">
        <v>46034</v>
      </c>
      <c r="B16" s="79" t="s">
        <v>133</v>
      </c>
      <c r="C16" s="79">
        <v>0</v>
      </c>
      <c r="D16" s="94" cm="1">
        <f t="array" ref="D16:D16">_xlfn.XLOOKUP(B16&amp;S16,'净-价格-毛利'!A:A&amp;'净-价格-毛利'!B:B,'净-价格-毛利'!D:D,0)</f>
      </c>
      <c r="E16" s="81">
        <f t="shared" si="478"/>
      </c>
      <c r="F16" s="80" cm="1">
        <f t="array" ref="F16:F16">_xlfn.XLOOKUP(B16&amp;S16,'净-价格-毛利'!A:A&amp;'净-价格-毛利'!B:B,'净-价格-毛利'!C:C,0)</f>
      </c>
      <c r="G16" s="81">
        <f>C16*6</f>
      </c>
      <c r="H16" s="81"/>
      <c r="I16" s="81">
        <f t="shared" si="107"/>
      </c>
      <c r="J16" s="81">
        <f t="shared" si="165"/>
      </c>
      <c r="K16" s="83">
        <f t="shared" si="234"/>
      </c>
      <c r="L16" s="81">
        <f t="shared" si="303"/>
      </c>
      <c r="M16" s="81">
        <f t="shared" si="362"/>
      </c>
      <c r="N16" s="83">
        <f t="shared" si="535"/>
      </c>
      <c r="O16" s="84"/>
      <c r="P16" s="95">
        <f t="shared" si="421"/>
      </c>
      <c r="Q16" s="85">
        <f t="shared" si="593"/>
      </c>
      <c r="R16" s="85">
        <f t="shared" si="48"/>
      </c>
      <c r="S16" s="97" t="s">
        <v>143</v>
      </c>
    </row>
    <row customHeight="true" ht="23.703703703703702" r="17">
      <c r="A17" s="93">
        <v>46034</v>
      </c>
      <c r="B17" s="79" t="s">
        <v>134</v>
      </c>
      <c r="C17" s="79">
        <v>0</v>
      </c>
      <c r="D17" s="94" cm="1">
        <f t="array" ref="D17:D17">_xlfn.XLOOKUP(B17&amp;S17,'净-价格-毛利'!A:A&amp;'净-价格-毛利'!B:B,'净-价格-毛利'!D:D,0)</f>
      </c>
      <c r="E17" s="81">
        <f t="shared" si="478"/>
      </c>
      <c r="F17" s="80" cm="1">
        <f t="array" ref="F17:F17">_xlfn.XLOOKUP(B17&amp;S17,'净-价格-毛利'!A:A&amp;'净-价格-毛利'!B:B,'净-价格-毛利'!C:C,0)</f>
      </c>
      <c r="G17" s="81">
        <f>C17*5</f>
      </c>
      <c r="H17" s="81"/>
      <c r="I17" s="81">
        <f t="shared" si="107"/>
      </c>
      <c r="J17" s="81">
        <f t="shared" si="165"/>
      </c>
      <c r="K17" s="83">
        <f t="shared" si="234"/>
      </c>
      <c r="L17" s="81">
        <f t="shared" si="303"/>
      </c>
      <c r="M17" s="81">
        <f t="shared" si="362"/>
      </c>
      <c r="N17" s="83">
        <f t="shared" si="535"/>
      </c>
      <c r="O17" s="95"/>
      <c r="P17" s="95">
        <f t="shared" si="421"/>
      </c>
      <c r="Q17" s="85">
        <f t="shared" si="593"/>
      </c>
      <c r="R17" s="85">
        <f t="shared" si="48"/>
      </c>
      <c r="S17" s="96" t="s">
        <v>141</v>
      </c>
    </row>
    <row customHeight="true" ht="23.703703703703702" r="18">
      <c r="A18" s="93">
        <v>46034</v>
      </c>
      <c r="B18" s="79" t="s">
        <v>134</v>
      </c>
      <c r="C18" s="79">
        <v>1</v>
      </c>
      <c r="D18" s="94" cm="1">
        <f t="array" ref="D18:D18">_xlfn.XLOOKUP(B18&amp;S18,'净-价格-毛利'!A:A&amp;'净-价格-毛利'!B:B,'净-价格-毛利'!D:D,0)</f>
      </c>
      <c r="E18" s="81">
        <f t="shared" si="478"/>
      </c>
      <c r="F18" s="80" cm="1">
        <f t="array" ref="F18:F18">_xlfn.XLOOKUP(B18&amp;S18,'净-价格-毛利'!A:A&amp;'净-价格-毛利'!B:B,'净-价格-毛利'!C:C,0)</f>
      </c>
      <c r="G18" s="81">
        <f>C18*6</f>
      </c>
      <c r="H18" s="81">
        <v>5.72</v>
      </c>
      <c r="I18" s="81">
        <f t="shared" si="107"/>
      </c>
      <c r="J18" s="81">
        <f t="shared" si="165"/>
      </c>
      <c r="K18" s="83">
        <f t="shared" si="234"/>
      </c>
      <c r="L18" s="81">
        <f t="shared" si="303"/>
      </c>
      <c r="M18" s="81">
        <f t="shared" si="362"/>
      </c>
      <c r="N18" s="83">
        <f t="shared" si="535"/>
      </c>
      <c r="O18" s="95">
        <v>0</v>
      </c>
      <c r="P18" s="95">
        <f t="shared" si="421"/>
      </c>
      <c r="Q18" s="85">
        <f t="shared" si="593"/>
      </c>
      <c r="R18" s="85">
        <f t="shared" si="48"/>
      </c>
      <c r="S18" s="97" t="s">
        <v>143</v>
      </c>
    </row>
    <row customHeight="true" ht="23.703703703703702" r="19">
      <c r="A19" s="93">
        <v>46034</v>
      </c>
      <c r="B19" s="79" t="s">
        <v>136</v>
      </c>
      <c r="C19" s="79">
        <v>0</v>
      </c>
      <c r="D19" s="94" cm="1">
        <f t="array" ref="D19:D19">_xlfn.XLOOKUP(B19&amp;S19,'净-价格-毛利'!A:A&amp;'净-价格-毛利'!B:B,'净-价格-毛利'!D:D,0)</f>
      </c>
      <c r="E19" s="81">
        <f t="shared" si="478"/>
      </c>
      <c r="F19" s="80" cm="1">
        <f t="array" ref="F19:F19">_xlfn.XLOOKUP(B19&amp;S19,'净-价格-毛利'!A:A&amp;'净-价格-毛利'!B:B,'净-价格-毛利'!C:C,0)</f>
      </c>
      <c r="G19" s="81">
        <f>C19*5</f>
      </c>
      <c r="H19" s="81">
        <v>23.42</v>
      </c>
      <c r="I19" s="81">
        <f t="shared" si="107"/>
      </c>
      <c r="J19" s="81">
        <f t="shared" si="165"/>
      </c>
      <c r="K19" s="83">
        <f t="shared" si="234"/>
      </c>
      <c r="L19" s="81">
        <f t="shared" ref="L19:L20" si="222">J19*9</f>
      </c>
      <c r="M19" s="81">
        <f t="shared" ref="M19:M20" si="291">E19*9</f>
      </c>
      <c r="N19" s="83">
        <f t="shared" si="535"/>
      </c>
      <c r="O19" s="95">
        <v>0</v>
      </c>
      <c r="P19" s="95">
        <f t="shared" si="421"/>
      </c>
      <c r="Q19" s="85">
        <f t="shared" si="593"/>
      </c>
      <c r="R19" s="85">
        <f t="shared" si="48"/>
      </c>
      <c r="S19" s="96" t="s">
        <v>141</v>
      </c>
    </row>
    <row customHeight="true" ht="23.703703703703702" r="20">
      <c r="A20" s="93">
        <v>46034</v>
      </c>
      <c r="B20" s="79" t="s">
        <v>136</v>
      </c>
      <c r="C20" s="79">
        <v>0</v>
      </c>
      <c r="D20" s="94" cm="1">
        <f t="array" ref="D20:D20">_xlfn.XLOOKUP(B20&amp;S20,'净-价格-毛利'!A:A&amp;'净-价格-毛利'!B:B,'净-价格-毛利'!D:D,0)</f>
      </c>
      <c r="E20" s="81">
        <f t="shared" si="478"/>
      </c>
      <c r="F20" s="80" cm="1">
        <f t="array" ref="F20:F20">_xlfn.XLOOKUP(B20&amp;S20,'净-价格-毛利'!A:A&amp;'净-价格-毛利'!B:B,'净-价格-毛利'!C:C,0)</f>
      </c>
      <c r="G20" s="81">
        <f>C20*6</f>
      </c>
      <c r="H20" s="81">
        <v>0</v>
      </c>
      <c r="I20" s="81">
        <f t="shared" si="107"/>
      </c>
      <c r="J20" s="81">
        <f t="shared" si="165"/>
      </c>
      <c r="K20" s="83">
        <f t="shared" si="234"/>
      </c>
      <c r="L20" s="81">
        <f t="shared" si="222"/>
      </c>
      <c r="M20" s="81">
        <f t="shared" si="291"/>
      </c>
      <c r="N20" s="83">
        <f t="shared" si="535"/>
      </c>
      <c r="O20" s="95">
        <v>0</v>
      </c>
      <c r="P20" s="95">
        <f t="shared" si="421"/>
      </c>
      <c r="Q20" s="85">
        <f t="shared" si="593"/>
      </c>
      <c r="R20" s="85">
        <f t="shared" si="48"/>
      </c>
      <c r="S20" s="97" t="s">
        <v>144</v>
      </c>
    </row>
    <row customHeight="true" ht="23.703703703703702" r="21">
      <c r="A21" s="93">
        <v>46034</v>
      </c>
      <c r="B21" s="79" t="s">
        <v>137</v>
      </c>
      <c r="C21" s="79">
        <v>0</v>
      </c>
      <c r="D21" s="94" cm="1">
        <f t="array" ref="D21:D21">_xlfn.XLOOKUP(B21&amp;S21,'净-价格-毛利'!A:A&amp;'净-价格-毛利'!B:B,'净-价格-毛利'!D:D,0)</f>
      </c>
      <c r="E21" s="81">
        <f t="shared" si="478"/>
      </c>
      <c r="F21" s="80" cm="1">
        <f t="array" ref="F21:F21">_xlfn.XLOOKUP(B21&amp;S21,'净-价格-毛利'!A:A&amp;'净-价格-毛利'!B:B,'净-价格-毛利'!C:C,0)</f>
      </c>
      <c r="G21" s="81"/>
      <c r="H21" s="81"/>
      <c r="I21" s="81">
        <f t="shared" si="107"/>
      </c>
      <c r="J21" s="81">
        <f>C21*F21-H21-I21</f>
      </c>
      <c r="K21" s="83">
        <f t="shared" si="234"/>
      </c>
      <c r="L21" s="81">
        <f>J21*7</f>
      </c>
      <c r="M21" s="81">
        <f>E21*7</f>
      </c>
      <c r="N21" s="83">
        <f t="shared" si="535"/>
      </c>
      <c r="O21" s="84"/>
      <c r="P21" s="84">
        <f t="shared" si="421"/>
      </c>
      <c r="Q21" s="85">
        <f t="shared" si="593"/>
      </c>
      <c r="R21" s="85"/>
      <c r="S21" s="96"/>
    </row>
    <row customHeight="true" ht="23.703703703703702" r="22">
      <c r="A22" s="93">
        <v>46034</v>
      </c>
      <c r="B22" s="79" t="s">
        <v>111</v>
      </c>
      <c r="C22" s="79">
        <f>SUM(C11:C21)</f>
      </c>
      <c r="D22" s="89"/>
      <c r="E22" s="81">
        <f>SUM(E11:E21)</f>
      </c>
      <c r="F22" s="82">
        <f>SUM(F11:F20)</f>
      </c>
      <c r="G22" s="81"/>
      <c r="H22" s="81"/>
      <c r="I22" s="81"/>
      <c r="J22" s="81">
        <f>SUM(J11:J21)</f>
      </c>
      <c r="K22" s="83">
        <f t="shared" si="234"/>
      </c>
      <c r="L22" s="81">
        <f>SUM(L11:L21)</f>
      </c>
      <c r="M22" s="81">
        <f>SUM(M11:M21)</f>
      </c>
      <c r="N22" s="83"/>
      <c r="O22" s="95">
        <f>SUM(O11:O20)</f>
      </c>
      <c r="P22" s="95">
        <f t="shared" si="421"/>
      </c>
      <c r="Q22" s="85">
        <f t="shared" si="593"/>
      </c>
      <c r="R22" s="85"/>
      <c r="S22" s="89"/>
    </row>
    <row customHeight="true" ht="23.703703703703702" r="23">
      <c r="B23" s="77" t="s">
        <v>138</v>
      </c>
    </row>
    <row customHeight="true" ht="23.703703703703702" r="24">
      <c r="A24" s="71" t="s">
        <v>139</v>
      </c>
      <c r="B24" s="72" t="s">
        <v>112</v>
      </c>
      <c r="C24" s="90" t="s">
        <v>113</v>
      </c>
      <c r="D24" s="72" t="s">
        <v>114</v>
      </c>
      <c r="E24" s="73" t="s">
        <v>115</v>
      </c>
      <c r="F24" s="74" t="s">
        <v>116</v>
      </c>
      <c r="G24" s="73" t="s">
        <v>117</v>
      </c>
      <c r="H24" s="91" t="s">
        <v>118</v>
      </c>
      <c r="I24" s="73" t="s">
        <v>119</v>
      </c>
      <c r="J24" s="73" t="s">
        <v>116</v>
      </c>
      <c r="K24" s="75" t="s">
        <v>120</v>
      </c>
      <c r="L24" s="73" t="s">
        <v>121</v>
      </c>
      <c r="M24" s="73" t="s">
        <v>122</v>
      </c>
      <c r="N24" s="72" t="s">
        <v>123</v>
      </c>
      <c r="O24" s="92" t="s">
        <v>124</v>
      </c>
      <c r="P24" s="76" t="s">
        <v>125</v>
      </c>
      <c r="Q24" s="75" t="s">
        <v>126</v>
      </c>
      <c r="R24" s="75" t="s">
        <v>127</v>
      </c>
      <c r="S24" s="75" t="s">
        <v>140</v>
      </c>
    </row>
    <row customHeight="true" ht="23.703703703703702" r="25">
      <c r="A25" s="93">
        <v>46035</v>
      </c>
      <c r="B25" s="79" t="s">
        <v>130</v>
      </c>
      <c r="C25" s="79">
        <v>0</v>
      </c>
      <c r="D25" s="94" cm="1">
        <f t="array" ref="D25:D25">_xlfn.XLOOKUP(B25&amp;S25,'净-价格-毛利'!A:A&amp;'净-价格-毛利'!B:B,'净-价格-毛利'!D:D,0)</f>
      </c>
      <c r="E25" s="81">
        <f t="shared" ref="E25:E35" si="479">C25*D25</f>
      </c>
      <c r="F25" s="80" cm="1">
        <f t="array" ref="F25:F25">_xlfn.XLOOKUP(B25&amp;S25,'净-价格-毛利'!A:A&amp;'净-价格-毛利'!B:B,'净-价格-毛利'!C:C,0)</f>
      </c>
      <c r="G25" s="81">
        <f>C25*5</f>
      </c>
      <c r="H25" s="81"/>
      <c r="I25" s="81">
        <f t="shared" ref="I25:I35" si="108">E25*0.025</f>
      </c>
      <c r="J25" s="81">
        <f t="shared" ref="J25:J34" si="166">F25*C25+G25-H25-I25</f>
      </c>
      <c r="K25" s="83">
        <f t="shared" ref="K25:K36" si="235">IFERROR(J25/E25,0)</f>
      </c>
      <c r="L25" s="81">
        <f t="shared" ref="L25:L32" si="304">J25*8</f>
      </c>
      <c r="M25" s="81">
        <f t="shared" ref="M25:M32" si="363">E25*8</f>
      </c>
      <c r="N25" s="83">
        <f t="shared" ref="N25:N35" si="536">IFERROR(H25/E25,0)</f>
      </c>
      <c r="O25" s="95"/>
      <c r="P25" s="95">
        <f t="shared" ref="P25:P36" si="422">C25-O25</f>
      </c>
      <c r="Q25" s="85">
        <f t="shared" ref="Q25:Q36" si="594">IFERROR(O25/C25,0)</f>
      </c>
      <c r="R25" s="85">
        <f t="shared" ref="R25:R34" si="49">IFERROR(H25/(E25*Q25),0)</f>
      </c>
      <c r="S25" s="96" t="s">
        <v>141</v>
      </c>
    </row>
    <row customHeight="true" ht="23.703703703703702" r="26">
      <c r="A26" s="93">
        <v>46035</v>
      </c>
      <c r="B26" s="79" t="s">
        <v>130</v>
      </c>
      <c r="C26" s="79">
        <v>4</v>
      </c>
      <c r="D26" s="94" cm="1">
        <f t="array" ref="D26:D26">_xlfn.XLOOKUP(B26&amp;S26,'净-价格-毛利'!A:A&amp;'净-价格-毛利'!B:B,'净-价格-毛利'!D:D,0)</f>
      </c>
      <c r="E26" s="81">
        <f t="shared" si="479"/>
      </c>
      <c r="F26" s="80" cm="1">
        <f t="array" ref="F26:F26">_xlfn.XLOOKUP(B26&amp;S26,'净-价格-毛利'!A:A&amp;'净-价格-毛利'!B:B,'净-价格-毛利'!C:C,0)</f>
      </c>
      <c r="G26" s="81">
        <f>C26*6</f>
      </c>
      <c r="H26" s="81">
        <v>118.37</v>
      </c>
      <c r="I26" s="81">
        <f t="shared" si="108"/>
      </c>
      <c r="J26" s="81">
        <f t="shared" si="166"/>
      </c>
      <c r="K26" s="83">
        <f t="shared" si="235"/>
      </c>
      <c r="L26" s="81">
        <f t="shared" si="304"/>
      </c>
      <c r="M26" s="81">
        <f t="shared" si="363"/>
      </c>
      <c r="N26" s="83">
        <f t="shared" si="536"/>
      </c>
      <c r="O26" s="84">
        <v>3</v>
      </c>
      <c r="P26" s="95">
        <f t="shared" si="422"/>
      </c>
      <c r="Q26" s="85">
        <f t="shared" si="594"/>
      </c>
      <c r="R26" s="85">
        <f t="shared" si="49"/>
      </c>
      <c r="S26" s="97" t="s">
        <v>142</v>
      </c>
    </row>
    <row customHeight="true" ht="23.703703703703702" r="27">
      <c r="A27" s="93">
        <v>46035</v>
      </c>
      <c r="B27" s="79" t="s">
        <v>131</v>
      </c>
      <c r="C27" s="79">
        <v>0</v>
      </c>
      <c r="D27" s="94" cm="1">
        <f t="array" ref="D27:D27">_xlfn.XLOOKUP(B27&amp;S27,'净-价格-毛利'!A:A&amp;'净-价格-毛利'!B:B,'净-价格-毛利'!D:D,0)</f>
      </c>
      <c r="E27" s="81">
        <f t="shared" si="479"/>
      </c>
      <c r="F27" s="80" cm="1">
        <f t="array" ref="F27:F27">_xlfn.XLOOKUP(B27&amp;S27,'净-价格-毛利'!A:A&amp;'净-价格-毛利'!B:B,'净-价格-毛利'!C:C,0)</f>
      </c>
      <c r="G27" s="81">
        <f>C27*5</f>
      </c>
      <c r="H27" s="81"/>
      <c r="I27" s="81">
        <f t="shared" si="108"/>
      </c>
      <c r="J27" s="81">
        <f t="shared" si="166"/>
      </c>
      <c r="K27" s="83">
        <f t="shared" si="235"/>
      </c>
      <c r="L27" s="81">
        <f t="shared" si="304"/>
      </c>
      <c r="M27" s="81">
        <f t="shared" si="363"/>
      </c>
      <c r="N27" s="83">
        <f t="shared" si="536"/>
      </c>
      <c r="O27" s="95"/>
      <c r="P27" s="95">
        <f t="shared" si="422"/>
      </c>
      <c r="Q27" s="85">
        <f t="shared" si="594"/>
      </c>
      <c r="R27" s="85">
        <f t="shared" si="49"/>
      </c>
      <c r="S27" s="96" t="s">
        <v>141</v>
      </c>
    </row>
    <row customHeight="true" ht="23.703703703703702" r="28">
      <c r="A28" s="93">
        <v>46035</v>
      </c>
      <c r="B28" s="79" t="s">
        <v>131</v>
      </c>
      <c r="C28" s="79">
        <v>0</v>
      </c>
      <c r="D28" s="94" cm="1">
        <f t="array" ref="D28:D28">_xlfn.XLOOKUP(B28&amp;S28,'净-价格-毛利'!A:A&amp;'净-价格-毛利'!B:B,'净-价格-毛利'!D:D,0)</f>
      </c>
      <c r="E28" s="81">
        <f t="shared" si="479"/>
      </c>
      <c r="F28" s="80" cm="1">
        <f t="array" ref="F28:F28">_xlfn.XLOOKUP(B28&amp;S28,'净-价格-毛利'!A:A&amp;'净-价格-毛利'!B:B,'净-价格-毛利'!C:C,0)</f>
      </c>
      <c r="G28" s="81">
        <f>C28*6</f>
      </c>
      <c r="H28" s="81">
        <v>30.92</v>
      </c>
      <c r="I28" s="81">
        <f t="shared" si="108"/>
      </c>
      <c r="J28" s="81">
        <f t="shared" si="166"/>
      </c>
      <c r="K28" s="83">
        <f t="shared" si="235"/>
      </c>
      <c r="L28" s="81">
        <f t="shared" si="304"/>
      </c>
      <c r="M28" s="81">
        <f t="shared" si="363"/>
      </c>
      <c r="N28" s="83">
        <f t="shared" si="536"/>
      </c>
      <c r="O28" s="95">
        <v>0</v>
      </c>
      <c r="P28" s="95">
        <f t="shared" si="422"/>
      </c>
      <c r="Q28" s="85">
        <f t="shared" si="594"/>
      </c>
      <c r="R28" s="85">
        <f t="shared" si="49"/>
      </c>
      <c r="S28" s="97" t="s">
        <v>143</v>
      </c>
    </row>
    <row customHeight="true" ht="23.703703703703702" r="29">
      <c r="A29" s="93">
        <v>46035</v>
      </c>
      <c r="B29" s="79" t="s">
        <v>133</v>
      </c>
      <c r="C29" s="79">
        <v>0</v>
      </c>
      <c r="D29" s="94" cm="1">
        <f t="array" ref="D29:D29">_xlfn.XLOOKUP(B29&amp;S29,'净-价格-毛利'!A:A&amp;'净-价格-毛利'!B:B,'净-价格-毛利'!D:D,0)</f>
      </c>
      <c r="E29" s="81">
        <f t="shared" si="479"/>
      </c>
      <c r="F29" s="80" cm="1">
        <f t="array" ref="F29:F29">_xlfn.XLOOKUP(B29&amp;S29,'净-价格-毛利'!A:A&amp;'净-价格-毛利'!B:B,'净-价格-毛利'!C:C,0)</f>
      </c>
      <c r="G29" s="81">
        <f>C29*5</f>
      </c>
      <c r="H29" s="81"/>
      <c r="I29" s="81">
        <f t="shared" si="108"/>
      </c>
      <c r="J29" s="81">
        <f t="shared" si="166"/>
      </c>
      <c r="K29" s="83">
        <f t="shared" si="235"/>
      </c>
      <c r="L29" s="81">
        <f t="shared" si="304"/>
      </c>
      <c r="M29" s="81">
        <f t="shared" si="363"/>
      </c>
      <c r="N29" s="83">
        <f t="shared" si="536"/>
      </c>
      <c r="O29" s="95"/>
      <c r="P29" s="95">
        <f t="shared" si="422"/>
      </c>
      <c r="Q29" s="85">
        <f t="shared" si="594"/>
      </c>
      <c r="R29" s="85">
        <f t="shared" si="49"/>
      </c>
      <c r="S29" s="96" t="s">
        <v>141</v>
      </c>
    </row>
    <row customHeight="true" ht="23.703703703703702" r="30">
      <c r="A30" s="93">
        <v>46035</v>
      </c>
      <c r="B30" s="79" t="s">
        <v>133</v>
      </c>
      <c r="C30" s="79">
        <v>0</v>
      </c>
      <c r="D30" s="94" cm="1">
        <f t="array" ref="D30:D30">_xlfn.XLOOKUP(B30&amp;S30,'净-价格-毛利'!A:A&amp;'净-价格-毛利'!B:B,'净-价格-毛利'!D:D,0)</f>
      </c>
      <c r="E30" s="81">
        <f t="shared" si="479"/>
      </c>
      <c r="F30" s="80" cm="1">
        <f t="array" ref="F30:F30">_xlfn.XLOOKUP(B30&amp;S30,'净-价格-毛利'!A:A&amp;'净-价格-毛利'!B:B,'净-价格-毛利'!C:C,0)</f>
      </c>
      <c r="G30" s="81">
        <f>C30*6</f>
      </c>
      <c r="H30" s="81"/>
      <c r="I30" s="81">
        <f t="shared" si="108"/>
      </c>
      <c r="J30" s="81">
        <f t="shared" si="166"/>
      </c>
      <c r="K30" s="83">
        <f t="shared" si="235"/>
      </c>
      <c r="L30" s="81">
        <f t="shared" si="304"/>
      </c>
      <c r="M30" s="81">
        <f t="shared" si="363"/>
      </c>
      <c r="N30" s="83">
        <f t="shared" si="536"/>
      </c>
      <c r="O30" s="84"/>
      <c r="P30" s="95">
        <f t="shared" si="422"/>
      </c>
      <c r="Q30" s="85">
        <f t="shared" si="594"/>
      </c>
      <c r="R30" s="85">
        <f t="shared" si="49"/>
      </c>
      <c r="S30" s="97" t="s">
        <v>143</v>
      </c>
    </row>
    <row customHeight="true" ht="23.703703703703702" r="31">
      <c r="A31" s="93">
        <v>46035</v>
      </c>
      <c r="B31" s="79" t="s">
        <v>134</v>
      </c>
      <c r="C31" s="79">
        <v>0</v>
      </c>
      <c r="D31" s="94" cm="1">
        <f t="array" ref="D31:D31">_xlfn.XLOOKUP(B31&amp;S31,'净-价格-毛利'!A:A&amp;'净-价格-毛利'!B:B,'净-价格-毛利'!D:D,0)</f>
      </c>
      <c r="E31" s="81">
        <f t="shared" si="479"/>
      </c>
      <c r="F31" s="80" cm="1">
        <f t="array" ref="F31:F31">_xlfn.XLOOKUP(B31&amp;S31,'净-价格-毛利'!A:A&amp;'净-价格-毛利'!B:B,'净-价格-毛利'!C:C,0)</f>
      </c>
      <c r="G31" s="81">
        <f>C31*5</f>
      </c>
      <c r="H31" s="81"/>
      <c r="I31" s="81">
        <f t="shared" si="108"/>
      </c>
      <c r="J31" s="81">
        <f t="shared" si="166"/>
      </c>
      <c r="K31" s="83">
        <f t="shared" si="235"/>
      </c>
      <c r="L31" s="81">
        <f t="shared" si="304"/>
      </c>
      <c r="M31" s="81">
        <f t="shared" si="363"/>
      </c>
      <c r="N31" s="83">
        <f t="shared" si="536"/>
      </c>
      <c r="O31" s="95"/>
      <c r="P31" s="95">
        <f t="shared" si="422"/>
      </c>
      <c r="Q31" s="85">
        <f t="shared" si="594"/>
      </c>
      <c r="R31" s="85">
        <f t="shared" si="49"/>
      </c>
      <c r="S31" s="96" t="s">
        <v>141</v>
      </c>
    </row>
    <row customHeight="true" ht="23.703703703703702" r="32">
      <c r="A32" s="93">
        <v>46035</v>
      </c>
      <c r="B32" s="79" t="s">
        <v>134</v>
      </c>
      <c r="C32" s="79">
        <v>3</v>
      </c>
      <c r="D32" s="94" cm="1">
        <f t="array" ref="D32:D32">_xlfn.XLOOKUP(B32&amp;S32,'净-价格-毛利'!A:A&amp;'净-价格-毛利'!B:B,'净-价格-毛利'!D:D,0)</f>
      </c>
      <c r="E32" s="81">
        <f t="shared" si="479"/>
      </c>
      <c r="F32" s="80" cm="1">
        <f t="array" ref="F32:F32">_xlfn.XLOOKUP(B32&amp;S32,'净-价格-毛利'!A:A&amp;'净-价格-毛利'!B:B,'净-价格-毛利'!C:C,0)</f>
      </c>
      <c r="G32" s="81">
        <f>C32*6</f>
      </c>
      <c r="H32" s="81">
        <v>29.39</v>
      </c>
      <c r="I32" s="81">
        <f t="shared" si="108"/>
      </c>
      <c r="J32" s="81">
        <f t="shared" si="166"/>
      </c>
      <c r="K32" s="83">
        <f t="shared" si="235"/>
      </c>
      <c r="L32" s="81">
        <f t="shared" si="304"/>
      </c>
      <c r="M32" s="81">
        <f t="shared" si="363"/>
      </c>
      <c r="N32" s="83">
        <f t="shared" si="536"/>
      </c>
      <c r="O32" s="95">
        <v>0</v>
      </c>
      <c r="P32" s="95">
        <f t="shared" si="422"/>
      </c>
      <c r="Q32" s="85">
        <f t="shared" si="594"/>
      </c>
      <c r="R32" s="85">
        <f t="shared" si="49"/>
      </c>
      <c r="S32" s="97" t="s">
        <v>143</v>
      </c>
    </row>
    <row customHeight="true" ht="23.703703703703702" r="33">
      <c r="A33" s="93">
        <v>46035</v>
      </c>
      <c r="B33" s="79" t="s">
        <v>136</v>
      </c>
      <c r="C33" s="79">
        <v>0</v>
      </c>
      <c r="D33" s="94" cm="1">
        <f t="array" ref="D33:D33">_xlfn.XLOOKUP(B33&amp;S33,'净-价格-毛利'!A:A&amp;'净-价格-毛利'!B:B,'净-价格-毛利'!D:D,0)</f>
      </c>
      <c r="E33" s="81">
        <f t="shared" si="479"/>
      </c>
      <c r="F33" s="80" cm="1">
        <f t="array" ref="F33:F33">_xlfn.XLOOKUP(B33&amp;S33,'净-价格-毛利'!A:A&amp;'净-价格-毛利'!B:B,'净-价格-毛利'!C:C,0)</f>
      </c>
      <c r="G33" s="81">
        <f>C33*5</f>
      </c>
      <c r="H33" s="81">
        <v>8.2</v>
      </c>
      <c r="I33" s="81">
        <f t="shared" si="108"/>
      </c>
      <c r="J33" s="81">
        <f t="shared" si="166"/>
      </c>
      <c r="K33" s="83">
        <f t="shared" si="235"/>
      </c>
      <c r="L33" s="81">
        <f t="shared" ref="L33:L34" si="223">J33*9</f>
      </c>
      <c r="M33" s="81">
        <f t="shared" ref="M33:M34" si="292">E33*9</f>
      </c>
      <c r="N33" s="83">
        <f t="shared" si="536"/>
      </c>
      <c r="O33" s="95">
        <v>0</v>
      </c>
      <c r="P33" s="95">
        <f t="shared" si="422"/>
      </c>
      <c r="Q33" s="85">
        <f t="shared" si="594"/>
      </c>
      <c r="R33" s="85">
        <f t="shared" si="49"/>
      </c>
      <c r="S33" s="96" t="s">
        <v>141</v>
      </c>
    </row>
    <row customHeight="true" ht="23.703703703703702" r="34">
      <c r="A34" s="93">
        <v>46035</v>
      </c>
      <c r="B34" s="79" t="s">
        <v>136</v>
      </c>
      <c r="C34" s="79">
        <v>0</v>
      </c>
      <c r="D34" s="94" cm="1">
        <f t="array" ref="D34:D34">_xlfn.XLOOKUP(B34&amp;S34,'净-价格-毛利'!A:A&amp;'净-价格-毛利'!B:B,'净-价格-毛利'!D:D,0)</f>
      </c>
      <c r="E34" s="81">
        <f t="shared" si="479"/>
      </c>
      <c r="F34" s="80" cm="1">
        <f t="array" ref="F34:F34">_xlfn.XLOOKUP(B34&amp;S34,'净-价格-毛利'!A:A&amp;'净-价格-毛利'!B:B,'净-价格-毛利'!C:C,0)</f>
      </c>
      <c r="G34" s="81">
        <f>C34*6</f>
      </c>
      <c r="H34" s="81"/>
      <c r="I34" s="81">
        <f t="shared" si="108"/>
      </c>
      <c r="J34" s="81">
        <f t="shared" si="166"/>
      </c>
      <c r="K34" s="83">
        <f t="shared" si="235"/>
      </c>
      <c r="L34" s="81">
        <f t="shared" si="223"/>
      </c>
      <c r="M34" s="81">
        <f t="shared" si="292"/>
      </c>
      <c r="N34" s="83">
        <f t="shared" si="536"/>
      </c>
      <c r="O34" s="95"/>
      <c r="P34" s="95">
        <f t="shared" si="422"/>
      </c>
      <c r="Q34" s="85">
        <f t="shared" si="594"/>
      </c>
      <c r="R34" s="85">
        <f t="shared" si="49"/>
      </c>
      <c r="S34" s="97" t="s">
        <v>144</v>
      </c>
    </row>
    <row customHeight="true" ht="23.703703703703702" r="35">
      <c r="A35" s="93">
        <v>46035</v>
      </c>
      <c r="B35" s="79" t="s">
        <v>137</v>
      </c>
      <c r="C35" s="79">
        <v>0</v>
      </c>
      <c r="D35" s="94" cm="1">
        <f t="array" ref="D35:D35">_xlfn.XLOOKUP(B35&amp;S35,'净-价格-毛利'!A:A&amp;'净-价格-毛利'!B:B,'净-价格-毛利'!D:D,0)</f>
      </c>
      <c r="E35" s="81">
        <f t="shared" si="479"/>
      </c>
      <c r="F35" s="80" cm="1">
        <f t="array" ref="F35:F35">_xlfn.XLOOKUP(B35&amp;S35,'净-价格-毛利'!A:A&amp;'净-价格-毛利'!B:B,'净-价格-毛利'!C:C,0)</f>
      </c>
      <c r="G35" s="81"/>
      <c r="H35" s="81"/>
      <c r="I35" s="81">
        <f t="shared" si="108"/>
      </c>
      <c r="J35" s="81">
        <f>C35*F35-H35-I35</f>
      </c>
      <c r="K35" s="83">
        <f t="shared" si="235"/>
      </c>
      <c r="L35" s="81">
        <f>J35*7</f>
      </c>
      <c r="M35" s="81">
        <f>E35*7</f>
      </c>
      <c r="N35" s="83">
        <f t="shared" si="536"/>
      </c>
      <c r="O35" s="84"/>
      <c r="P35" s="84">
        <f t="shared" si="422"/>
      </c>
      <c r="Q35" s="85">
        <f t="shared" si="594"/>
      </c>
      <c r="R35" s="85"/>
      <c r="S35" s="96"/>
    </row>
    <row customHeight="true" ht="23.703703703703702" r="36">
      <c r="A36" s="93">
        <v>46035</v>
      </c>
      <c r="B36" s="79" t="s">
        <v>111</v>
      </c>
      <c r="C36" s="79">
        <f>SUM(C25:C35)</f>
      </c>
      <c r="D36" s="89"/>
      <c r="E36" s="81">
        <f>SUM(E25:E35)</f>
      </c>
      <c r="F36" s="82">
        <f>SUM(F25:F34)</f>
      </c>
      <c r="G36" s="81"/>
      <c r="H36" s="81"/>
      <c r="I36" s="81"/>
      <c r="J36" s="81">
        <f>SUM(J25:J35)</f>
      </c>
      <c r="K36" s="83">
        <f t="shared" si="235"/>
      </c>
      <c r="L36" s="81">
        <f>SUM(L25:L35)</f>
      </c>
      <c r="M36" s="81">
        <f>SUM(M25:M35)</f>
      </c>
      <c r="N36" s="83"/>
      <c r="O36" s="95">
        <f>SUM(O25:O34)</f>
      </c>
      <c r="P36" s="95">
        <f t="shared" si="422"/>
      </c>
      <c r="Q36" s="85">
        <f t="shared" si="594"/>
      </c>
      <c r="R36" s="85"/>
      <c r="S36" s="89"/>
    </row>
    <row customHeight="true" ht="23.703703703703702" r="37">
      <c r="B37" s="77" t="s">
        <v>138</v>
      </c>
    </row>
    <row customHeight="true" ht="23.703703703703702" r="38">
      <c r="A38" s="71" t="s">
        <v>139</v>
      </c>
      <c r="B38" s="72" t="s">
        <v>112</v>
      </c>
      <c r="C38" s="90" t="s">
        <v>113</v>
      </c>
      <c r="D38" s="72" t="s">
        <v>114</v>
      </c>
      <c r="E38" s="73" t="s">
        <v>115</v>
      </c>
      <c r="F38" s="74" t="s">
        <v>116</v>
      </c>
      <c r="G38" s="73" t="s">
        <v>117</v>
      </c>
      <c r="H38" s="91" t="s">
        <v>118</v>
      </c>
      <c r="I38" s="73" t="s">
        <v>119</v>
      </c>
      <c r="J38" s="73" t="s">
        <v>116</v>
      </c>
      <c r="K38" s="75" t="s">
        <v>120</v>
      </c>
      <c r="L38" s="73" t="s">
        <v>121</v>
      </c>
      <c r="M38" s="73" t="s">
        <v>122</v>
      </c>
      <c r="N38" s="72" t="s">
        <v>123</v>
      </c>
      <c r="O38" s="92" t="s">
        <v>124</v>
      </c>
      <c r="P38" s="76" t="s">
        <v>125</v>
      </c>
      <c r="Q38" s="75" t="s">
        <v>126</v>
      </c>
      <c r="R38" s="75" t="s">
        <v>127</v>
      </c>
      <c r="S38" s="75" t="s">
        <v>140</v>
      </c>
    </row>
    <row customHeight="true" ht="23.703703703703702" r="39">
      <c r="A39" s="93">
        <v>46036</v>
      </c>
      <c r="B39" s="79" t="s">
        <v>130</v>
      </c>
      <c r="C39" s="79">
        <v>0</v>
      </c>
      <c r="D39" s="94" cm="1">
        <f t="array" ref="D39:D39">_xlfn.XLOOKUP(B39&amp;S39,'净-价格-毛利'!A:A&amp;'净-价格-毛利'!B:B,'净-价格-毛利'!D:D,0)</f>
      </c>
      <c r="E39" s="81">
        <f t="shared" ref="E39:E49" si="480">C39*D39</f>
      </c>
      <c r="F39" s="80" cm="1">
        <f t="array" ref="F39:F39">_xlfn.XLOOKUP(B39&amp;S39,'净-价格-毛利'!A:A&amp;'净-价格-毛利'!B:B,'净-价格-毛利'!C:C,0)</f>
      </c>
      <c r="G39" s="81">
        <f>C39*5</f>
      </c>
      <c r="H39" s="81"/>
      <c r="I39" s="81">
        <f t="shared" ref="I39:I49" si="109">E39*0.025</f>
      </c>
      <c r="J39" s="81">
        <f t="shared" ref="J39:J48" si="167">F39*C39+G39-H39-I39</f>
      </c>
      <c r="K39" s="83">
        <f t="shared" ref="K39:K50" si="236">IFERROR(J39/E39,0)</f>
      </c>
      <c r="L39" s="81">
        <f t="shared" ref="L39:L46" si="305">J39*8</f>
      </c>
      <c r="M39" s="81">
        <f t="shared" ref="M39:M46" si="364">E39*8</f>
      </c>
      <c r="N39" s="83">
        <f t="shared" ref="N39:N49" si="537">IFERROR(H39/E39,0)</f>
      </c>
      <c r="O39" s="95"/>
      <c r="P39" s="95">
        <f t="shared" ref="P39:P50" si="423">C39-O39</f>
      </c>
      <c r="Q39" s="85">
        <f t="shared" ref="Q39:Q50" si="595">IFERROR(O39/C39,0)</f>
      </c>
      <c r="R39" s="85">
        <f t="shared" ref="R39:R48" si="50">IFERROR(H39/(E39*Q39),0)</f>
      </c>
      <c r="S39" s="96" t="s">
        <v>141</v>
      </c>
    </row>
    <row customHeight="true" ht="23.703703703703702" r="40">
      <c r="A40" s="93">
        <v>46036</v>
      </c>
      <c r="B40" s="79" t="s">
        <v>130</v>
      </c>
      <c r="C40" s="79">
        <v>1</v>
      </c>
      <c r="D40" s="94" cm="1">
        <f t="array" ref="D40:D40">_xlfn.XLOOKUP(B40&amp;S40,'净-价格-毛利'!A:A&amp;'净-价格-毛利'!B:B,'净-价格-毛利'!D:D,0)</f>
      </c>
      <c r="E40" s="81">
        <f t="shared" si="480"/>
      </c>
      <c r="F40" s="80" cm="1">
        <f t="array" ref="F40:F40">_xlfn.XLOOKUP(B40&amp;S40,'净-价格-毛利'!A:A&amp;'净-价格-毛利'!B:B,'净-价格-毛利'!C:C,0)</f>
      </c>
      <c r="G40" s="81">
        <f>C40*6</f>
      </c>
      <c r="H40" s="81">
        <v>108.23</v>
      </c>
      <c r="I40" s="81">
        <f t="shared" si="109"/>
      </c>
      <c r="J40" s="81">
        <f t="shared" si="167"/>
      </c>
      <c r="K40" s="83">
        <f t="shared" si="236"/>
      </c>
      <c r="L40" s="81">
        <f t="shared" si="305"/>
      </c>
      <c r="M40" s="81">
        <f t="shared" si="364"/>
      </c>
      <c r="N40" s="83">
        <f t="shared" si="537"/>
      </c>
      <c r="O40" s="84">
        <v>1</v>
      </c>
      <c r="P40" s="95">
        <f t="shared" si="423"/>
      </c>
      <c r="Q40" s="85">
        <f t="shared" si="595"/>
      </c>
      <c r="R40" s="85">
        <f t="shared" si="50"/>
      </c>
      <c r="S40" s="97" t="s">
        <v>142</v>
      </c>
    </row>
    <row customHeight="true" ht="23.703703703703702" r="41">
      <c r="A41" s="93">
        <v>46036</v>
      </c>
      <c r="B41" s="79" t="s">
        <v>131</v>
      </c>
      <c r="C41" s="79">
        <v>0</v>
      </c>
      <c r="D41" s="94" cm="1">
        <f t="array" ref="D41:D41">_xlfn.XLOOKUP(B41&amp;S41,'净-价格-毛利'!A:A&amp;'净-价格-毛利'!B:B,'净-价格-毛利'!D:D,0)</f>
      </c>
      <c r="E41" s="81">
        <f t="shared" si="480"/>
      </c>
      <c r="F41" s="80" cm="1">
        <f t="array" ref="F41:F41">_xlfn.XLOOKUP(B41&amp;S41,'净-价格-毛利'!A:A&amp;'净-价格-毛利'!B:B,'净-价格-毛利'!C:C,0)</f>
      </c>
      <c r="G41" s="81">
        <f>C41*5</f>
      </c>
      <c r="H41" s="81"/>
      <c r="I41" s="81">
        <f t="shared" si="109"/>
      </c>
      <c r="J41" s="81">
        <f t="shared" si="167"/>
      </c>
      <c r="K41" s="83">
        <f t="shared" si="236"/>
      </c>
      <c r="L41" s="81">
        <f t="shared" si="305"/>
      </c>
      <c r="M41" s="81">
        <f t="shared" si="364"/>
      </c>
      <c r="N41" s="83">
        <f t="shared" si="537"/>
      </c>
      <c r="O41" s="95"/>
      <c r="P41" s="95">
        <f t="shared" si="423"/>
      </c>
      <c r="Q41" s="85">
        <f t="shared" si="595"/>
      </c>
      <c r="R41" s="85">
        <f t="shared" si="50"/>
      </c>
      <c r="S41" s="96" t="s">
        <v>141</v>
      </c>
    </row>
    <row customHeight="true" ht="23.703703703703702" r="42">
      <c r="A42" s="93">
        <v>46036</v>
      </c>
      <c r="B42" s="79" t="s">
        <v>131</v>
      </c>
      <c r="C42" s="79">
        <v>0</v>
      </c>
      <c r="D42" s="94" cm="1">
        <f t="array" ref="D42:D42">_xlfn.XLOOKUP(B42&amp;S42,'净-价格-毛利'!A:A&amp;'净-价格-毛利'!B:B,'净-价格-毛利'!D:D,0)</f>
      </c>
      <c r="E42" s="81">
        <f t="shared" si="480"/>
      </c>
      <c r="F42" s="80" cm="1">
        <f t="array" ref="F42:F42">_xlfn.XLOOKUP(B42&amp;S42,'净-价格-毛利'!A:A&amp;'净-价格-毛利'!B:B,'净-价格-毛利'!C:C,0)</f>
      </c>
      <c r="G42" s="81">
        <f>C42*6</f>
      </c>
      <c r="H42" s="81">
        <v>29.92</v>
      </c>
      <c r="I42" s="81">
        <f t="shared" si="109"/>
      </c>
      <c r="J42" s="81">
        <f t="shared" si="167"/>
      </c>
      <c r="K42" s="83">
        <f t="shared" si="236"/>
      </c>
      <c r="L42" s="81">
        <f t="shared" si="305"/>
      </c>
      <c r="M42" s="81">
        <f t="shared" si="364"/>
      </c>
      <c r="N42" s="83">
        <f t="shared" si="537"/>
      </c>
      <c r="O42" s="95">
        <v>0</v>
      </c>
      <c r="P42" s="95">
        <f t="shared" si="423"/>
      </c>
      <c r="Q42" s="85">
        <f t="shared" si="595"/>
      </c>
      <c r="R42" s="85">
        <f t="shared" si="50"/>
      </c>
      <c r="S42" s="97" t="s">
        <v>143</v>
      </c>
    </row>
    <row customHeight="true" ht="23.703703703703702" r="43">
      <c r="A43" s="93">
        <v>46036</v>
      </c>
      <c r="B43" s="79" t="s">
        <v>133</v>
      </c>
      <c r="C43" s="79">
        <v>0</v>
      </c>
      <c r="D43" s="94" cm="1">
        <f t="array" ref="D43:D43">_xlfn.XLOOKUP(B43&amp;S43,'净-价格-毛利'!A:A&amp;'净-价格-毛利'!B:B,'净-价格-毛利'!D:D,0)</f>
      </c>
      <c r="E43" s="81">
        <f t="shared" si="480"/>
      </c>
      <c r="F43" s="80" cm="1">
        <f t="array" ref="F43:F43">_xlfn.XLOOKUP(B43&amp;S43,'净-价格-毛利'!A:A&amp;'净-价格-毛利'!B:B,'净-价格-毛利'!C:C,0)</f>
      </c>
      <c r="G43" s="81">
        <f>C43*5</f>
      </c>
      <c r="H43" s="81"/>
      <c r="I43" s="81">
        <f t="shared" si="109"/>
      </c>
      <c r="J43" s="81">
        <f t="shared" si="167"/>
      </c>
      <c r="K43" s="83">
        <f t="shared" si="236"/>
      </c>
      <c r="L43" s="81">
        <f t="shared" si="305"/>
      </c>
      <c r="M43" s="81">
        <f t="shared" si="364"/>
      </c>
      <c r="N43" s="83">
        <f t="shared" si="537"/>
      </c>
      <c r="O43" s="95"/>
      <c r="P43" s="95">
        <f t="shared" si="423"/>
      </c>
      <c r="Q43" s="85">
        <f t="shared" si="595"/>
      </c>
      <c r="R43" s="85">
        <f t="shared" si="50"/>
      </c>
      <c r="S43" s="96" t="s">
        <v>141</v>
      </c>
    </row>
    <row customHeight="true" ht="23.703703703703702" r="44">
      <c r="A44" s="93">
        <v>46036</v>
      </c>
      <c r="B44" s="79" t="s">
        <v>133</v>
      </c>
      <c r="C44" s="79">
        <v>0</v>
      </c>
      <c r="D44" s="94" cm="1">
        <f t="array" ref="D44:D44">_xlfn.XLOOKUP(B44&amp;S44,'净-价格-毛利'!A:A&amp;'净-价格-毛利'!B:B,'净-价格-毛利'!D:D,0)</f>
      </c>
      <c r="E44" s="81">
        <f t="shared" si="480"/>
      </c>
      <c r="F44" s="80" cm="1">
        <f t="array" ref="F44:F44">_xlfn.XLOOKUP(B44&amp;S44,'净-价格-毛利'!A:A&amp;'净-价格-毛利'!B:B,'净-价格-毛利'!C:C,0)</f>
      </c>
      <c r="G44" s="81">
        <f>C44*6</f>
      </c>
      <c r="H44" s="81"/>
      <c r="I44" s="81">
        <f t="shared" si="109"/>
      </c>
      <c r="J44" s="81">
        <f t="shared" si="167"/>
      </c>
      <c r="K44" s="83">
        <f t="shared" si="236"/>
      </c>
      <c r="L44" s="81">
        <f t="shared" si="305"/>
      </c>
      <c r="M44" s="81">
        <f t="shared" si="364"/>
      </c>
      <c r="N44" s="83">
        <f t="shared" si="537"/>
      </c>
      <c r="O44" s="84"/>
      <c r="P44" s="95">
        <f t="shared" si="423"/>
      </c>
      <c r="Q44" s="85">
        <f t="shared" si="595"/>
      </c>
      <c r="R44" s="85">
        <f t="shared" si="50"/>
      </c>
      <c r="S44" s="97" t="s">
        <v>143</v>
      </c>
    </row>
    <row customHeight="true" ht="23.703703703703702" r="45">
      <c r="A45" s="93">
        <v>46036</v>
      </c>
      <c r="B45" s="79" t="s">
        <v>134</v>
      </c>
      <c r="C45" s="79">
        <v>0</v>
      </c>
      <c r="D45" s="94" cm="1">
        <f t="array" ref="D45:D45">_xlfn.XLOOKUP(B45&amp;S45,'净-价格-毛利'!A:A&amp;'净-价格-毛利'!B:B,'净-价格-毛利'!D:D,0)</f>
      </c>
      <c r="E45" s="81">
        <f t="shared" si="480"/>
      </c>
      <c r="F45" s="80" cm="1">
        <f t="array" ref="F45:F45">_xlfn.XLOOKUP(B45&amp;S45,'净-价格-毛利'!A:A&amp;'净-价格-毛利'!B:B,'净-价格-毛利'!C:C,0)</f>
      </c>
      <c r="G45" s="81">
        <f>C45*5</f>
      </c>
      <c r="H45" s="81"/>
      <c r="I45" s="81">
        <f t="shared" si="109"/>
      </c>
      <c r="J45" s="81">
        <f t="shared" si="167"/>
      </c>
      <c r="K45" s="83">
        <f t="shared" si="236"/>
      </c>
      <c r="L45" s="81">
        <f t="shared" si="305"/>
      </c>
      <c r="M45" s="81">
        <f t="shared" si="364"/>
      </c>
      <c r="N45" s="83">
        <f t="shared" si="537"/>
      </c>
      <c r="O45" s="95"/>
      <c r="P45" s="95">
        <f t="shared" si="423"/>
      </c>
      <c r="Q45" s="85">
        <f t="shared" si="595"/>
      </c>
      <c r="R45" s="85">
        <f t="shared" si="50"/>
      </c>
      <c r="S45" s="96" t="s">
        <v>141</v>
      </c>
    </row>
    <row customHeight="true" ht="23.703703703703702" r="46">
      <c r="A46" s="93">
        <v>46036</v>
      </c>
      <c r="B46" s="79" t="s">
        <v>134</v>
      </c>
      <c r="C46" s="79">
        <v>2</v>
      </c>
      <c r="D46" s="94" cm="1">
        <f t="array" ref="D46:D46">_xlfn.XLOOKUP(B46&amp;S46,'净-价格-毛利'!A:A&amp;'净-价格-毛利'!B:B,'净-价格-毛利'!D:D,0)</f>
      </c>
      <c r="E46" s="81">
        <f t="shared" si="480"/>
      </c>
      <c r="F46" s="80" cm="1">
        <f t="array" ref="F46:F46">_xlfn.XLOOKUP(B46&amp;S46,'净-价格-毛利'!A:A&amp;'净-价格-毛利'!B:B,'净-价格-毛利'!C:C,0)</f>
      </c>
      <c r="G46" s="81">
        <f>C46*6</f>
      </c>
      <c r="H46" s="81">
        <v>31.34</v>
      </c>
      <c r="I46" s="81">
        <f t="shared" si="109"/>
      </c>
      <c r="J46" s="81">
        <f t="shared" si="167"/>
      </c>
      <c r="K46" s="83">
        <f t="shared" si="236"/>
      </c>
      <c r="L46" s="81">
        <f t="shared" si="305"/>
      </c>
      <c r="M46" s="81">
        <f t="shared" si="364"/>
      </c>
      <c r="N46" s="83">
        <f t="shared" si="537"/>
      </c>
      <c r="O46" s="95">
        <v>1</v>
      </c>
      <c r="P46" s="95">
        <f t="shared" si="423"/>
      </c>
      <c r="Q46" s="85">
        <f t="shared" si="595"/>
      </c>
      <c r="R46" s="85">
        <f t="shared" si="50"/>
      </c>
      <c r="S46" s="97" t="s">
        <v>143</v>
      </c>
    </row>
    <row customHeight="true" ht="23.703703703703702" r="47">
      <c r="A47" s="93">
        <v>46036</v>
      </c>
      <c r="B47" s="79" t="s">
        <v>136</v>
      </c>
      <c r="C47" s="79">
        <v>0</v>
      </c>
      <c r="D47" s="94" cm="1">
        <f t="array" ref="D47:D47">_xlfn.XLOOKUP(B47&amp;S47,'净-价格-毛利'!A:A&amp;'净-价格-毛利'!B:B,'净-价格-毛利'!D:D,0)</f>
      </c>
      <c r="E47" s="81">
        <f t="shared" si="480"/>
      </c>
      <c r="F47" s="80" cm="1">
        <f t="array" ref="F47:F47">_xlfn.XLOOKUP(B47&amp;S47,'净-价格-毛利'!A:A&amp;'净-价格-毛利'!B:B,'净-价格-毛利'!C:C,0)</f>
      </c>
      <c r="G47" s="81">
        <f>C47*5</f>
      </c>
      <c r="H47" s="81">
        <v>10.12</v>
      </c>
      <c r="I47" s="81">
        <f t="shared" si="109"/>
      </c>
      <c r="J47" s="81">
        <f t="shared" si="167"/>
      </c>
      <c r="K47" s="83">
        <f t="shared" si="236"/>
      </c>
      <c r="L47" s="81">
        <f t="shared" ref="L47:L48" si="224">J47*9</f>
      </c>
      <c r="M47" s="81">
        <f t="shared" ref="M47:M48" si="293">E47*9</f>
      </c>
      <c r="N47" s="83">
        <f t="shared" si="537"/>
      </c>
      <c r="O47" s="95">
        <v>0</v>
      </c>
      <c r="P47" s="95">
        <f t="shared" si="423"/>
      </c>
      <c r="Q47" s="85">
        <f t="shared" si="595"/>
      </c>
      <c r="R47" s="85">
        <f t="shared" si="50"/>
      </c>
      <c r="S47" s="96" t="s">
        <v>141</v>
      </c>
    </row>
    <row customHeight="true" ht="23.703703703703702" r="48">
      <c r="A48" s="93">
        <v>46036</v>
      </c>
      <c r="B48" s="79" t="s">
        <v>136</v>
      </c>
      <c r="C48" s="79">
        <v>0</v>
      </c>
      <c r="D48" s="94" cm="1">
        <f t="array" ref="D48:D48">_xlfn.XLOOKUP(B48&amp;S48,'净-价格-毛利'!A:A&amp;'净-价格-毛利'!B:B,'净-价格-毛利'!D:D,0)</f>
      </c>
      <c r="E48" s="81">
        <f t="shared" si="480"/>
      </c>
      <c r="F48" s="80" cm="1">
        <f t="array" ref="F48:F48">_xlfn.XLOOKUP(B48&amp;S48,'净-价格-毛利'!A:A&amp;'净-价格-毛利'!B:B,'净-价格-毛利'!C:C,0)</f>
      </c>
      <c r="G48" s="81">
        <f>C48*6</f>
      </c>
      <c r="H48" s="81">
        <v>0</v>
      </c>
      <c r="I48" s="81">
        <f t="shared" si="109"/>
      </c>
      <c r="J48" s="81">
        <f t="shared" si="167"/>
      </c>
      <c r="K48" s="83">
        <f t="shared" si="236"/>
      </c>
      <c r="L48" s="81">
        <f t="shared" si="224"/>
      </c>
      <c r="M48" s="81">
        <f t="shared" si="293"/>
      </c>
      <c r="N48" s="83">
        <f t="shared" si="537"/>
      </c>
      <c r="O48" s="95">
        <v>0</v>
      </c>
      <c r="P48" s="95">
        <f t="shared" si="423"/>
      </c>
      <c r="Q48" s="85">
        <f t="shared" si="595"/>
      </c>
      <c r="R48" s="85">
        <f t="shared" si="50"/>
      </c>
      <c r="S48" s="97" t="s">
        <v>144</v>
      </c>
    </row>
    <row customHeight="true" ht="23.703703703703702" r="49">
      <c r="A49" s="93">
        <v>46036</v>
      </c>
      <c r="B49" s="79" t="s">
        <v>137</v>
      </c>
      <c r="C49" s="79">
        <v>0</v>
      </c>
      <c r="D49" s="94" cm="1">
        <f t="array" ref="D49:D49">_xlfn.XLOOKUP(B49&amp;S49,'净-价格-毛利'!A:A&amp;'净-价格-毛利'!B:B,'净-价格-毛利'!D:D,0)</f>
      </c>
      <c r="E49" s="81">
        <f t="shared" si="480"/>
      </c>
      <c r="F49" s="80" cm="1">
        <f t="array" ref="F49:F49">_xlfn.XLOOKUP(B49&amp;S49,'净-价格-毛利'!A:A&amp;'净-价格-毛利'!B:B,'净-价格-毛利'!C:C,0)</f>
      </c>
      <c r="G49" s="81"/>
      <c r="H49" s="81">
        <v>0</v>
      </c>
      <c r="I49" s="81">
        <f t="shared" si="109"/>
      </c>
      <c r="J49" s="81">
        <f>C49*F49-H49-I49</f>
      </c>
      <c r="K49" s="83">
        <f t="shared" si="236"/>
      </c>
      <c r="L49" s="81">
        <f>J49*7</f>
      </c>
      <c r="M49" s="81">
        <f>E49*7</f>
      </c>
      <c r="N49" s="83">
        <f t="shared" si="537"/>
      </c>
      <c r="O49" s="84">
        <v>0</v>
      </c>
      <c r="P49" s="84">
        <f t="shared" si="423"/>
      </c>
      <c r="Q49" s="85">
        <f t="shared" si="595"/>
      </c>
      <c r="R49" s="85"/>
      <c r="S49" s="96"/>
    </row>
    <row customHeight="true" ht="23.703703703703702" r="50">
      <c r="A50" s="93">
        <v>46036</v>
      </c>
      <c r="B50" s="79" t="s">
        <v>111</v>
      </c>
      <c r="C50" s="79">
        <f>SUM(C39:C49)</f>
      </c>
      <c r="D50" s="89"/>
      <c r="E50" s="81">
        <f>SUM(E39:E49)</f>
      </c>
      <c r="F50" s="82">
        <f>SUM(F39:F48)</f>
      </c>
      <c r="G50" s="81"/>
      <c r="H50" s="81"/>
      <c r="I50" s="81"/>
      <c r="J50" s="81">
        <f>SUM(J39:J49)</f>
      </c>
      <c r="K50" s="83">
        <f t="shared" si="236"/>
      </c>
      <c r="L50" s="81">
        <f>SUM(L39:L49)</f>
      </c>
      <c r="M50" s="81">
        <f>SUM(M39:M49)</f>
      </c>
      <c r="N50" s="83"/>
      <c r="O50" s="95">
        <f>SUM(O39:O48)</f>
      </c>
      <c r="P50" s="95">
        <f t="shared" si="423"/>
      </c>
      <c r="Q50" s="85">
        <f t="shared" si="595"/>
      </c>
      <c r="R50" s="85"/>
      <c r="S50" s="89"/>
    </row>
    <row customHeight="true" ht="23.703703703703702" r="51">
      <c r="B51" s="77" t="s">
        <v>138</v>
      </c>
    </row>
    <row customHeight="true" ht="23.703703703703702" r="52">
      <c r="A52" s="71" t="s">
        <v>139</v>
      </c>
      <c r="B52" s="72" t="s">
        <v>112</v>
      </c>
      <c r="C52" s="90" t="s">
        <v>113</v>
      </c>
      <c r="D52" s="72" t="s">
        <v>114</v>
      </c>
      <c r="E52" s="73" t="s">
        <v>115</v>
      </c>
      <c r="F52" s="74" t="s">
        <v>116</v>
      </c>
      <c r="G52" s="73" t="s">
        <v>117</v>
      </c>
      <c r="H52" s="91" t="s">
        <v>118</v>
      </c>
      <c r="I52" s="73" t="s">
        <v>119</v>
      </c>
      <c r="J52" s="73" t="s">
        <v>116</v>
      </c>
      <c r="K52" s="75" t="s">
        <v>120</v>
      </c>
      <c r="L52" s="73" t="s">
        <v>121</v>
      </c>
      <c r="M52" s="73" t="s">
        <v>122</v>
      </c>
      <c r="N52" s="72" t="s">
        <v>123</v>
      </c>
      <c r="O52" s="92" t="s">
        <v>124</v>
      </c>
      <c r="P52" s="76" t="s">
        <v>125</v>
      </c>
      <c r="Q52" s="75" t="s">
        <v>126</v>
      </c>
      <c r="R52" s="75" t="s">
        <v>127</v>
      </c>
      <c r="S52" s="75" t="s">
        <v>140</v>
      </c>
    </row>
    <row customHeight="true" ht="23.703703703703702" r="53">
      <c r="A53" s="93">
        <v>46037</v>
      </c>
      <c r="B53" s="79" t="s">
        <v>130</v>
      </c>
      <c r="C53" s="79">
        <v>0</v>
      </c>
      <c r="D53" s="94" cm="1">
        <f t="array" ref="D53:D53">_xlfn.XLOOKUP(B53&amp;S53,'净-价格-毛利'!A:A&amp;'净-价格-毛利'!B:B,'净-价格-毛利'!D:D,0)</f>
      </c>
      <c r="E53" s="81">
        <f t="shared" ref="E53:E63" si="481">C53*D53</f>
      </c>
      <c r="F53" s="80" cm="1">
        <f t="array" ref="F53:F53">_xlfn.XLOOKUP(B53&amp;S53,'净-价格-毛利'!A:A&amp;'净-价格-毛利'!B:B,'净-价格-毛利'!C:C,0)</f>
      </c>
      <c r="G53" s="81">
        <f>C53*5</f>
      </c>
      <c r="H53" s="81"/>
      <c r="I53" s="81">
        <f t="shared" ref="I53:I63" si="110">E53*0.025</f>
      </c>
      <c r="J53" s="81">
        <f t="shared" ref="J53:J62" si="168">F53*C53+G53-H53-I53</f>
      </c>
      <c r="K53" s="83">
        <f t="shared" ref="K53:K64" si="237">IFERROR(J53/E53,0)</f>
      </c>
      <c r="L53" s="81">
        <f t="shared" ref="L53:L60" si="306">J53*8</f>
      </c>
      <c r="M53" s="81">
        <f t="shared" ref="M53:M60" si="365">E53*8</f>
      </c>
      <c r="N53" s="83">
        <f t="shared" ref="N53:N63" si="538">IFERROR(H53/E53,0)</f>
      </c>
      <c r="O53" s="95"/>
      <c r="P53" s="95">
        <f t="shared" ref="P53:P64" si="424">C53-O53</f>
      </c>
      <c r="Q53" s="85">
        <f t="shared" ref="Q53:Q64" si="596">IFERROR(O53/C53,0)</f>
      </c>
      <c r="R53" s="85">
        <f t="shared" ref="R53:R62" si="51">IFERROR(H53/(E53*Q53),0)</f>
      </c>
      <c r="S53" s="96" t="s">
        <v>141</v>
      </c>
    </row>
    <row customHeight="true" ht="23.703703703703702" r="54">
      <c r="A54" s="93">
        <v>46037</v>
      </c>
      <c r="B54" s="79" t="s">
        <v>130</v>
      </c>
      <c r="C54" s="79">
        <v>1</v>
      </c>
      <c r="D54" s="94" cm="1">
        <f t="array" ref="D54:D54">_xlfn.XLOOKUP(B54&amp;S54,'净-价格-毛利'!A:A&amp;'净-价格-毛利'!B:B,'净-价格-毛利'!D:D,0)</f>
      </c>
      <c r="E54" s="81">
        <f t="shared" si="481"/>
      </c>
      <c r="F54" s="80" cm="1">
        <f t="array" ref="F54:F54">_xlfn.XLOOKUP(B54&amp;S54,'净-价格-毛利'!A:A&amp;'净-价格-毛利'!B:B,'净-价格-毛利'!C:C,0)</f>
      </c>
      <c r="G54" s="81">
        <f>C54*6</f>
      </c>
      <c r="H54" s="81">
        <v>113.67</v>
      </c>
      <c r="I54" s="81">
        <f t="shared" si="110"/>
      </c>
      <c r="J54" s="81">
        <f t="shared" si="168"/>
      </c>
      <c r="K54" s="83">
        <f t="shared" si="237"/>
      </c>
      <c r="L54" s="81">
        <f t="shared" si="306"/>
      </c>
      <c r="M54" s="81">
        <f t="shared" si="365"/>
      </c>
      <c r="N54" s="83">
        <f t="shared" si="538"/>
      </c>
      <c r="O54" s="84">
        <v>0</v>
      </c>
      <c r="P54" s="95">
        <f t="shared" si="424"/>
      </c>
      <c r="Q54" s="85">
        <f t="shared" si="596"/>
      </c>
      <c r="R54" s="85">
        <f t="shared" si="51"/>
      </c>
      <c r="S54" s="97" t="s">
        <v>142</v>
      </c>
    </row>
    <row customHeight="true" ht="23.703703703703702" r="55">
      <c r="A55" s="93">
        <v>46037</v>
      </c>
      <c r="B55" s="79" t="s">
        <v>131</v>
      </c>
      <c r="C55" s="79">
        <v>0</v>
      </c>
      <c r="D55" s="94" cm="1">
        <f t="array" ref="D55:D55">_xlfn.XLOOKUP(B55&amp;S55,'净-价格-毛利'!A:A&amp;'净-价格-毛利'!B:B,'净-价格-毛利'!D:D,0)</f>
      </c>
      <c r="E55" s="81">
        <f t="shared" si="481"/>
      </c>
      <c r="F55" s="80" cm="1">
        <f t="array" ref="F55:F55">_xlfn.XLOOKUP(B55&amp;S55,'净-价格-毛利'!A:A&amp;'净-价格-毛利'!B:B,'净-价格-毛利'!C:C,0)</f>
      </c>
      <c r="G55" s="81">
        <f>C55*5</f>
      </c>
      <c r="H55" s="81"/>
      <c r="I55" s="81">
        <f t="shared" si="110"/>
      </c>
      <c r="J55" s="81">
        <f t="shared" si="168"/>
      </c>
      <c r="K55" s="83">
        <f t="shared" si="237"/>
      </c>
      <c r="L55" s="81">
        <f t="shared" si="306"/>
      </c>
      <c r="M55" s="81">
        <f t="shared" si="365"/>
      </c>
      <c r="N55" s="83">
        <f t="shared" si="538"/>
      </c>
      <c r="O55" s="95"/>
      <c r="P55" s="95">
        <f t="shared" si="424"/>
      </c>
      <c r="Q55" s="85">
        <f t="shared" si="596"/>
      </c>
      <c r="R55" s="85">
        <f t="shared" si="51"/>
      </c>
      <c r="S55" s="96" t="s">
        <v>141</v>
      </c>
    </row>
    <row customHeight="true" ht="23.703703703703702" r="56">
      <c r="A56" s="93">
        <v>46037</v>
      </c>
      <c r="B56" s="79" t="s">
        <v>131</v>
      </c>
      <c r="C56" s="79">
        <v>0</v>
      </c>
      <c r="D56" s="94" cm="1">
        <f t="array" ref="D56:D56">_xlfn.XLOOKUP(B56&amp;S56,'净-价格-毛利'!A:A&amp;'净-价格-毛利'!B:B,'净-价格-毛利'!D:D,0)</f>
      </c>
      <c r="E56" s="81">
        <f t="shared" si="481"/>
      </c>
      <c r="F56" s="80" cm="1">
        <f t="array" ref="F56:F56">_xlfn.XLOOKUP(B56&amp;S56,'净-价格-毛利'!A:A&amp;'净-价格-毛利'!B:B,'净-价格-毛利'!C:C,0)</f>
      </c>
      <c r="G56" s="81">
        <f>C56*6</f>
      </c>
      <c r="H56" s="81">
        <v>23.32</v>
      </c>
      <c r="I56" s="81">
        <f t="shared" si="110"/>
      </c>
      <c r="J56" s="81">
        <f t="shared" si="168"/>
      </c>
      <c r="K56" s="83">
        <f t="shared" si="237"/>
      </c>
      <c r="L56" s="81">
        <f t="shared" si="306"/>
      </c>
      <c r="M56" s="81">
        <f t="shared" si="365"/>
      </c>
      <c r="N56" s="83">
        <f t="shared" si="538"/>
      </c>
      <c r="O56" s="95">
        <v>0</v>
      </c>
      <c r="P56" s="95">
        <f t="shared" si="424"/>
      </c>
      <c r="Q56" s="85">
        <f t="shared" si="596"/>
      </c>
      <c r="R56" s="85">
        <f t="shared" si="51"/>
      </c>
      <c r="S56" s="97" t="s">
        <v>143</v>
      </c>
    </row>
    <row customHeight="true" ht="23.703703703703702" r="57">
      <c r="A57" s="93">
        <v>46037</v>
      </c>
      <c r="B57" s="79" t="s">
        <v>133</v>
      </c>
      <c r="C57" s="79">
        <v>1</v>
      </c>
      <c r="D57" s="94" cm="1">
        <f t="array" ref="D57:D57">_xlfn.XLOOKUP(B57&amp;S57,'净-价格-毛利'!A:A&amp;'净-价格-毛利'!B:B,'净-价格-毛利'!D:D,0)</f>
      </c>
      <c r="E57" s="81">
        <f t="shared" si="481"/>
      </c>
      <c r="F57" s="80" cm="1">
        <f t="array" ref="F57:F57">_xlfn.XLOOKUP(B57&amp;S57,'净-价格-毛利'!A:A&amp;'净-价格-毛利'!B:B,'净-价格-毛利'!C:C,0)</f>
      </c>
      <c r="G57" s="81">
        <f>C57*5</f>
      </c>
      <c r="H57" s="81"/>
      <c r="I57" s="81">
        <f t="shared" si="110"/>
      </c>
      <c r="J57" s="81">
        <f t="shared" si="168"/>
      </c>
      <c r="K57" s="83">
        <f t="shared" si="237"/>
      </c>
      <c r="L57" s="81">
        <f t="shared" si="306"/>
      </c>
      <c r="M57" s="81">
        <f t="shared" si="365"/>
      </c>
      <c r="N57" s="83">
        <f t="shared" si="538"/>
      </c>
      <c r="O57" s="95"/>
      <c r="P57" s="95">
        <f t="shared" si="424"/>
      </c>
      <c r="Q57" s="85">
        <f t="shared" si="596"/>
      </c>
      <c r="R57" s="85">
        <f t="shared" si="51"/>
      </c>
      <c r="S57" s="96" t="s">
        <v>141</v>
      </c>
    </row>
    <row customHeight="true" ht="23.703703703703702" r="58">
      <c r="A58" s="93">
        <v>46037</v>
      </c>
      <c r="B58" s="79" t="s">
        <v>133</v>
      </c>
      <c r="C58" s="79">
        <v>0</v>
      </c>
      <c r="D58" s="94" cm="1">
        <f t="array" ref="D58:D58">_xlfn.XLOOKUP(B58&amp;S58,'净-价格-毛利'!A:A&amp;'净-价格-毛利'!B:B,'净-价格-毛利'!D:D,0)</f>
      </c>
      <c r="E58" s="81">
        <f t="shared" si="481"/>
      </c>
      <c r="F58" s="80" cm="1">
        <f t="array" ref="F58:F58">_xlfn.XLOOKUP(B58&amp;S58,'净-价格-毛利'!A:A&amp;'净-价格-毛利'!B:B,'净-价格-毛利'!C:C,0)</f>
      </c>
      <c r="G58" s="81">
        <f>C58*6</f>
      </c>
      <c r="H58" s="81"/>
      <c r="I58" s="81">
        <f t="shared" si="110"/>
      </c>
      <c r="J58" s="81">
        <f t="shared" si="168"/>
      </c>
      <c r="K58" s="83">
        <f t="shared" si="237"/>
      </c>
      <c r="L58" s="81">
        <f t="shared" si="306"/>
      </c>
      <c r="M58" s="81">
        <f t="shared" si="365"/>
      </c>
      <c r="N58" s="83">
        <f t="shared" si="538"/>
      </c>
      <c r="O58" s="84"/>
      <c r="P58" s="95">
        <f t="shared" si="424"/>
      </c>
      <c r="Q58" s="85">
        <f t="shared" si="596"/>
      </c>
      <c r="R58" s="85">
        <f t="shared" si="51"/>
      </c>
      <c r="S58" s="97" t="s">
        <v>143</v>
      </c>
    </row>
    <row customHeight="true" ht="23.703703703703702" r="59">
      <c r="A59" s="93">
        <v>46037</v>
      </c>
      <c r="B59" s="79" t="s">
        <v>134</v>
      </c>
      <c r="C59" s="79">
        <v>1</v>
      </c>
      <c r="D59" s="94" cm="1">
        <f t="array" ref="D59:D59">_xlfn.XLOOKUP(B59&amp;S59,'净-价格-毛利'!A:A&amp;'净-价格-毛利'!B:B,'净-价格-毛利'!D:D,0)</f>
      </c>
      <c r="E59" s="81">
        <f t="shared" si="481"/>
      </c>
      <c r="F59" s="80" cm="1">
        <f t="array" ref="F59:F59">_xlfn.XLOOKUP(B59&amp;S59,'净-价格-毛利'!A:A&amp;'净-价格-毛利'!B:B,'净-价格-毛利'!C:C,0)</f>
      </c>
      <c r="G59" s="81">
        <f>C59*5</f>
      </c>
      <c r="H59" s="81">
        <v>29.98</v>
      </c>
      <c r="I59" s="81">
        <f t="shared" si="110"/>
      </c>
      <c r="J59" s="81">
        <f t="shared" si="168"/>
      </c>
      <c r="K59" s="83">
        <f t="shared" si="237"/>
      </c>
      <c r="L59" s="81">
        <f t="shared" si="306"/>
      </c>
      <c r="M59" s="81">
        <f t="shared" si="365"/>
      </c>
      <c r="N59" s="83">
        <f t="shared" si="538"/>
      </c>
      <c r="O59" s="95">
        <v>0</v>
      </c>
      <c r="P59" s="95">
        <f t="shared" si="424"/>
      </c>
      <c r="Q59" s="85">
        <f t="shared" si="596"/>
      </c>
      <c r="R59" s="85">
        <f t="shared" si="51"/>
      </c>
      <c r="S59" s="96" t="s">
        <v>141</v>
      </c>
    </row>
    <row customHeight="true" ht="23.703703703703702" r="60">
      <c r="A60" s="93">
        <v>46037</v>
      </c>
      <c r="B60" s="79" t="s">
        <v>134</v>
      </c>
      <c r="C60" s="79">
        <v>0</v>
      </c>
      <c r="D60" s="94" cm="1">
        <f t="array" ref="D60:D60">_xlfn.XLOOKUP(B60&amp;S60,'净-价格-毛利'!A:A&amp;'净-价格-毛利'!B:B,'净-价格-毛利'!D:D,0)</f>
      </c>
      <c r="E60" s="81">
        <f t="shared" si="481"/>
      </c>
      <c r="F60" s="80" cm="1">
        <f t="array" ref="F60:F60">_xlfn.XLOOKUP(B60&amp;S60,'净-价格-毛利'!A:A&amp;'净-价格-毛利'!B:B,'净-价格-毛利'!C:C,0)</f>
      </c>
      <c r="G60" s="81">
        <f>C60*6</f>
      </c>
      <c r="H60" s="81"/>
      <c r="I60" s="81">
        <f t="shared" si="110"/>
      </c>
      <c r="J60" s="81">
        <f t="shared" si="168"/>
      </c>
      <c r="K60" s="83">
        <f t="shared" si="237"/>
      </c>
      <c r="L60" s="81">
        <f t="shared" si="306"/>
      </c>
      <c r="M60" s="81">
        <f t="shared" si="365"/>
      </c>
      <c r="N60" s="83">
        <f t="shared" si="538"/>
      </c>
      <c r="O60" s="95"/>
      <c r="P60" s="95">
        <f t="shared" si="424"/>
      </c>
      <c r="Q60" s="85">
        <f t="shared" si="596"/>
      </c>
      <c r="R60" s="85">
        <f t="shared" si="51"/>
      </c>
      <c r="S60" s="97" t="s">
        <v>143</v>
      </c>
    </row>
    <row customHeight="true" ht="23.703703703703702" r="61">
      <c r="A61" s="93">
        <v>46037</v>
      </c>
      <c r="B61" s="79" t="s">
        <v>136</v>
      </c>
      <c r="C61" s="79">
        <v>0</v>
      </c>
      <c r="D61" s="94" cm="1">
        <f t="array" ref="D61:D61">_xlfn.XLOOKUP(B61&amp;S61,'净-价格-毛利'!A:A&amp;'净-价格-毛利'!B:B,'净-价格-毛利'!D:D,0)</f>
      </c>
      <c r="E61" s="81">
        <f t="shared" si="481"/>
      </c>
      <c r="F61" s="80" cm="1">
        <f t="array" ref="F61:F61">_xlfn.XLOOKUP(B61&amp;S61,'净-价格-毛利'!A:A&amp;'净-价格-毛利'!B:B,'净-价格-毛利'!C:C,0)</f>
      </c>
      <c r="G61" s="81">
        <f>C61*5</f>
      </c>
      <c r="H61" s="81">
        <v>19.98</v>
      </c>
      <c r="I61" s="81">
        <f t="shared" si="110"/>
      </c>
      <c r="J61" s="81">
        <f t="shared" si="168"/>
      </c>
      <c r="K61" s="83">
        <f t="shared" si="237"/>
      </c>
      <c r="L61" s="81">
        <f t="shared" ref="L61:L62" si="225">J61*9</f>
      </c>
      <c r="M61" s="81">
        <f t="shared" ref="M61:M62" si="294">E61*9</f>
      </c>
      <c r="N61" s="83">
        <f t="shared" si="538"/>
      </c>
      <c r="O61" s="95">
        <v>0</v>
      </c>
      <c r="P61" s="95">
        <f t="shared" si="424"/>
      </c>
      <c r="Q61" s="85">
        <f t="shared" si="596"/>
      </c>
      <c r="R61" s="85">
        <f t="shared" si="51"/>
      </c>
      <c r="S61" s="96" t="s">
        <v>141</v>
      </c>
    </row>
    <row customHeight="true" ht="23.703703703703702" r="62">
      <c r="A62" s="93">
        <v>46037</v>
      </c>
      <c r="B62" s="79" t="s">
        <v>136</v>
      </c>
      <c r="C62" s="79">
        <v>0</v>
      </c>
      <c r="D62" s="94" cm="1">
        <f t="array" ref="D62:D62">_xlfn.XLOOKUP(B62&amp;S62,'净-价格-毛利'!A:A&amp;'净-价格-毛利'!B:B,'净-价格-毛利'!D:D,0)</f>
      </c>
      <c r="E62" s="81">
        <f t="shared" si="481"/>
      </c>
      <c r="F62" s="80" cm="1">
        <f t="array" ref="F62:F62">_xlfn.XLOOKUP(B62&amp;S62,'净-价格-毛利'!A:A&amp;'净-价格-毛利'!B:B,'净-价格-毛利'!C:C,0)</f>
      </c>
      <c r="G62" s="81">
        <f>C62*6</f>
      </c>
      <c r="H62" s="81"/>
      <c r="I62" s="81">
        <f t="shared" si="110"/>
      </c>
      <c r="J62" s="81">
        <f t="shared" si="168"/>
      </c>
      <c r="K62" s="83">
        <f t="shared" si="237"/>
      </c>
      <c r="L62" s="81">
        <f t="shared" si="225"/>
      </c>
      <c r="M62" s="81">
        <f t="shared" si="294"/>
      </c>
      <c r="N62" s="83">
        <f t="shared" si="538"/>
      </c>
      <c r="O62" s="95"/>
      <c r="P62" s="95">
        <f t="shared" si="424"/>
      </c>
      <c r="Q62" s="85">
        <f t="shared" si="596"/>
      </c>
      <c r="R62" s="85">
        <f t="shared" si="51"/>
      </c>
      <c r="S62" s="97" t="s">
        <v>144</v>
      </c>
    </row>
    <row customHeight="true" ht="23.703703703703702" r="63">
      <c r="A63" s="93">
        <v>46037</v>
      </c>
      <c r="B63" s="79" t="s">
        <v>137</v>
      </c>
      <c r="C63" s="79">
        <v>0</v>
      </c>
      <c r="D63" s="94" cm="1">
        <f t="array" ref="D63:D63">_xlfn.XLOOKUP(B63&amp;S63,'净-价格-毛利'!A:A&amp;'净-价格-毛利'!B:B,'净-价格-毛利'!D:D,0)</f>
      </c>
      <c r="E63" s="81">
        <f t="shared" si="481"/>
      </c>
      <c r="F63" s="80" cm="1">
        <f t="array" ref="F63:F63">_xlfn.XLOOKUP(B63&amp;S63,'净-价格-毛利'!A:A&amp;'净-价格-毛利'!B:B,'净-价格-毛利'!C:C,0)</f>
      </c>
      <c r="G63" s="81"/>
      <c r="H63" s="81"/>
      <c r="I63" s="81">
        <f t="shared" si="110"/>
      </c>
      <c r="J63" s="81">
        <f>C63*F63-H63-I63</f>
      </c>
      <c r="K63" s="83">
        <f t="shared" si="237"/>
      </c>
      <c r="L63" s="81">
        <f>J63*7</f>
      </c>
      <c r="M63" s="81">
        <f>E63*7</f>
      </c>
      <c r="N63" s="83">
        <f t="shared" si="538"/>
      </c>
      <c r="O63" s="84"/>
      <c r="P63" s="84">
        <f t="shared" si="424"/>
      </c>
      <c r="Q63" s="85">
        <f t="shared" si="596"/>
      </c>
      <c r="R63" s="85"/>
      <c r="S63" s="96"/>
    </row>
    <row customHeight="true" ht="23.703703703703702" r="64">
      <c r="A64" s="93">
        <v>46037</v>
      </c>
      <c r="B64" s="79" t="s">
        <v>111</v>
      </c>
      <c r="C64" s="79">
        <f>SUM(C53:C63)</f>
      </c>
      <c r="D64" s="89"/>
      <c r="E64" s="81">
        <f>SUM(E53:E63)</f>
      </c>
      <c r="F64" s="82">
        <f>SUM(F53:F62)</f>
      </c>
      <c r="G64" s="81"/>
      <c r="H64" s="81"/>
      <c r="I64" s="81"/>
      <c r="J64" s="81">
        <f>SUM(J53:J63)</f>
      </c>
      <c r="K64" s="83">
        <f t="shared" si="237"/>
      </c>
      <c r="L64" s="81">
        <f>SUM(L53:L63)</f>
      </c>
      <c r="M64" s="81">
        <f>SUM(M53:M63)</f>
      </c>
      <c r="N64" s="83"/>
      <c r="O64" s="95">
        <f>SUM(O53:O62)</f>
      </c>
      <c r="P64" s="95">
        <f t="shared" si="424"/>
      </c>
      <c r="Q64" s="85">
        <f t="shared" si="596"/>
      </c>
      <c r="R64" s="85"/>
      <c r="S64" s="89"/>
    </row>
    <row customHeight="true" ht="23.703703703703702" r="65">
      <c r="B65" s="77" t="s">
        <v>138</v>
      </c>
    </row>
    <row customHeight="true" ht="23.703703703703702" r="66">
      <c r="A66" s="71" t="s">
        <v>139</v>
      </c>
      <c r="B66" s="72" t="s">
        <v>112</v>
      </c>
      <c r="C66" s="90" t="s">
        <v>113</v>
      </c>
      <c r="D66" s="72" t="s">
        <v>114</v>
      </c>
      <c r="E66" s="73" t="s">
        <v>115</v>
      </c>
      <c r="F66" s="74" t="s">
        <v>116</v>
      </c>
      <c r="G66" s="73" t="s">
        <v>117</v>
      </c>
      <c r="H66" s="91" t="s">
        <v>118</v>
      </c>
      <c r="I66" s="73" t="s">
        <v>119</v>
      </c>
      <c r="J66" s="73" t="s">
        <v>116</v>
      </c>
      <c r="K66" s="75" t="s">
        <v>120</v>
      </c>
      <c r="L66" s="73" t="s">
        <v>121</v>
      </c>
      <c r="M66" s="73" t="s">
        <v>122</v>
      </c>
      <c r="N66" s="72" t="s">
        <v>123</v>
      </c>
      <c r="O66" s="92" t="s">
        <v>124</v>
      </c>
      <c r="P66" s="76" t="s">
        <v>125</v>
      </c>
      <c r="Q66" s="75" t="s">
        <v>126</v>
      </c>
      <c r="R66" s="75" t="s">
        <v>127</v>
      </c>
      <c r="S66" s="75" t="s">
        <v>140</v>
      </c>
    </row>
    <row customHeight="true" ht="23.703703703703702" r="67">
      <c r="A67" s="93">
        <v>46038</v>
      </c>
      <c r="B67" s="79" t="s">
        <v>130</v>
      </c>
      <c r="C67" s="79"/>
      <c r="D67" s="94" cm="1">
        <f t="array" ref="D67:D67">_xlfn.XLOOKUP(B67&amp;S67,'净-价格-毛利'!A:A&amp;'净-价格-毛利'!B:B,'净-价格-毛利'!D:D,0)</f>
      </c>
      <c r="E67" s="81">
        <f t="shared" ref="E67:E77" si="482">C67*D67</f>
      </c>
      <c r="F67" s="80" cm="1">
        <f t="array" ref="F67:F67">_xlfn.XLOOKUP(B67&amp;S67,'净-价格-毛利'!A:A&amp;'净-价格-毛利'!B:B,'净-价格-毛利'!C:C,0)</f>
      </c>
      <c r="G67" s="81">
        <f>C67*5</f>
      </c>
      <c r="H67" s="81">
        <v>33.55</v>
      </c>
      <c r="I67" s="81">
        <f t="shared" ref="I67:I77" si="111">E67*0.025</f>
      </c>
      <c r="J67" s="81">
        <f t="shared" ref="J67:J76" si="169">F67*C67+G67-H67-I67</f>
      </c>
      <c r="K67" s="83">
        <f t="shared" ref="K67:K78" si="238">IFERROR(J67/E67,0)</f>
      </c>
      <c r="L67" s="81">
        <f t="shared" ref="L67:L74" si="307">J67*8</f>
      </c>
      <c r="M67" s="81">
        <f t="shared" ref="M67:M74" si="366">E67*8</f>
      </c>
      <c r="N67" s="83">
        <f t="shared" ref="N67:N77" si="539">IFERROR(H67/E67,0)</f>
      </c>
      <c r="O67" s="95">
        <v>0</v>
      </c>
      <c r="P67" s="95">
        <f t="shared" ref="P67:P78" si="425">C67-O67</f>
      </c>
      <c r="Q67" s="85">
        <f t="shared" ref="Q67:Q78" si="597">IFERROR(O67/C67,0)</f>
      </c>
      <c r="R67" s="85">
        <f t="shared" ref="R67:R76" si="52">IFERROR(H67/(E67*Q67),0)</f>
      </c>
      <c r="S67" s="96" t="s">
        <v>145</v>
      </c>
    </row>
    <row customHeight="true" ht="23.703703703703702" r="68">
      <c r="A68" s="93">
        <v>46038</v>
      </c>
      <c r="B68" s="79" t="s">
        <v>130</v>
      </c>
      <c r="C68" s="79"/>
      <c r="D68" s="94" cm="1">
        <f t="array" ref="D68:D68">_xlfn.XLOOKUP(B68&amp;S68,'净-价格-毛利'!A:A&amp;'净-价格-毛利'!B:B,'净-价格-毛利'!D:D,0)</f>
      </c>
      <c r="E68" s="81">
        <f t="shared" si="482"/>
      </c>
      <c r="F68" s="80" cm="1">
        <f t="array" ref="F68:F68">_xlfn.XLOOKUP(B68&amp;S68,'净-价格-毛利'!A:A&amp;'净-价格-毛利'!B:B,'净-价格-毛利'!C:C,0)</f>
      </c>
      <c r="G68" s="81">
        <f>C68*6</f>
      </c>
      <c r="H68" s="81"/>
      <c r="I68" s="81">
        <f t="shared" si="111"/>
      </c>
      <c r="J68" s="81">
        <f t="shared" si="169"/>
      </c>
      <c r="K68" s="83">
        <f t="shared" si="238"/>
      </c>
      <c r="L68" s="81">
        <f t="shared" si="307"/>
      </c>
      <c r="M68" s="81">
        <f t="shared" si="366"/>
      </c>
      <c r="N68" s="83">
        <f t="shared" si="539"/>
      </c>
      <c r="O68" s="84">
        <v>0</v>
      </c>
      <c r="P68" s="95">
        <f t="shared" si="425"/>
      </c>
      <c r="Q68" s="85">
        <f t="shared" si="597"/>
      </c>
      <c r="R68" s="85">
        <f t="shared" si="52"/>
      </c>
      <c r="S68" s="97" t="s">
        <v>146</v>
      </c>
    </row>
    <row customHeight="true" ht="23.703703703703702" r="69">
      <c r="A69" s="93">
        <v>46038</v>
      </c>
      <c r="B69" s="79" t="s">
        <v>131</v>
      </c>
      <c r="C69" s="79"/>
      <c r="D69" s="94" cm="1">
        <f t="array" ref="D69:D69">_xlfn.XLOOKUP(B69&amp;S69,'净-价格-毛利'!A:A&amp;'净-价格-毛利'!B:B,'净-价格-毛利'!D:D,0)</f>
      </c>
      <c r="E69" s="81">
        <f t="shared" si="482"/>
      </c>
      <c r="F69" s="80" cm="1">
        <f t="array" ref="F69:F69">_xlfn.XLOOKUP(B69&amp;S69,'净-价格-毛利'!A:A&amp;'净-价格-毛利'!B:B,'净-价格-毛利'!C:C,0)</f>
      </c>
      <c r="G69" s="81">
        <f>C69*5</f>
      </c>
      <c r="H69" s="81">
        <v>6.82</v>
      </c>
      <c r="I69" s="81">
        <f t="shared" si="111"/>
      </c>
      <c r="J69" s="81">
        <f t="shared" si="169"/>
      </c>
      <c r="K69" s="83">
        <f t="shared" si="238"/>
      </c>
      <c r="L69" s="81">
        <f t="shared" si="307"/>
      </c>
      <c r="M69" s="81">
        <f t="shared" si="366"/>
      </c>
      <c r="N69" s="83">
        <f t="shared" si="539"/>
      </c>
      <c r="O69" s="95">
        <v>0</v>
      </c>
      <c r="P69" s="95">
        <f t="shared" si="425"/>
      </c>
      <c r="Q69" s="85">
        <f t="shared" si="597"/>
      </c>
      <c r="R69" s="85">
        <f t="shared" si="52"/>
      </c>
      <c r="S69" s="96" t="s">
        <v>145</v>
      </c>
    </row>
    <row customHeight="true" ht="23.703703703703702" r="70">
      <c r="A70" s="93">
        <v>46038</v>
      </c>
      <c r="B70" s="79" t="s">
        <v>131</v>
      </c>
      <c r="C70" s="79">
        <v>1</v>
      </c>
      <c r="D70" s="94" cm="1">
        <f t="array" ref="D70:D70">_xlfn.XLOOKUP(B70&amp;S70,'净-价格-毛利'!A:A&amp;'净-价格-毛利'!B:B,'净-价格-毛利'!D:D,0)</f>
      </c>
      <c r="E70" s="81">
        <f t="shared" si="482"/>
      </c>
      <c r="F70" s="80" cm="1">
        <f t="array" ref="F70:F70">_xlfn.XLOOKUP(B70&amp;S70,'净-价格-毛利'!A:A&amp;'净-价格-毛利'!B:B,'净-价格-毛利'!C:C,0)</f>
      </c>
      <c r="G70" s="81">
        <f>C70*6</f>
      </c>
      <c r="H70" s="81"/>
      <c r="I70" s="81">
        <f t="shared" si="111"/>
      </c>
      <c r="J70" s="81">
        <f t="shared" si="169"/>
      </c>
      <c r="K70" s="83">
        <f t="shared" si="238"/>
      </c>
      <c r="L70" s="81">
        <f t="shared" si="307"/>
      </c>
      <c r="M70" s="81">
        <f t="shared" si="366"/>
      </c>
      <c r="N70" s="83">
        <f t="shared" si="539"/>
      </c>
      <c r="O70" s="95">
        <v>0</v>
      </c>
      <c r="P70" s="95">
        <f t="shared" si="425"/>
      </c>
      <c r="Q70" s="85">
        <f t="shared" si="597"/>
      </c>
      <c r="R70" s="85">
        <f t="shared" si="52"/>
      </c>
      <c r="S70" s="97" t="s">
        <v>147</v>
      </c>
    </row>
    <row customHeight="true" ht="23.703703703703702" r="71">
      <c r="A71" s="93">
        <v>46038</v>
      </c>
      <c r="B71" s="79" t="s">
        <v>133</v>
      </c>
      <c r="C71" s="79"/>
      <c r="D71" s="94" cm="1">
        <f t="array" ref="D71:D71">_xlfn.XLOOKUP(B71&amp;S71,'净-价格-毛利'!A:A&amp;'净-价格-毛利'!B:B,'净-价格-毛利'!D:D,0)</f>
      </c>
      <c r="E71" s="81">
        <f t="shared" si="482"/>
      </c>
      <c r="F71" s="80" cm="1">
        <f t="array" ref="F71:F71">_xlfn.XLOOKUP(B71&amp;S71,'净-价格-毛利'!A:A&amp;'净-价格-毛利'!B:B,'净-价格-毛利'!C:C,0)</f>
      </c>
      <c r="G71" s="81">
        <f>C71*5</f>
      </c>
      <c r="H71" s="81">
        <v>32.09</v>
      </c>
      <c r="I71" s="81">
        <f t="shared" si="111"/>
      </c>
      <c r="J71" s="81">
        <f t="shared" si="169"/>
      </c>
      <c r="K71" s="83">
        <f t="shared" si="238"/>
      </c>
      <c r="L71" s="81">
        <f t="shared" si="307"/>
      </c>
      <c r="M71" s="81">
        <f t="shared" si="366"/>
      </c>
      <c r="N71" s="83">
        <f t="shared" si="539"/>
      </c>
      <c r="O71" s="95">
        <v>0</v>
      </c>
      <c r="P71" s="95">
        <f t="shared" si="425"/>
      </c>
      <c r="Q71" s="85">
        <f t="shared" si="597"/>
      </c>
      <c r="R71" s="85">
        <f t="shared" si="52"/>
      </c>
      <c r="S71" s="96" t="s">
        <v>145</v>
      </c>
    </row>
    <row customHeight="true" ht="23.703703703703702" r="72">
      <c r="A72" s="93">
        <v>46038</v>
      </c>
      <c r="B72" s="79" t="s">
        <v>133</v>
      </c>
      <c r="C72" s="79"/>
      <c r="D72" s="94" cm="1">
        <f t="array" ref="D72:D72">_xlfn.XLOOKUP(B72&amp;S72,'净-价格-毛利'!A:A&amp;'净-价格-毛利'!B:B,'净-价格-毛利'!D:D,0)</f>
      </c>
      <c r="E72" s="81">
        <f t="shared" si="482"/>
      </c>
      <c r="F72" s="80" cm="1">
        <f t="array" ref="F72:F72">_xlfn.XLOOKUP(B72&amp;S72,'净-价格-毛利'!A:A&amp;'净-价格-毛利'!B:B,'净-价格-毛利'!C:C,0)</f>
      </c>
      <c r="G72" s="81">
        <f>C72*6</f>
      </c>
      <c r="H72" s="81"/>
      <c r="I72" s="81">
        <f t="shared" si="111"/>
      </c>
      <c r="J72" s="81">
        <f t="shared" si="169"/>
      </c>
      <c r="K72" s="83">
        <f t="shared" si="238"/>
      </c>
      <c r="L72" s="81">
        <f t="shared" si="307"/>
      </c>
      <c r="M72" s="81">
        <f t="shared" si="366"/>
      </c>
      <c r="N72" s="83">
        <f t="shared" si="539"/>
      </c>
      <c r="O72" s="84">
        <v>0</v>
      </c>
      <c r="P72" s="95">
        <f t="shared" si="425"/>
      </c>
      <c r="Q72" s="85">
        <f t="shared" si="597"/>
      </c>
      <c r="R72" s="85">
        <f t="shared" si="52"/>
      </c>
      <c r="S72" s="97" t="s">
        <v>143</v>
      </c>
    </row>
    <row customHeight="true" ht="23.703703703703702" r="73">
      <c r="A73" s="93">
        <v>46038</v>
      </c>
      <c r="B73" s="79" t="s">
        <v>134</v>
      </c>
      <c r="C73" s="79">
        <v>1</v>
      </c>
      <c r="D73" s="94" cm="1">
        <f t="array" ref="D73:D73">_xlfn.XLOOKUP(B73&amp;S73,'净-价格-毛利'!A:A&amp;'净-价格-毛利'!B:B,'净-价格-毛利'!D:D,0)</f>
      </c>
      <c r="E73" s="81">
        <f t="shared" si="482"/>
      </c>
      <c r="F73" s="80" cm="1">
        <f t="array" ref="F73:F73">_xlfn.XLOOKUP(B73&amp;S73,'净-价格-毛利'!A:A&amp;'净-价格-毛利'!B:B,'净-价格-毛利'!C:C,0)</f>
      </c>
      <c r="G73" s="81">
        <f>C73*5</f>
      </c>
      <c r="H73" s="81">
        <v>38.76</v>
      </c>
      <c r="I73" s="81">
        <f t="shared" si="111"/>
      </c>
      <c r="J73" s="81">
        <f t="shared" si="169"/>
      </c>
      <c r="K73" s="83">
        <f t="shared" si="238"/>
      </c>
      <c r="L73" s="81">
        <f t="shared" si="307"/>
      </c>
      <c r="M73" s="81">
        <f t="shared" si="366"/>
      </c>
      <c r="N73" s="83">
        <f t="shared" si="539"/>
      </c>
      <c r="O73" s="95">
        <v>1</v>
      </c>
      <c r="P73" s="95">
        <f t="shared" si="425"/>
      </c>
      <c r="Q73" s="85">
        <f t="shared" si="597"/>
      </c>
      <c r="R73" s="85">
        <f t="shared" si="52"/>
      </c>
      <c r="S73" s="96" t="s">
        <v>145</v>
      </c>
    </row>
    <row customHeight="true" ht="23.703703703703702" r="74">
      <c r="A74" s="93">
        <v>46038</v>
      </c>
      <c r="B74" s="79" t="s">
        <v>134</v>
      </c>
      <c r="C74" s="79">
        <v>3</v>
      </c>
      <c r="D74" s="94" cm="1">
        <f t="array" ref="D74:D74">_xlfn.XLOOKUP(B74&amp;S74,'净-价格-毛利'!A:A&amp;'净-价格-毛利'!B:B,'净-价格-毛利'!D:D,0)</f>
      </c>
      <c r="E74" s="81">
        <f t="shared" si="482"/>
      </c>
      <c r="F74" s="80" cm="1">
        <f t="array" ref="F74:F74">_xlfn.XLOOKUP(B74&amp;S74,'净-价格-毛利'!A:A&amp;'净-价格-毛利'!B:B,'净-价格-毛利'!C:C,0)</f>
      </c>
      <c r="G74" s="81">
        <f>C74*6</f>
      </c>
      <c r="H74" s="81">
        <v>0</v>
      </c>
      <c r="I74" s="81">
        <f t="shared" si="111"/>
      </c>
      <c r="J74" s="81">
        <f t="shared" si="169"/>
      </c>
      <c r="K74" s="83">
        <f t="shared" si="238"/>
      </c>
      <c r="L74" s="81">
        <f t="shared" si="307"/>
      </c>
      <c r="M74" s="81">
        <f t="shared" si="366"/>
      </c>
      <c r="N74" s="83">
        <f t="shared" si="539"/>
      </c>
      <c r="O74" s="95">
        <v>0</v>
      </c>
      <c r="P74" s="95">
        <f t="shared" si="425"/>
      </c>
      <c r="Q74" s="85">
        <f t="shared" si="597"/>
      </c>
      <c r="R74" s="85">
        <f t="shared" si="52"/>
      </c>
      <c r="S74" s="97" t="s">
        <v>147</v>
      </c>
    </row>
    <row customHeight="true" ht="23.703703703703702" r="75">
      <c r="A75" s="93">
        <v>46038</v>
      </c>
      <c r="B75" s="79" t="s">
        <v>136</v>
      </c>
      <c r="C75" s="79"/>
      <c r="D75" s="94" cm="1">
        <f t="array" ref="D75:D75">_xlfn.XLOOKUP(B75&amp;S75,'净-价格-毛利'!A:A&amp;'净-价格-毛利'!B:B,'净-价格-毛利'!D:D,0)</f>
      </c>
      <c r="E75" s="81">
        <f t="shared" si="482"/>
      </c>
      <c r="F75" s="80" cm="1">
        <f t="array" ref="F75:F75">_xlfn.XLOOKUP(B75&amp;S75,'净-价格-毛利'!A:A&amp;'净-价格-毛利'!B:B,'净-价格-毛利'!C:C,0)</f>
      </c>
      <c r="G75" s="81">
        <f>C75*5</f>
      </c>
      <c r="H75" s="81">
        <v>4.29</v>
      </c>
      <c r="I75" s="81">
        <f t="shared" si="111"/>
      </c>
      <c r="J75" s="81">
        <f t="shared" si="169"/>
      </c>
      <c r="K75" s="83">
        <f t="shared" si="238"/>
      </c>
      <c r="L75" s="81">
        <f t="shared" ref="L75:L76" si="226">J75*9</f>
      </c>
      <c r="M75" s="81">
        <f t="shared" ref="M75:M76" si="295">E75*9</f>
      </c>
      <c r="N75" s="83">
        <f t="shared" si="539"/>
      </c>
      <c r="O75" s="95">
        <v>0</v>
      </c>
      <c r="P75" s="95">
        <f t="shared" si="425"/>
      </c>
      <c r="Q75" s="85">
        <f t="shared" si="597"/>
      </c>
      <c r="R75" s="85">
        <f t="shared" si="52"/>
      </c>
      <c r="S75" s="83" t="s">
        <v>148</v>
      </c>
    </row>
    <row customHeight="true" ht="23.703703703703702" r="76">
      <c r="A76" s="93">
        <v>46038</v>
      </c>
      <c r="B76" s="79" t="s">
        <v>136</v>
      </c>
      <c r="C76" s="79"/>
      <c r="D76" s="94" cm="1">
        <f t="array" ref="D76:D76">_xlfn.XLOOKUP(B76&amp;S76,'净-价格-毛利'!A:A&amp;'净-价格-毛利'!B:B,'净-价格-毛利'!D:D,0)</f>
      </c>
      <c r="E76" s="81">
        <f t="shared" si="482"/>
      </c>
      <c r="F76" s="80" cm="1">
        <f t="array" ref="F76:F76">_xlfn.XLOOKUP(B76&amp;S76,'净-价格-毛利'!A:A&amp;'净-价格-毛利'!B:B,'净-价格-毛利'!C:C,0)</f>
      </c>
      <c r="G76" s="81">
        <f>C76*6</f>
      </c>
      <c r="H76" s="81"/>
      <c r="I76" s="81">
        <f t="shared" si="111"/>
      </c>
      <c r="J76" s="81">
        <f t="shared" si="169"/>
      </c>
      <c r="K76" s="83">
        <f t="shared" si="238"/>
      </c>
      <c r="L76" s="81">
        <f t="shared" si="226"/>
      </c>
      <c r="M76" s="81">
        <f t="shared" si="295"/>
      </c>
      <c r="N76" s="83">
        <f t="shared" si="539"/>
      </c>
      <c r="O76" s="95">
        <v>0</v>
      </c>
      <c r="P76" s="95">
        <f t="shared" si="425"/>
      </c>
      <c r="Q76" s="85">
        <f t="shared" si="597"/>
      </c>
      <c r="R76" s="85">
        <f t="shared" si="52"/>
      </c>
      <c r="S76" s="97" t="s">
        <v>144</v>
      </c>
    </row>
    <row customHeight="true" ht="23.703703703703702" r="77">
      <c r="A77" s="93">
        <v>46038</v>
      </c>
      <c r="B77" s="79" t="s">
        <v>137</v>
      </c>
      <c r="C77" s="79"/>
      <c r="D77" s="94" cm="1">
        <f t="array" ref="D77:D77">_xlfn.XLOOKUP(B77&amp;S77,'净-价格-毛利'!A:A&amp;'净-价格-毛利'!B:B,'净-价格-毛利'!D:D,0)</f>
      </c>
      <c r="E77" s="81">
        <f t="shared" si="482"/>
      </c>
      <c r="F77" s="80" cm="1">
        <f t="array" ref="F77:F77">_xlfn.XLOOKUP(B77&amp;S77,'净-价格-毛利'!A:A&amp;'净-价格-毛利'!B:B,'净-价格-毛利'!C:C,0)</f>
      </c>
      <c r="G77" s="81"/>
      <c r="H77" s="81"/>
      <c r="I77" s="81">
        <f t="shared" si="111"/>
      </c>
      <c r="J77" s="81">
        <f>C77*F77-H77-I77</f>
      </c>
      <c r="K77" s="83">
        <f t="shared" si="238"/>
      </c>
      <c r="L77" s="81">
        <f>J77*7</f>
      </c>
      <c r="M77" s="81">
        <f>E77*7</f>
      </c>
      <c r="N77" s="83">
        <f t="shared" si="539"/>
      </c>
      <c r="O77" s="84">
        <v>0</v>
      </c>
      <c r="P77" s="84">
        <f t="shared" si="425"/>
      </c>
      <c r="Q77" s="85">
        <f t="shared" si="597"/>
      </c>
      <c r="R77" s="85"/>
      <c r="S77" s="96"/>
    </row>
    <row customHeight="true" ht="23.703703703703702" r="78">
      <c r="A78" s="93">
        <v>46038</v>
      </c>
      <c r="B78" s="79" t="s">
        <v>111</v>
      </c>
      <c r="C78" s="79">
        <f>SUM(C67:C77)</f>
      </c>
      <c r="D78" s="89"/>
      <c r="E78" s="81">
        <f>SUM(E67:E77)</f>
      </c>
      <c r="F78" s="82">
        <f>SUM(F67:F76)</f>
      </c>
      <c r="G78" s="81"/>
      <c r="H78" s="81"/>
      <c r="I78" s="81"/>
      <c r="J78" s="81">
        <f>SUM(J67:J77)</f>
      </c>
      <c r="K78" s="83">
        <f t="shared" si="238"/>
      </c>
      <c r="L78" s="81">
        <f>SUM(L67:L77)</f>
      </c>
      <c r="M78" s="81">
        <f>SUM(M67:M77)</f>
      </c>
      <c r="N78" s="83"/>
      <c r="O78" s="95">
        <f>SUM(O67:O76)</f>
      </c>
      <c r="P78" s="95">
        <f t="shared" si="425"/>
      </c>
      <c r="Q78" s="85">
        <f t="shared" si="597"/>
      </c>
      <c r="R78" s="85"/>
      <c r="S78" s="89"/>
    </row>
    <row customHeight="true" ht="23.703703703703702" r="79">
      <c r="B79" s="77" t="s">
        <v>138</v>
      </c>
    </row>
    <row customHeight="true" ht="23.703703703703702" r="80">
      <c r="A80" s="71" t="s">
        <v>139</v>
      </c>
      <c r="B80" s="72" t="s">
        <v>112</v>
      </c>
      <c r="C80" s="90" t="s">
        <v>113</v>
      </c>
      <c r="D80" s="72" t="s">
        <v>114</v>
      </c>
      <c r="E80" s="73" t="s">
        <v>115</v>
      </c>
      <c r="F80" s="74" t="s">
        <v>116</v>
      </c>
      <c r="G80" s="73" t="s">
        <v>117</v>
      </c>
      <c r="H80" s="91" t="s">
        <v>118</v>
      </c>
      <c r="I80" s="73" t="s">
        <v>119</v>
      </c>
      <c r="J80" s="73" t="s">
        <v>116</v>
      </c>
      <c r="K80" s="75" t="s">
        <v>120</v>
      </c>
      <c r="L80" s="73" t="s">
        <v>121</v>
      </c>
      <c r="M80" s="73" t="s">
        <v>122</v>
      </c>
      <c r="N80" s="72" t="s">
        <v>123</v>
      </c>
      <c r="O80" s="92" t="s">
        <v>124</v>
      </c>
      <c r="P80" s="76" t="s">
        <v>125</v>
      </c>
      <c r="Q80" s="75" t="s">
        <v>126</v>
      </c>
      <c r="R80" s="75" t="s">
        <v>127</v>
      </c>
      <c r="S80" s="75" t="s">
        <v>140</v>
      </c>
    </row>
    <row customHeight="true" ht="23.703703703703702" r="81">
      <c r="A81" s="93">
        <v>46039</v>
      </c>
      <c r="B81" s="79" t="s">
        <v>130</v>
      </c>
      <c r="C81" s="79">
        <v>3</v>
      </c>
      <c r="D81" s="94" cm="1">
        <f t="array" ref="D81:D81">_xlfn.XLOOKUP(B81&amp;S81,'净-价格-毛利'!A:A&amp;'净-价格-毛利'!B:B,'净-价格-毛利'!D:D,0)</f>
      </c>
      <c r="E81" s="81">
        <f t="shared" ref="E81:E91" si="483">C81*D81</f>
      </c>
      <c r="F81" s="80" cm="1">
        <f t="array" ref="F81:F81">_xlfn.XLOOKUP(B81&amp;S81,'净-价格-毛利'!A:A&amp;'净-价格-毛利'!B:B,'净-价格-毛利'!C:C,0)</f>
      </c>
      <c r="G81" s="81">
        <f>C81*5</f>
      </c>
      <c r="H81" s="81">
        <v>54.24</v>
      </c>
      <c r="I81" s="81">
        <f t="shared" ref="I81:I91" si="112">E81*0.025</f>
      </c>
      <c r="J81" s="81">
        <f t="shared" ref="J81:J90" si="170">F81*C81+G81-H81-I81</f>
      </c>
      <c r="K81" s="83">
        <f t="shared" ref="K81:K92" si="239">IFERROR(J81/E81,0)</f>
      </c>
      <c r="L81" s="81">
        <f t="shared" ref="L81:L88" si="308">J81*8</f>
      </c>
      <c r="M81" s="81">
        <f t="shared" ref="M81:M88" si="367">E81*8</f>
      </c>
      <c r="N81" s="83">
        <f t="shared" ref="N81:N91" si="540">IFERROR(H81/E81,0)</f>
      </c>
      <c r="O81" s="95">
        <v>2</v>
      </c>
      <c r="P81" s="95">
        <f t="shared" ref="P81:P92" si="426">C81-O81</f>
      </c>
      <c r="Q81" s="85">
        <f t="shared" ref="Q81:Q92" si="598">IFERROR(O81/C81,0)</f>
      </c>
      <c r="R81" s="85">
        <f t="shared" ref="R81:R90" si="53">IFERROR(H81/(E81*Q81),0)</f>
      </c>
      <c r="S81" s="96" t="s">
        <v>145</v>
      </c>
    </row>
    <row customHeight="true" ht="23.703703703703702" r="82">
      <c r="A82" s="93">
        <v>46039</v>
      </c>
      <c r="B82" s="79" t="s">
        <v>130</v>
      </c>
      <c r="C82" s="79"/>
      <c r="D82" s="94" cm="1">
        <f t="array" ref="D82:D82">_xlfn.XLOOKUP(B82&amp;S82,'净-价格-毛利'!A:A&amp;'净-价格-毛利'!B:B,'净-价格-毛利'!D:D,0)</f>
      </c>
      <c r="E82" s="81">
        <f t="shared" si="483"/>
      </c>
      <c r="F82" s="80" cm="1">
        <f t="array" ref="F82:F82">_xlfn.XLOOKUP(B82&amp;S82,'净-价格-毛利'!A:A&amp;'净-价格-毛利'!B:B,'净-价格-毛利'!C:C,0)</f>
      </c>
      <c r="G82" s="81">
        <f>C82*6</f>
      </c>
      <c r="H82" s="81"/>
      <c r="I82" s="81">
        <f t="shared" si="112"/>
      </c>
      <c r="J82" s="81">
        <f t="shared" si="170"/>
      </c>
      <c r="K82" s="83">
        <f t="shared" si="239"/>
      </c>
      <c r="L82" s="81">
        <f t="shared" si="308"/>
      </c>
      <c r="M82" s="81">
        <f t="shared" si="367"/>
      </c>
      <c r="N82" s="83">
        <f t="shared" si="540"/>
      </c>
      <c r="O82" s="84"/>
      <c r="P82" s="95">
        <f t="shared" si="426"/>
      </c>
      <c r="Q82" s="85">
        <f t="shared" si="598"/>
      </c>
      <c r="R82" s="85">
        <f t="shared" si="53"/>
      </c>
      <c r="S82" s="97" t="s">
        <v>146</v>
      </c>
    </row>
    <row customHeight="true" ht="23.703703703703702" r="83">
      <c r="A83" s="93">
        <v>46039</v>
      </c>
      <c r="B83" s="79" t="s">
        <v>131</v>
      </c>
      <c r="C83" s="79"/>
      <c r="D83" s="94" cm="1">
        <f t="array" ref="D83:D83">_xlfn.XLOOKUP(B83&amp;S83,'净-价格-毛利'!A:A&amp;'净-价格-毛利'!B:B,'净-价格-毛利'!D:D,0)</f>
      </c>
      <c r="E83" s="81">
        <f t="shared" si="483"/>
      </c>
      <c r="F83" s="80" cm="1">
        <f t="array" ref="F83:F83">_xlfn.XLOOKUP(B83&amp;S83,'净-价格-毛利'!A:A&amp;'净-价格-毛利'!B:B,'净-价格-毛利'!C:C,0)</f>
      </c>
      <c r="G83" s="81">
        <f>C83*5</f>
      </c>
      <c r="H83" s="81">
        <v>7.1</v>
      </c>
      <c r="I83" s="81">
        <f t="shared" si="112"/>
      </c>
      <c r="J83" s="81">
        <f t="shared" si="170"/>
      </c>
      <c r="K83" s="83">
        <f t="shared" si="239"/>
      </c>
      <c r="L83" s="81">
        <f t="shared" si="308"/>
      </c>
      <c r="M83" s="81">
        <f t="shared" si="367"/>
      </c>
      <c r="N83" s="83">
        <f t="shared" si="540"/>
      </c>
      <c r="O83" s="95"/>
      <c r="P83" s="95">
        <f t="shared" si="426"/>
      </c>
      <c r="Q83" s="85">
        <f t="shared" si="598"/>
      </c>
      <c r="R83" s="85">
        <f t="shared" si="53"/>
      </c>
      <c r="S83" s="96" t="s">
        <v>145</v>
      </c>
    </row>
    <row customHeight="true" ht="23.703703703703702" r="84">
      <c r="A84" s="93">
        <v>46039</v>
      </c>
      <c r="B84" s="79" t="s">
        <v>131</v>
      </c>
      <c r="C84" s="79"/>
      <c r="D84" s="94" cm="1">
        <f t="array" ref="D84:D84">_xlfn.XLOOKUP(B84&amp;S84,'净-价格-毛利'!A:A&amp;'净-价格-毛利'!B:B,'净-价格-毛利'!D:D,0)</f>
      </c>
      <c r="E84" s="81">
        <f t="shared" si="483"/>
      </c>
      <c r="F84" s="80" cm="1">
        <f t="array" ref="F84:F84">_xlfn.XLOOKUP(B84&amp;S84,'净-价格-毛利'!A:A&amp;'净-价格-毛利'!B:B,'净-价格-毛利'!C:C,0)</f>
      </c>
      <c r="G84" s="81">
        <f>C84*6</f>
      </c>
      <c r="H84" s="81"/>
      <c r="I84" s="81">
        <f t="shared" si="112"/>
      </c>
      <c r="J84" s="81">
        <f t="shared" si="170"/>
      </c>
      <c r="K84" s="83">
        <f t="shared" si="239"/>
      </c>
      <c r="L84" s="81">
        <f t="shared" si="308"/>
      </c>
      <c r="M84" s="81">
        <f t="shared" si="367"/>
      </c>
      <c r="N84" s="83">
        <f t="shared" si="540"/>
      </c>
      <c r="O84" s="95"/>
      <c r="P84" s="95">
        <f t="shared" si="426"/>
      </c>
      <c r="Q84" s="85">
        <f t="shared" si="598"/>
      </c>
      <c r="R84" s="85">
        <f t="shared" si="53"/>
      </c>
      <c r="S84" s="97" t="s">
        <v>147</v>
      </c>
    </row>
    <row customHeight="true" ht="23.703703703703702" r="85">
      <c r="A85" s="93">
        <v>46039</v>
      </c>
      <c r="B85" s="79" t="s">
        <v>133</v>
      </c>
      <c r="C85" s="79">
        <v>1</v>
      </c>
      <c r="D85" s="94" cm="1">
        <f t="array" ref="D85:D85">_xlfn.XLOOKUP(B85&amp;S85,'净-价格-毛利'!A:A&amp;'净-价格-毛利'!B:B,'净-价格-毛利'!D:D,0)</f>
      </c>
      <c r="E85" s="81">
        <f t="shared" si="483"/>
      </c>
      <c r="F85" s="80" cm="1">
        <f t="array" ref="F85:F85">_xlfn.XLOOKUP(B85&amp;S85,'净-价格-毛利'!A:A&amp;'净-价格-毛利'!B:B,'净-价格-毛利'!C:C,0)</f>
      </c>
      <c r="G85" s="81">
        <f>C85*5</f>
      </c>
      <c r="H85" s="81">
        <v>40.2</v>
      </c>
      <c r="I85" s="81">
        <f t="shared" si="112"/>
      </c>
      <c r="J85" s="81">
        <f t="shared" si="170"/>
      </c>
      <c r="K85" s="83">
        <f t="shared" si="239"/>
      </c>
      <c r="L85" s="81">
        <f t="shared" si="308"/>
      </c>
      <c r="M85" s="81">
        <f t="shared" si="367"/>
      </c>
      <c r="N85" s="83">
        <f t="shared" si="540"/>
      </c>
      <c r="O85" s="95">
        <v>1</v>
      </c>
      <c r="P85" s="95">
        <f t="shared" si="426"/>
      </c>
      <c r="Q85" s="85">
        <f t="shared" si="598"/>
      </c>
      <c r="R85" s="85">
        <f t="shared" si="53"/>
      </c>
      <c r="S85" s="96" t="s">
        <v>145</v>
      </c>
    </row>
    <row customHeight="true" ht="23.703703703703702" r="86">
      <c r="A86" s="93">
        <v>46039</v>
      </c>
      <c r="B86" s="79" t="s">
        <v>133</v>
      </c>
      <c r="C86" s="79"/>
      <c r="D86" s="94" cm="1">
        <f t="array" ref="D86:D86">_xlfn.XLOOKUP(B86&amp;S86,'净-价格-毛利'!A:A&amp;'净-价格-毛利'!B:B,'净-价格-毛利'!D:D,0)</f>
      </c>
      <c r="E86" s="81">
        <f t="shared" si="483"/>
      </c>
      <c r="F86" s="80" cm="1">
        <f t="array" ref="F86:F86">_xlfn.XLOOKUP(B86&amp;S86,'净-价格-毛利'!A:A&amp;'净-价格-毛利'!B:B,'净-价格-毛利'!C:C,0)</f>
      </c>
      <c r="G86" s="81">
        <f>C86*6</f>
      </c>
      <c r="H86" s="81"/>
      <c r="I86" s="81">
        <f t="shared" si="112"/>
      </c>
      <c r="J86" s="81">
        <f t="shared" si="170"/>
      </c>
      <c r="K86" s="83">
        <f t="shared" si="239"/>
      </c>
      <c r="L86" s="81">
        <f t="shared" si="308"/>
      </c>
      <c r="M86" s="81">
        <f t="shared" si="367"/>
      </c>
      <c r="N86" s="83">
        <f t="shared" si="540"/>
      </c>
      <c r="O86" s="84"/>
      <c r="P86" s="95">
        <f t="shared" si="426"/>
      </c>
      <c r="Q86" s="85">
        <f t="shared" si="598"/>
      </c>
      <c r="R86" s="85">
        <f t="shared" si="53"/>
      </c>
      <c r="S86" s="97" t="s">
        <v>143</v>
      </c>
    </row>
    <row customHeight="true" ht="23.703703703703702" r="87">
      <c r="A87" s="93">
        <v>46039</v>
      </c>
      <c r="B87" s="79" t="s">
        <v>134</v>
      </c>
      <c r="C87" s="79"/>
      <c r="D87" s="94" cm="1">
        <f t="array" ref="D87:D87">_xlfn.XLOOKUP(B87&amp;S87,'净-价格-毛利'!A:A&amp;'净-价格-毛利'!B:B,'净-价格-毛利'!D:D,0)</f>
      </c>
      <c r="E87" s="81">
        <f t="shared" si="483"/>
      </c>
      <c r="F87" s="80" cm="1">
        <f t="array" ref="F87:F87">_xlfn.XLOOKUP(B87&amp;S87,'净-价格-毛利'!A:A&amp;'净-价格-毛利'!B:B,'净-价格-毛利'!C:C,0)</f>
      </c>
      <c r="G87" s="81">
        <f>C87*5</f>
      </c>
      <c r="H87" s="81">
        <v>49.25</v>
      </c>
      <c r="I87" s="81">
        <f t="shared" si="112"/>
      </c>
      <c r="J87" s="81">
        <f t="shared" si="170"/>
      </c>
      <c r="K87" s="83">
        <f t="shared" si="239"/>
      </c>
      <c r="L87" s="81">
        <f t="shared" si="308"/>
      </c>
      <c r="M87" s="81">
        <f t="shared" si="367"/>
      </c>
      <c r="N87" s="83">
        <f t="shared" si="540"/>
      </c>
      <c r="O87" s="95"/>
      <c r="P87" s="95">
        <f t="shared" si="426"/>
      </c>
      <c r="Q87" s="85">
        <f t="shared" si="598"/>
      </c>
      <c r="R87" s="85">
        <f t="shared" si="53"/>
      </c>
      <c r="S87" s="96" t="s">
        <v>145</v>
      </c>
    </row>
    <row customHeight="true" ht="23.703703703703702" r="88">
      <c r="A88" s="93">
        <v>46039</v>
      </c>
      <c r="B88" s="79" t="s">
        <v>134</v>
      </c>
      <c r="C88" s="79"/>
      <c r="D88" s="94" cm="1">
        <f t="array" ref="D88:D88">_xlfn.XLOOKUP(B88&amp;S88,'净-价格-毛利'!A:A&amp;'净-价格-毛利'!B:B,'净-价格-毛利'!D:D,0)</f>
      </c>
      <c r="E88" s="81">
        <f t="shared" si="483"/>
      </c>
      <c r="F88" s="80" cm="1">
        <f t="array" ref="F88:F88">_xlfn.XLOOKUP(B88&amp;S88,'净-价格-毛利'!A:A&amp;'净-价格-毛利'!B:B,'净-价格-毛利'!C:C,0)</f>
      </c>
      <c r="G88" s="81">
        <f>C88*6</f>
      </c>
      <c r="H88" s="81"/>
      <c r="I88" s="81">
        <f t="shared" si="112"/>
      </c>
      <c r="J88" s="81">
        <f t="shared" si="170"/>
      </c>
      <c r="K88" s="83">
        <f t="shared" si="239"/>
      </c>
      <c r="L88" s="81">
        <f t="shared" si="308"/>
      </c>
      <c r="M88" s="81">
        <f t="shared" si="367"/>
      </c>
      <c r="N88" s="83">
        <f t="shared" si="540"/>
      </c>
      <c r="O88" s="95"/>
      <c r="P88" s="95">
        <f t="shared" si="426"/>
      </c>
      <c r="Q88" s="85">
        <f t="shared" si="598"/>
      </c>
      <c r="R88" s="85">
        <f t="shared" si="53"/>
      </c>
      <c r="S88" s="97" t="s">
        <v>147</v>
      </c>
    </row>
    <row customHeight="true" ht="23.703703703703702" r="89">
      <c r="A89" s="93">
        <v>46039</v>
      </c>
      <c r="B89" s="79" t="s">
        <v>136</v>
      </c>
      <c r="C89" s="79"/>
      <c r="D89" s="94" cm="1">
        <f t="array" ref="D89:D89">_xlfn.XLOOKUP(B89&amp;S89,'净-价格-毛利'!A:A&amp;'净-价格-毛利'!B:B,'净-价格-毛利'!D:D,0)</f>
      </c>
      <c r="E89" s="81">
        <f t="shared" si="483"/>
      </c>
      <c r="F89" s="80" cm="1">
        <f t="array" ref="F89:F89">_xlfn.XLOOKUP(B89&amp;S89,'净-价格-毛利'!A:A&amp;'净-价格-毛利'!B:B,'净-价格-毛利'!C:C,0)</f>
      </c>
      <c r="G89" s="81">
        <f>C89*5</f>
      </c>
      <c r="H89" s="81">
        <v>12.57</v>
      </c>
      <c r="I89" s="81">
        <f t="shared" si="112"/>
      </c>
      <c r="J89" s="81">
        <f t="shared" si="170"/>
      </c>
      <c r="K89" s="83">
        <f t="shared" si="239"/>
      </c>
      <c r="L89" s="81">
        <f t="shared" ref="L89:L90" si="227">J89*9</f>
      </c>
      <c r="M89" s="81">
        <f t="shared" ref="M89:M90" si="296">E89*9</f>
      </c>
      <c r="N89" s="83">
        <f t="shared" si="540"/>
      </c>
      <c r="O89" s="95"/>
      <c r="P89" s="95">
        <f t="shared" si="426"/>
      </c>
      <c r="Q89" s="85">
        <f t="shared" si="598"/>
      </c>
      <c r="R89" s="85">
        <f t="shared" si="53"/>
      </c>
      <c r="S89" s="83" t="s">
        <v>148</v>
      </c>
    </row>
    <row customHeight="true" ht="23.703703703703702" r="90">
      <c r="A90" s="93">
        <v>46039</v>
      </c>
      <c r="B90" s="79" t="s">
        <v>136</v>
      </c>
      <c r="C90" s="79"/>
      <c r="D90" s="94" cm="1">
        <f t="array" ref="D90:D90">_xlfn.XLOOKUP(B90&amp;S90,'净-价格-毛利'!A:A&amp;'净-价格-毛利'!B:B,'净-价格-毛利'!D:D,0)</f>
      </c>
      <c r="E90" s="81">
        <f t="shared" si="483"/>
      </c>
      <c r="F90" s="80" cm="1">
        <f t="array" ref="F90:F90">_xlfn.XLOOKUP(B90&amp;S90,'净-价格-毛利'!A:A&amp;'净-价格-毛利'!B:B,'净-价格-毛利'!C:C,0)</f>
      </c>
      <c r="G90" s="81">
        <f>C90*6</f>
      </c>
      <c r="H90" s="81"/>
      <c r="I90" s="81">
        <f t="shared" si="112"/>
      </c>
      <c r="J90" s="81">
        <f t="shared" si="170"/>
      </c>
      <c r="K90" s="83">
        <f t="shared" si="239"/>
      </c>
      <c r="L90" s="81">
        <f t="shared" si="227"/>
      </c>
      <c r="M90" s="81">
        <f t="shared" si="296"/>
      </c>
      <c r="N90" s="83">
        <f t="shared" si="540"/>
      </c>
      <c r="O90" s="95"/>
      <c r="P90" s="95">
        <f t="shared" si="426"/>
      </c>
      <c r="Q90" s="85">
        <f t="shared" si="598"/>
      </c>
      <c r="R90" s="85">
        <f t="shared" si="53"/>
      </c>
      <c r="S90" s="97" t="s">
        <v>144</v>
      </c>
    </row>
    <row customHeight="true" ht="23.703703703703702" r="91">
      <c r="A91" s="93">
        <v>46039</v>
      </c>
      <c r="B91" s="79" t="s">
        <v>137</v>
      </c>
      <c r="C91" s="79"/>
      <c r="D91" s="94" cm="1">
        <f t="array" ref="D91:D91">_xlfn.XLOOKUP(B91&amp;S91,'净-价格-毛利'!A:A&amp;'净-价格-毛利'!B:B,'净-价格-毛利'!D:D,0)</f>
      </c>
      <c r="E91" s="81">
        <f t="shared" si="483"/>
      </c>
      <c r="F91" s="80" cm="1">
        <f t="array" ref="F91:F91">_xlfn.XLOOKUP(B91&amp;S91,'净-价格-毛利'!A:A&amp;'净-价格-毛利'!B:B,'净-价格-毛利'!C:C,0)</f>
      </c>
      <c r="G91" s="81"/>
      <c r="H91" s="81"/>
      <c r="I91" s="81">
        <f t="shared" si="112"/>
      </c>
      <c r="J91" s="81">
        <f>C91*F91-H91-I91</f>
      </c>
      <c r="K91" s="83">
        <f t="shared" si="239"/>
      </c>
      <c r="L91" s="81">
        <f>J91*7</f>
      </c>
      <c r="M91" s="81">
        <f>E91*7</f>
      </c>
      <c r="N91" s="83">
        <f t="shared" si="540"/>
      </c>
      <c r="O91" s="84"/>
      <c r="P91" s="84">
        <f t="shared" si="426"/>
      </c>
      <c r="Q91" s="85">
        <f t="shared" si="598"/>
      </c>
      <c r="R91" s="85"/>
      <c r="S91" s="96"/>
    </row>
    <row customHeight="true" ht="23.703703703703702" r="92">
      <c r="A92" s="93">
        <v>46039</v>
      </c>
      <c r="B92" s="79" t="s">
        <v>111</v>
      </c>
      <c r="C92" s="79">
        <f>SUM(C81:C91)</f>
      </c>
      <c r="D92" s="89"/>
      <c r="E92" s="81">
        <f>SUM(E81:E91)</f>
      </c>
      <c r="F92" s="82">
        <f>SUM(F81:F90)</f>
      </c>
      <c r="G92" s="81"/>
      <c r="H92" s="81"/>
      <c r="I92" s="81"/>
      <c r="J92" s="81">
        <f>SUM(J81:J91)</f>
      </c>
      <c r="K92" s="83">
        <f t="shared" si="239"/>
      </c>
      <c r="L92" s="81">
        <f>SUM(L81:L91)</f>
      </c>
      <c r="M92" s="81">
        <f>SUM(M81:M91)</f>
      </c>
      <c r="N92" s="83"/>
      <c r="O92" s="95">
        <f>SUM(O81:O90)</f>
      </c>
      <c r="P92" s="95">
        <f t="shared" si="426"/>
      </c>
      <c r="Q92" s="85">
        <f t="shared" si="598"/>
      </c>
      <c r="R92" s="85"/>
      <c r="S92" s="89"/>
    </row>
    <row customHeight="true" ht="23.703703703703702" r="93">
      <c r="B93" s="77" t="s">
        <v>138</v>
      </c>
    </row>
    <row customHeight="true" ht="23.703703703703702" r="94">
      <c r="A94" s="71" t="s">
        <v>139</v>
      </c>
      <c r="B94" s="72" t="s">
        <v>112</v>
      </c>
      <c r="C94" s="90" t="s">
        <v>113</v>
      </c>
      <c r="D94" s="72" t="s">
        <v>114</v>
      </c>
      <c r="E94" s="73" t="s">
        <v>115</v>
      </c>
      <c r="F94" s="74" t="s">
        <v>116</v>
      </c>
      <c r="G94" s="73" t="s">
        <v>117</v>
      </c>
      <c r="H94" s="91" t="s">
        <v>118</v>
      </c>
      <c r="I94" s="73" t="s">
        <v>119</v>
      </c>
      <c r="J94" s="73" t="s">
        <v>116</v>
      </c>
      <c r="K94" s="75" t="s">
        <v>120</v>
      </c>
      <c r="L94" s="73" t="s">
        <v>121</v>
      </c>
      <c r="M94" s="73" t="s">
        <v>122</v>
      </c>
      <c r="N94" s="72" t="s">
        <v>123</v>
      </c>
      <c r="O94" s="92" t="s">
        <v>124</v>
      </c>
      <c r="P94" s="76" t="s">
        <v>125</v>
      </c>
      <c r="Q94" s="75" t="s">
        <v>126</v>
      </c>
      <c r="R94" s="75" t="s">
        <v>127</v>
      </c>
      <c r="S94" s="75" t="s">
        <v>140</v>
      </c>
    </row>
    <row customHeight="true" ht="23.703703703703702" r="95">
      <c r="A95" s="93">
        <v>46040</v>
      </c>
      <c r="B95" s="79" t="s">
        <v>130</v>
      </c>
      <c r="C95" s="79"/>
      <c r="D95" s="94" cm="1">
        <f t="array" ref="D95:D95">_xlfn.XLOOKUP(B95&amp;S95,'净-价格-毛利'!A:A&amp;'净-价格-毛利'!B:B,'净-价格-毛利'!D:D,0)</f>
      </c>
      <c r="E95" s="81">
        <f t="shared" ref="E95:E105" si="484">C95*D95</f>
      </c>
      <c r="F95" s="80" cm="1">
        <f t="array" ref="F95:F95">_xlfn.XLOOKUP(B95&amp;S95,'净-价格-毛利'!A:A&amp;'净-价格-毛利'!B:B,'净-价格-毛利'!C:C,0)</f>
      </c>
      <c r="G95" s="81">
        <f>C95*5</f>
      </c>
      <c r="H95" s="81">
        <v>103.42</v>
      </c>
      <c r="I95" s="81">
        <f t="shared" ref="I95:I105" si="113">E95*0.025</f>
      </c>
      <c r="J95" s="81">
        <f t="shared" ref="J95:J104" si="171">F95*C95+G95-H95-I95</f>
      </c>
      <c r="K95" s="83">
        <f t="shared" ref="K95:K106" si="240">IFERROR(J95/E95,0)</f>
      </c>
      <c r="L95" s="81">
        <f t="shared" ref="L95:L102" si="309">J95*8</f>
      </c>
      <c r="M95" s="81">
        <f t="shared" ref="M95:M102" si="368">E95*8</f>
      </c>
      <c r="N95" s="83">
        <f t="shared" ref="N95:N105" si="541">IFERROR(H95/E95,0)</f>
      </c>
      <c r="O95" s="95">
        <v>0</v>
      </c>
      <c r="P95" s="95">
        <f t="shared" ref="P95:P106" si="427">C95-O95</f>
      </c>
      <c r="Q95" s="85">
        <f t="shared" ref="Q95:Q106" si="599">IFERROR(O95/C95,0)</f>
      </c>
      <c r="R95" s="85">
        <f t="shared" ref="R95:R104" si="54">IFERROR(H95/(E95*Q95),0)</f>
      </c>
      <c r="S95" s="96" t="s">
        <v>145</v>
      </c>
    </row>
    <row customHeight="true" ht="23.703703703703702" r="96">
      <c r="A96" s="93">
        <v>46040</v>
      </c>
      <c r="B96" s="79" t="s">
        <v>130</v>
      </c>
      <c r="C96" s="79"/>
      <c r="D96" s="94" cm="1">
        <f t="array" ref="D96:D96">_xlfn.XLOOKUP(B96&amp;S96,'净-价格-毛利'!A:A&amp;'净-价格-毛利'!B:B,'净-价格-毛利'!D:D,0)</f>
      </c>
      <c r="E96" s="81">
        <f t="shared" si="484"/>
      </c>
      <c r="F96" s="80" cm="1">
        <f t="array" ref="F96:F96">_xlfn.XLOOKUP(B96&amp;S96,'净-价格-毛利'!A:A&amp;'净-价格-毛利'!B:B,'净-价格-毛利'!C:C,0)</f>
      </c>
      <c r="G96" s="81">
        <f>C96*6</f>
      </c>
      <c r="H96" s="81"/>
      <c r="I96" s="81">
        <f t="shared" si="113"/>
      </c>
      <c r="J96" s="81">
        <f t="shared" si="171"/>
      </c>
      <c r="K96" s="83">
        <f t="shared" si="240"/>
      </c>
      <c r="L96" s="81">
        <f t="shared" si="309"/>
      </c>
      <c r="M96" s="81">
        <f t="shared" si="368"/>
      </c>
      <c r="N96" s="83">
        <f t="shared" si="541"/>
      </c>
      <c r="O96" s="84"/>
      <c r="P96" s="95">
        <f t="shared" si="427"/>
      </c>
      <c r="Q96" s="85">
        <f t="shared" si="599"/>
      </c>
      <c r="R96" s="85">
        <f t="shared" si="54"/>
      </c>
      <c r="S96" s="97" t="s">
        <v>146</v>
      </c>
    </row>
    <row customHeight="true" ht="23.703703703703702" r="97">
      <c r="A97" s="93">
        <v>46040</v>
      </c>
      <c r="B97" s="79" t="s">
        <v>131</v>
      </c>
      <c r="C97" s="79">
        <v>2</v>
      </c>
      <c r="D97" s="94" cm="1">
        <f t="array" ref="D97:D97">_xlfn.XLOOKUP(B97&amp;S97,'净-价格-毛利'!A:A&amp;'净-价格-毛利'!B:B,'净-价格-毛利'!D:D,0)</f>
      </c>
      <c r="E97" s="81">
        <f t="shared" si="484"/>
      </c>
      <c r="F97" s="80" cm="1">
        <f t="array" ref="F97:F97">_xlfn.XLOOKUP(B97&amp;S97,'净-价格-毛利'!A:A&amp;'净-价格-毛利'!B:B,'净-价格-毛利'!C:C,0)</f>
      </c>
      <c r="G97" s="81">
        <f>C97*5</f>
      </c>
      <c r="H97" s="81">
        <v>7.95</v>
      </c>
      <c r="I97" s="81">
        <f t="shared" si="113"/>
      </c>
      <c r="J97" s="81">
        <f t="shared" si="171"/>
      </c>
      <c r="K97" s="83">
        <f t="shared" si="240"/>
      </c>
      <c r="L97" s="81">
        <f t="shared" si="309"/>
      </c>
      <c r="M97" s="81">
        <f t="shared" si="368"/>
      </c>
      <c r="N97" s="83">
        <f t="shared" si="541"/>
      </c>
      <c r="O97" s="95">
        <v>2</v>
      </c>
      <c r="P97" s="95">
        <f t="shared" si="427"/>
      </c>
      <c r="Q97" s="85">
        <f t="shared" si="599"/>
      </c>
      <c r="R97" s="85">
        <f t="shared" si="54"/>
      </c>
      <c r="S97" s="96" t="s">
        <v>145</v>
      </c>
    </row>
    <row customHeight="true" ht="23.703703703703702" r="98">
      <c r="A98" s="93">
        <v>46040</v>
      </c>
      <c r="B98" s="79" t="s">
        <v>131</v>
      </c>
      <c r="C98" s="79"/>
      <c r="D98" s="94" cm="1">
        <f t="array" ref="D98:D98">_xlfn.XLOOKUP(B98&amp;S98,'净-价格-毛利'!A:A&amp;'净-价格-毛利'!B:B,'净-价格-毛利'!D:D,0)</f>
      </c>
      <c r="E98" s="81">
        <f t="shared" si="484"/>
      </c>
      <c r="F98" s="80" cm="1">
        <f t="array" ref="F98:F98">_xlfn.XLOOKUP(B98&amp;S98,'净-价格-毛利'!A:A&amp;'净-价格-毛利'!B:B,'净-价格-毛利'!C:C,0)</f>
      </c>
      <c r="G98" s="81">
        <f>C98*6</f>
      </c>
      <c r="H98" s="81"/>
      <c r="I98" s="81">
        <f t="shared" si="113"/>
      </c>
      <c r="J98" s="81">
        <f t="shared" si="171"/>
      </c>
      <c r="K98" s="83">
        <f t="shared" si="240"/>
      </c>
      <c r="L98" s="81">
        <f t="shared" si="309"/>
      </c>
      <c r="M98" s="81">
        <f t="shared" si="368"/>
      </c>
      <c r="N98" s="83">
        <f t="shared" si="541"/>
      </c>
      <c r="O98" s="95"/>
      <c r="P98" s="95">
        <f t="shared" si="427"/>
      </c>
      <c r="Q98" s="85">
        <f t="shared" si="599"/>
      </c>
      <c r="R98" s="85">
        <f t="shared" si="54"/>
      </c>
      <c r="S98" s="97" t="s">
        <v>147</v>
      </c>
    </row>
    <row customHeight="true" ht="23.703703703703702" r="99">
      <c r="A99" s="93">
        <v>46040</v>
      </c>
      <c r="B99" s="79" t="s">
        <v>133</v>
      </c>
      <c r="C99" s="79">
        <v>3</v>
      </c>
      <c r="D99" s="94" cm="1">
        <f t="array" ref="D99:D99">_xlfn.XLOOKUP(B99&amp;S99,'净-价格-毛利'!A:A&amp;'净-价格-毛利'!B:B,'净-价格-毛利'!D:D,0)</f>
      </c>
      <c r="E99" s="81">
        <f t="shared" si="484"/>
      </c>
      <c r="F99" s="80" cm="1">
        <f t="array" ref="F99:F99">_xlfn.XLOOKUP(B99&amp;S99,'净-价格-毛利'!A:A&amp;'净-价格-毛利'!B:B,'净-价格-毛利'!C:C,0)</f>
      </c>
      <c r="G99" s="81">
        <f>C99*5</f>
      </c>
      <c r="H99" s="81">
        <v>30.6</v>
      </c>
      <c r="I99" s="81">
        <f t="shared" si="113"/>
      </c>
      <c r="J99" s="81">
        <f t="shared" si="171"/>
      </c>
      <c r="K99" s="83">
        <f t="shared" si="240"/>
      </c>
      <c r="L99" s="81">
        <f t="shared" si="309"/>
      </c>
      <c r="M99" s="81">
        <f t="shared" si="368"/>
      </c>
      <c r="N99" s="83">
        <f t="shared" si="541"/>
      </c>
      <c r="O99" s="95">
        <v>3</v>
      </c>
      <c r="P99" s="95">
        <f t="shared" si="427"/>
      </c>
      <c r="Q99" s="85">
        <f t="shared" si="599"/>
      </c>
      <c r="R99" s="85">
        <f t="shared" si="54"/>
      </c>
      <c r="S99" s="96" t="s">
        <v>145</v>
      </c>
    </row>
    <row customHeight="true" ht="23.703703703703702" r="100">
      <c r="A100" s="93">
        <v>46040</v>
      </c>
      <c r="B100" s="79" t="s">
        <v>133</v>
      </c>
      <c r="C100" s="79"/>
      <c r="D100" s="94" cm="1">
        <f t="array" ref="D100:D100">_xlfn.XLOOKUP(B100&amp;S100,'净-价格-毛利'!A:A&amp;'净-价格-毛利'!B:B,'净-价格-毛利'!D:D,0)</f>
      </c>
      <c r="E100" s="81">
        <f t="shared" si="484"/>
      </c>
      <c r="F100" s="80" cm="1">
        <f t="array" ref="F100:F100">_xlfn.XLOOKUP(B100&amp;S100,'净-价格-毛利'!A:A&amp;'净-价格-毛利'!B:B,'净-价格-毛利'!C:C,0)</f>
      </c>
      <c r="G100" s="81">
        <f>C100*6</f>
      </c>
      <c r="H100" s="81"/>
      <c r="I100" s="81">
        <f t="shared" si="113"/>
      </c>
      <c r="J100" s="81">
        <f t="shared" si="171"/>
      </c>
      <c r="K100" s="83">
        <f t="shared" si="240"/>
      </c>
      <c r="L100" s="81">
        <f t="shared" si="309"/>
      </c>
      <c r="M100" s="81">
        <f t="shared" si="368"/>
      </c>
      <c r="N100" s="83">
        <f t="shared" si="541"/>
      </c>
      <c r="O100" s="84"/>
      <c r="P100" s="95">
        <f t="shared" si="427"/>
      </c>
      <c r="Q100" s="85">
        <f t="shared" si="599"/>
      </c>
      <c r="R100" s="85">
        <f t="shared" si="54"/>
      </c>
      <c r="S100" s="97" t="s">
        <v>143</v>
      </c>
    </row>
    <row customHeight="true" ht="23.703703703703702" r="101">
      <c r="A101" s="93">
        <v>46040</v>
      </c>
      <c r="B101" s="79" t="s">
        <v>134</v>
      </c>
      <c r="C101" s="79"/>
      <c r="D101" s="94" cm="1">
        <f t="array" ref="D101:D101">_xlfn.XLOOKUP(B101&amp;S101,'净-价格-毛利'!A:A&amp;'净-价格-毛利'!B:B,'净-价格-毛利'!D:D,0)</f>
      </c>
      <c r="E101" s="81">
        <f t="shared" si="484"/>
      </c>
      <c r="F101" s="80" cm="1">
        <f t="array" ref="F101:F101">_xlfn.XLOOKUP(B101&amp;S101,'净-价格-毛利'!A:A&amp;'净-价格-毛利'!B:B,'净-价格-毛利'!C:C,0)</f>
      </c>
      <c r="G101" s="81">
        <f>C101*5</f>
      </c>
      <c r="H101" s="81">
        <v>68.83</v>
      </c>
      <c r="I101" s="81">
        <f t="shared" si="113"/>
      </c>
      <c r="J101" s="81">
        <f t="shared" si="171"/>
      </c>
      <c r="K101" s="83">
        <f t="shared" si="240"/>
      </c>
      <c r="L101" s="81">
        <f t="shared" si="309"/>
      </c>
      <c r="M101" s="81">
        <f t="shared" si="368"/>
      </c>
      <c r="N101" s="83">
        <f t="shared" si="541"/>
      </c>
      <c r="O101" s="95">
        <v>0</v>
      </c>
      <c r="P101" s="95">
        <f t="shared" si="427"/>
      </c>
      <c r="Q101" s="85">
        <f t="shared" si="599"/>
      </c>
      <c r="R101" s="85">
        <f t="shared" si="54"/>
      </c>
      <c r="S101" s="96" t="s">
        <v>145</v>
      </c>
    </row>
    <row customHeight="true" ht="23.703703703703702" r="102">
      <c r="A102" s="93">
        <v>46040</v>
      </c>
      <c r="B102" s="79" t="s">
        <v>134</v>
      </c>
      <c r="C102" s="79"/>
      <c r="D102" s="94" cm="1">
        <f t="array" ref="D102:D102">_xlfn.XLOOKUP(B102&amp;S102,'净-价格-毛利'!A:A&amp;'净-价格-毛利'!B:B,'净-价格-毛利'!D:D,0)</f>
      </c>
      <c r="E102" s="81">
        <f t="shared" si="484"/>
      </c>
      <c r="F102" s="80" cm="1">
        <f t="array" ref="F102:F102">_xlfn.XLOOKUP(B102&amp;S102,'净-价格-毛利'!A:A&amp;'净-价格-毛利'!B:B,'净-价格-毛利'!C:C,0)</f>
      </c>
      <c r="G102" s="81">
        <f>C102*6</f>
      </c>
      <c r="H102" s="81"/>
      <c r="I102" s="81">
        <f t="shared" si="113"/>
      </c>
      <c r="J102" s="81">
        <f t="shared" si="171"/>
      </c>
      <c r="K102" s="83">
        <f t="shared" si="240"/>
      </c>
      <c r="L102" s="81">
        <f t="shared" si="309"/>
      </c>
      <c r="M102" s="81">
        <f t="shared" si="368"/>
      </c>
      <c r="N102" s="83">
        <f t="shared" si="541"/>
      </c>
      <c r="O102" s="95"/>
      <c r="P102" s="95">
        <f t="shared" si="427"/>
      </c>
      <c r="Q102" s="85">
        <f t="shared" si="599"/>
      </c>
      <c r="R102" s="85">
        <f t="shared" si="54"/>
      </c>
      <c r="S102" s="97" t="s">
        <v>147</v>
      </c>
    </row>
    <row customHeight="true" ht="23.703703703703702" r="103">
      <c r="A103" s="93">
        <v>46040</v>
      </c>
      <c r="B103" s="79" t="s">
        <v>136</v>
      </c>
      <c r="C103" s="79">
        <v>1</v>
      </c>
      <c r="D103" s="94" cm="1">
        <f t="array" ref="D103:D103">_xlfn.XLOOKUP(B103&amp;S103,'净-价格-毛利'!A:A&amp;'净-价格-毛利'!B:B,'净-价格-毛利'!D:D,0)</f>
      </c>
      <c r="E103" s="81">
        <f t="shared" si="484"/>
      </c>
      <c r="F103" s="80" cm="1">
        <f t="array" ref="F103:F103">_xlfn.XLOOKUP(B103&amp;S103,'净-价格-毛利'!A:A&amp;'净-价格-毛利'!B:B,'净-价格-毛利'!C:C,0)</f>
      </c>
      <c r="G103" s="81">
        <f>C103*5</f>
      </c>
      <c r="H103" s="81">
        <v>23.16</v>
      </c>
      <c r="I103" s="81">
        <f t="shared" si="113"/>
      </c>
      <c r="J103" s="81">
        <f t="shared" si="171"/>
      </c>
      <c r="K103" s="83">
        <f t="shared" si="240"/>
      </c>
      <c r="L103" s="81">
        <f t="shared" ref="L103:L104" si="228">J103*9</f>
      </c>
      <c r="M103" s="81">
        <f t="shared" ref="M103:M104" si="297">E103*9</f>
      </c>
      <c r="N103" s="83">
        <f t="shared" si="541"/>
      </c>
      <c r="O103" s="95">
        <v>1</v>
      </c>
      <c r="P103" s="95">
        <f t="shared" si="427"/>
      </c>
      <c r="Q103" s="85">
        <f t="shared" si="599"/>
      </c>
      <c r="R103" s="85">
        <f t="shared" si="54"/>
      </c>
      <c r="S103" s="83" t="s">
        <v>148</v>
      </c>
    </row>
    <row customHeight="true" ht="23.703703703703702" r="104">
      <c r="A104" s="93">
        <v>46040</v>
      </c>
      <c r="B104" s="79" t="s">
        <v>136</v>
      </c>
      <c r="C104" s="79"/>
      <c r="D104" s="94" cm="1">
        <f t="array" ref="D104:D104">_xlfn.XLOOKUP(B104&amp;S104,'净-价格-毛利'!A:A&amp;'净-价格-毛利'!B:B,'净-价格-毛利'!D:D,0)</f>
      </c>
      <c r="E104" s="81">
        <f t="shared" si="484"/>
      </c>
      <c r="F104" s="80" cm="1">
        <f t="array" ref="F104:F104">_xlfn.XLOOKUP(B104&amp;S104,'净-价格-毛利'!A:A&amp;'净-价格-毛利'!B:B,'净-价格-毛利'!C:C,0)</f>
      </c>
      <c r="G104" s="81">
        <f>C104*6</f>
      </c>
      <c r="H104" s="81"/>
      <c r="I104" s="81">
        <f t="shared" si="113"/>
      </c>
      <c r="J104" s="81">
        <f t="shared" si="171"/>
      </c>
      <c r="K104" s="83">
        <f t="shared" si="240"/>
      </c>
      <c r="L104" s="81">
        <f t="shared" si="228"/>
      </c>
      <c r="M104" s="81">
        <f t="shared" si="297"/>
      </c>
      <c r="N104" s="83">
        <f t="shared" si="541"/>
      </c>
      <c r="O104" s="95"/>
      <c r="P104" s="95">
        <f t="shared" si="427"/>
      </c>
      <c r="Q104" s="85">
        <f t="shared" si="599"/>
      </c>
      <c r="R104" s="85">
        <f t="shared" si="54"/>
      </c>
      <c r="S104" s="97" t="s">
        <v>144</v>
      </c>
    </row>
    <row customHeight="true" ht="23.703703703703702" r="105">
      <c r="A105" s="93">
        <v>46040</v>
      </c>
      <c r="B105" s="79" t="s">
        <v>137</v>
      </c>
      <c r="C105" s="79"/>
      <c r="D105" s="94" cm="1">
        <f t="array" ref="D105:D105">_xlfn.XLOOKUP(B105&amp;S105,'净-价格-毛利'!A:A&amp;'净-价格-毛利'!B:B,'净-价格-毛利'!D:D,0)</f>
      </c>
      <c r="E105" s="81">
        <f t="shared" si="484"/>
      </c>
      <c r="F105" s="80" cm="1">
        <f t="array" ref="F105:F105">_xlfn.XLOOKUP(B105&amp;S105,'净-价格-毛利'!A:A&amp;'净-价格-毛利'!B:B,'净-价格-毛利'!C:C,0)</f>
      </c>
      <c r="G105" s="81"/>
      <c r="H105" s="81"/>
      <c r="I105" s="81">
        <f t="shared" si="113"/>
      </c>
      <c r="J105" s="81">
        <f>C105*F105-H105-I105</f>
      </c>
      <c r="K105" s="83">
        <f t="shared" si="240"/>
      </c>
      <c r="L105" s="81">
        <f>J105*7</f>
      </c>
      <c r="M105" s="81">
        <f>E105*7</f>
      </c>
      <c r="N105" s="83">
        <f t="shared" si="541"/>
      </c>
      <c r="O105" s="84"/>
      <c r="P105" s="84">
        <f t="shared" si="427"/>
      </c>
      <c r="Q105" s="85">
        <f t="shared" si="599"/>
      </c>
      <c r="R105" s="85"/>
      <c r="S105" s="96"/>
    </row>
    <row customHeight="true" ht="23.703703703703702" r="106">
      <c r="A106" s="93">
        <v>46040</v>
      </c>
      <c r="B106" s="79" t="s">
        <v>111</v>
      </c>
      <c r="C106" s="79">
        <f>SUM(C95:C105)</f>
      </c>
      <c r="D106" s="89"/>
      <c r="E106" s="81">
        <f>SUM(E95:E105)</f>
      </c>
      <c r="F106" s="82">
        <f>SUM(F95:F104)</f>
      </c>
      <c r="G106" s="81"/>
      <c r="H106" s="81"/>
      <c r="I106" s="81"/>
      <c r="J106" s="81">
        <f>SUM(J95:J105)</f>
      </c>
      <c r="K106" s="83">
        <f t="shared" si="240"/>
      </c>
      <c r="L106" s="81">
        <f>SUM(L95:L105)</f>
      </c>
      <c r="M106" s="81">
        <f>SUM(M95:M105)</f>
      </c>
      <c r="N106" s="83"/>
      <c r="O106" s="95">
        <f>SUM(O95:O104)</f>
      </c>
      <c r="P106" s="95">
        <f t="shared" si="427"/>
      </c>
      <c r="Q106" s="85">
        <f t="shared" si="599"/>
      </c>
      <c r="R106" s="85"/>
      <c r="S106" s="89"/>
    </row>
    <row customHeight="true" ht="23.703703703703702" r="107">
      <c r="B107" s="77" t="s">
        <v>138</v>
      </c>
    </row>
    <row customHeight="true" ht="23.703703703703702" r="108">
      <c r="A108" s="71" t="s">
        <v>139</v>
      </c>
      <c r="B108" s="72" t="s">
        <v>112</v>
      </c>
      <c r="C108" s="90" t="s">
        <v>113</v>
      </c>
      <c r="D108" s="72" t="s">
        <v>114</v>
      </c>
      <c r="E108" s="73" t="s">
        <v>115</v>
      </c>
      <c r="F108" s="74" t="s">
        <v>116</v>
      </c>
      <c r="G108" s="73" t="s">
        <v>117</v>
      </c>
      <c r="H108" s="91" t="s">
        <v>118</v>
      </c>
      <c r="I108" s="73" t="s">
        <v>119</v>
      </c>
      <c r="J108" s="73" t="s">
        <v>116</v>
      </c>
      <c r="K108" s="75" t="s">
        <v>120</v>
      </c>
      <c r="L108" s="73" t="s">
        <v>121</v>
      </c>
      <c r="M108" s="73" t="s">
        <v>122</v>
      </c>
      <c r="N108" s="72" t="s">
        <v>123</v>
      </c>
      <c r="O108" s="92" t="s">
        <v>124</v>
      </c>
      <c r="P108" s="76" t="s">
        <v>125</v>
      </c>
      <c r="Q108" s="75" t="s">
        <v>126</v>
      </c>
      <c r="R108" s="75" t="s">
        <v>127</v>
      </c>
      <c r="S108" s="75" t="s">
        <v>140</v>
      </c>
    </row>
    <row customHeight="true" ht="23.703703703703702" r="109">
      <c r="A109" s="93">
        <v>46041</v>
      </c>
      <c r="B109" s="79" t="s">
        <v>130</v>
      </c>
      <c r="C109" s="79">
        <v>4</v>
      </c>
      <c r="D109" s="94" cm="1">
        <f t="array" ref="D109:D109">_xlfn.XLOOKUP(B109&amp;S109,'净-价格-毛利'!A:A&amp;'净-价格-毛利'!B:B,'净-价格-毛利'!D:D,0)</f>
      </c>
      <c r="E109" s="81">
        <f t="shared" ref="E109:E119" si="485">C109*D109</f>
      </c>
      <c r="F109" s="80" cm="1">
        <f t="array" ref="F109:F109">_xlfn.XLOOKUP(B109&amp;S109,'净-价格-毛利'!A:A&amp;'净-价格-毛利'!B:B,'净-价格-毛利'!C:C,0)</f>
      </c>
      <c r="G109" s="81">
        <f>C109*5</f>
      </c>
      <c r="H109" s="81">
        <v>148.44</v>
      </c>
      <c r="I109" s="81">
        <f t="shared" ref="I109:I119" si="114">E109*0.025</f>
      </c>
      <c r="J109" s="81">
        <f t="shared" ref="J109:J118" si="172">F109*C109+G109-H109-I109</f>
      </c>
      <c r="K109" s="83">
        <f t="shared" ref="K109:K120" si="241">IFERROR(J109/E109,0)</f>
      </c>
      <c r="L109" s="81">
        <f t="shared" ref="L109:L116" si="310">J109*8</f>
      </c>
      <c r="M109" s="81">
        <f t="shared" ref="M109:M116" si="369">E109*8</f>
      </c>
      <c r="N109" s="83">
        <f t="shared" ref="N109:N119" si="542">IFERROR(H109/E109,0)</f>
      </c>
      <c r="O109" s="95">
        <v>3</v>
      </c>
      <c r="P109" s="95">
        <f t="shared" ref="P109:P120" si="428">C109-O109</f>
      </c>
      <c r="Q109" s="85">
        <f t="shared" ref="Q109:Q120" si="600">IFERROR(O109/C109,0)</f>
      </c>
      <c r="R109" s="85">
        <f t="shared" ref="R109:R118" si="55">IFERROR(H109/(E109*Q109),0)</f>
      </c>
      <c r="S109" s="97" t="s">
        <v>149</v>
      </c>
    </row>
    <row customHeight="true" ht="23.703703703703702" r="110">
      <c r="A110" s="93">
        <v>46041</v>
      </c>
      <c r="B110" s="79" t="s">
        <v>130</v>
      </c>
      <c r="C110" s="79"/>
      <c r="D110" s="94" cm="1">
        <f t="array" ref="D110:D110">_xlfn.XLOOKUP(B110&amp;S110,'净-价格-毛利'!A:A&amp;'净-价格-毛利'!B:B,'净-价格-毛利'!D:D,0)</f>
      </c>
      <c r="E110" s="81">
        <f t="shared" si="485"/>
      </c>
      <c r="F110" s="80" cm="1">
        <f t="array" ref="F110:F110">_xlfn.XLOOKUP(B110&amp;S110,'净-价格-毛利'!A:A&amp;'净-价格-毛利'!B:B,'净-价格-毛利'!C:C,0)</f>
      </c>
      <c r="G110" s="81">
        <f>C110*6</f>
      </c>
      <c r="H110" s="81"/>
      <c r="I110" s="81">
        <f t="shared" si="114"/>
      </c>
      <c r="J110" s="81">
        <f t="shared" si="172"/>
      </c>
      <c r="K110" s="83">
        <f t="shared" si="241"/>
      </c>
      <c r="L110" s="81">
        <f t="shared" si="310"/>
      </c>
      <c r="M110" s="81">
        <f t="shared" si="369"/>
      </c>
      <c r="N110" s="83">
        <f t="shared" si="542"/>
      </c>
      <c r="O110" s="84"/>
      <c r="P110" s="95">
        <f t="shared" si="428"/>
      </c>
      <c r="Q110" s="85">
        <f t="shared" si="600"/>
      </c>
      <c r="R110" s="85">
        <f t="shared" si="55"/>
      </c>
      <c r="S110" s="97" t="s">
        <v>146</v>
      </c>
    </row>
    <row customHeight="true" ht="23.703703703703702" r="111">
      <c r="A111" s="93">
        <v>46041</v>
      </c>
      <c r="B111" s="79" t="s">
        <v>131</v>
      </c>
      <c r="C111" s="79"/>
      <c r="D111" s="94" cm="1">
        <f t="array" ref="D111:D111">_xlfn.XLOOKUP(B111&amp;S111,'净-价格-毛利'!A:A&amp;'净-价格-毛利'!B:B,'净-价格-毛利'!D:D,0)</f>
      </c>
      <c r="E111" s="81">
        <f t="shared" si="485"/>
      </c>
      <c r="F111" s="80" cm="1">
        <f t="array" ref="F111:F111">_xlfn.XLOOKUP(B111&amp;S111,'净-价格-毛利'!A:A&amp;'净-价格-毛利'!B:B,'净-价格-毛利'!C:C,0)</f>
      </c>
      <c r="G111" s="81">
        <f>C111*5</f>
      </c>
      <c r="H111" s="81">
        <v>10.53</v>
      </c>
      <c r="I111" s="81">
        <f t="shared" si="114"/>
      </c>
      <c r="J111" s="81">
        <f t="shared" si="172"/>
      </c>
      <c r="K111" s="83">
        <f t="shared" si="241"/>
      </c>
      <c r="L111" s="81">
        <f t="shared" si="310"/>
      </c>
      <c r="M111" s="81">
        <f t="shared" si="369"/>
      </c>
      <c r="N111" s="83">
        <f t="shared" si="542"/>
      </c>
      <c r="O111" s="95">
        <v>0</v>
      </c>
      <c r="P111" s="95">
        <f t="shared" si="428"/>
      </c>
      <c r="Q111" s="85">
        <f t="shared" si="600"/>
      </c>
      <c r="R111" s="85">
        <f t="shared" si="55"/>
      </c>
      <c r="S111" s="97" t="s">
        <v>149</v>
      </c>
    </row>
    <row customHeight="true" ht="23.703703703703702" r="112">
      <c r="A112" s="93">
        <v>46041</v>
      </c>
      <c r="B112" s="79" t="s">
        <v>131</v>
      </c>
      <c r="C112" s="79"/>
      <c r="D112" s="94" cm="1">
        <f t="array" ref="D112:D112">_xlfn.XLOOKUP(B112&amp;S112,'净-价格-毛利'!A:A&amp;'净-价格-毛利'!B:B,'净-价格-毛利'!D:D,0)</f>
      </c>
      <c r="E112" s="81">
        <f t="shared" si="485"/>
      </c>
      <c r="F112" s="80" cm="1">
        <f t="array" ref="F112:F112">_xlfn.XLOOKUP(B112&amp;S112,'净-价格-毛利'!A:A&amp;'净-价格-毛利'!B:B,'净-价格-毛利'!C:C,0)</f>
      </c>
      <c r="G112" s="81">
        <f>C112*6</f>
      </c>
      <c r="H112" s="81"/>
      <c r="I112" s="81">
        <f t="shared" si="114"/>
      </c>
      <c r="J112" s="81">
        <f t="shared" si="172"/>
      </c>
      <c r="K112" s="83">
        <f t="shared" si="241"/>
      </c>
      <c r="L112" s="81">
        <f t="shared" si="310"/>
      </c>
      <c r="M112" s="81">
        <f t="shared" si="369"/>
      </c>
      <c r="N112" s="83">
        <f t="shared" si="542"/>
      </c>
      <c r="O112" s="95"/>
      <c r="P112" s="95">
        <f t="shared" si="428"/>
      </c>
      <c r="Q112" s="85">
        <f t="shared" si="600"/>
      </c>
      <c r="R112" s="85">
        <f t="shared" si="55"/>
      </c>
      <c r="S112" s="97" t="s">
        <v>147</v>
      </c>
    </row>
    <row customHeight="true" ht="23.703703703703702" r="113">
      <c r="A113" s="93">
        <v>46041</v>
      </c>
      <c r="B113" s="79" t="s">
        <v>133</v>
      </c>
      <c r="C113" s="79">
        <v>4</v>
      </c>
      <c r="D113" s="94" cm="1">
        <f t="array" ref="D113:D113">_xlfn.XLOOKUP(B113&amp;S113,'净-价格-毛利'!A:A&amp;'净-价格-毛利'!B:B,'净-价格-毛利'!D:D,0)</f>
      </c>
      <c r="E113" s="81">
        <f t="shared" si="485"/>
      </c>
      <c r="F113" s="80" cm="1">
        <f t="array" ref="F113:F113">_xlfn.XLOOKUP(B113&amp;S113,'净-价格-毛利'!A:A&amp;'净-价格-毛利'!B:B,'净-价格-毛利'!C:C,0)</f>
      </c>
      <c r="G113" s="81">
        <f>C113*5</f>
      </c>
      <c r="H113" s="81">
        <v>106.49</v>
      </c>
      <c r="I113" s="81">
        <f t="shared" si="114"/>
      </c>
      <c r="J113" s="81">
        <f t="shared" si="172"/>
      </c>
      <c r="K113" s="83">
        <f t="shared" si="241"/>
      </c>
      <c r="L113" s="81">
        <f t="shared" si="310"/>
      </c>
      <c r="M113" s="81">
        <f t="shared" si="369"/>
      </c>
      <c r="N113" s="83">
        <f t="shared" si="542"/>
      </c>
      <c r="O113" s="95">
        <v>3</v>
      </c>
      <c r="P113" s="95">
        <f t="shared" si="428"/>
      </c>
      <c r="Q113" s="85">
        <f t="shared" si="600"/>
      </c>
      <c r="R113" s="85">
        <f t="shared" si="55"/>
      </c>
      <c r="S113" s="97" t="s">
        <v>150</v>
      </c>
    </row>
    <row customHeight="true" ht="23.703703703703702" r="114">
      <c r="A114" s="93">
        <v>46041</v>
      </c>
      <c r="B114" s="79" t="s">
        <v>133</v>
      </c>
      <c r="C114" s="79"/>
      <c r="D114" s="94" cm="1">
        <f t="array" ref="D114:D114">_xlfn.XLOOKUP(B114&amp;S114,'净-价格-毛利'!A:A&amp;'净-价格-毛利'!B:B,'净-价格-毛利'!D:D,0)</f>
      </c>
      <c r="E114" s="81">
        <f t="shared" si="485"/>
      </c>
      <c r="F114" s="80" cm="1">
        <f t="array" ref="F114:F114">_xlfn.XLOOKUP(B114&amp;S114,'净-价格-毛利'!A:A&amp;'净-价格-毛利'!B:B,'净-价格-毛利'!C:C,0)</f>
      </c>
      <c r="G114" s="81">
        <f>C114*6</f>
      </c>
      <c r="H114" s="81"/>
      <c r="I114" s="81">
        <f t="shared" si="114"/>
      </c>
      <c r="J114" s="81">
        <f t="shared" si="172"/>
      </c>
      <c r="K114" s="83">
        <f t="shared" si="241"/>
      </c>
      <c r="L114" s="81">
        <f t="shared" si="310"/>
      </c>
      <c r="M114" s="81">
        <f t="shared" si="369"/>
      </c>
      <c r="N114" s="83">
        <f t="shared" si="542"/>
      </c>
      <c r="O114" s="84"/>
      <c r="P114" s="95">
        <f t="shared" si="428"/>
      </c>
      <c r="Q114" s="85">
        <f t="shared" si="600"/>
      </c>
      <c r="R114" s="85">
        <f t="shared" si="55"/>
      </c>
      <c r="S114" s="97" t="s">
        <v>143</v>
      </c>
    </row>
    <row customHeight="true" ht="23.703703703703702" r="115">
      <c r="A115" s="93">
        <v>46041</v>
      </c>
      <c r="B115" s="79" t="s">
        <v>134</v>
      </c>
      <c r="C115" s="79">
        <v>1</v>
      </c>
      <c r="D115" s="94" cm="1">
        <f t="array" ref="D115:D115">_xlfn.XLOOKUP(B115&amp;S115,'净-价格-毛利'!A:A&amp;'净-价格-毛利'!B:B,'净-价格-毛利'!D:D,0)</f>
      </c>
      <c r="E115" s="81">
        <f t="shared" si="485"/>
      </c>
      <c r="F115" s="80" cm="1">
        <f t="array" ref="F115:F115">_xlfn.XLOOKUP(B115&amp;S115,'净-价格-毛利'!A:A&amp;'净-价格-毛利'!B:B,'净-价格-毛利'!C:C,0)</f>
      </c>
      <c r="G115" s="81">
        <f>C115*5</f>
      </c>
      <c r="H115" s="81">
        <v>88.61</v>
      </c>
      <c r="I115" s="81">
        <f t="shared" si="114"/>
      </c>
      <c r="J115" s="81">
        <f t="shared" si="172"/>
      </c>
      <c r="K115" s="83">
        <f t="shared" si="241"/>
      </c>
      <c r="L115" s="81">
        <f t="shared" si="310"/>
      </c>
      <c r="M115" s="81">
        <f t="shared" si="369"/>
      </c>
      <c r="N115" s="83">
        <f t="shared" si="542"/>
      </c>
      <c r="O115" s="95">
        <v>1</v>
      </c>
      <c r="P115" s="95">
        <f t="shared" si="428"/>
      </c>
      <c r="Q115" s="85">
        <f t="shared" si="600"/>
      </c>
      <c r="R115" s="85">
        <f t="shared" si="55"/>
      </c>
      <c r="S115" s="97" t="s">
        <v>151</v>
      </c>
    </row>
    <row customHeight="true" ht="23.703703703703702" r="116">
      <c r="A116" s="93">
        <v>46041</v>
      </c>
      <c r="B116" s="79" t="s">
        <v>134</v>
      </c>
      <c r="C116" s="79"/>
      <c r="D116" s="94" cm="1">
        <f t="array" ref="D116:D116">_xlfn.XLOOKUP(B116&amp;S116,'净-价格-毛利'!A:A&amp;'净-价格-毛利'!B:B,'净-价格-毛利'!D:D,0)</f>
      </c>
      <c r="E116" s="81">
        <f t="shared" si="485"/>
      </c>
      <c r="F116" s="80" cm="1">
        <f t="array" ref="F116:F116">_xlfn.XLOOKUP(B116&amp;S116,'净-价格-毛利'!A:A&amp;'净-价格-毛利'!B:B,'净-价格-毛利'!C:C,0)</f>
      </c>
      <c r="G116" s="81">
        <f>C116*6</f>
      </c>
      <c r="H116" s="81"/>
      <c r="I116" s="81">
        <f t="shared" si="114"/>
      </c>
      <c r="J116" s="81">
        <f t="shared" si="172"/>
      </c>
      <c r="K116" s="83">
        <f t="shared" si="241"/>
      </c>
      <c r="L116" s="81">
        <f t="shared" si="310"/>
      </c>
      <c r="M116" s="81">
        <f t="shared" si="369"/>
      </c>
      <c r="N116" s="83">
        <f t="shared" si="542"/>
      </c>
      <c r="O116" s="95"/>
      <c r="P116" s="95">
        <f t="shared" si="428"/>
      </c>
      <c r="Q116" s="85">
        <f t="shared" si="600"/>
      </c>
      <c r="R116" s="85">
        <f t="shared" si="55"/>
      </c>
      <c r="S116" s="97" t="s">
        <v>147</v>
      </c>
    </row>
    <row customHeight="true" ht="23.703703703703702" r="117">
      <c r="A117" s="93">
        <v>46041</v>
      </c>
      <c r="B117" s="79" t="s">
        <v>136</v>
      </c>
      <c r="C117" s="79">
        <v>1</v>
      </c>
      <c r="D117" s="94" cm="1">
        <f t="array" ref="D117:D117">_xlfn.XLOOKUP(B117&amp;S117,'净-价格-毛利'!A:A&amp;'净-价格-毛利'!B:B,'净-价格-毛利'!D:D,0)</f>
      </c>
      <c r="E117" s="81">
        <f t="shared" si="485"/>
      </c>
      <c r="F117" s="80" cm="1">
        <f t="array" ref="F117:F117">_xlfn.XLOOKUP(B117&amp;S117,'净-价格-毛利'!A:A&amp;'净-价格-毛利'!B:B,'净-价格-毛利'!C:C,0)</f>
      </c>
      <c r="G117" s="81">
        <f>C117*5</f>
      </c>
      <c r="H117" s="81">
        <v>22.14</v>
      </c>
      <c r="I117" s="81">
        <f t="shared" si="114"/>
      </c>
      <c r="J117" s="81">
        <f t="shared" si="172"/>
      </c>
      <c r="K117" s="83">
        <f t="shared" si="241"/>
      </c>
      <c r="L117" s="81">
        <f t="shared" ref="L117:L118" si="229">J117*9</f>
      </c>
      <c r="M117" s="81">
        <f t="shared" ref="M117:M118" si="298">E117*9</f>
      </c>
      <c r="N117" s="83">
        <f t="shared" si="542"/>
      </c>
      <c r="O117" s="95">
        <v>0</v>
      </c>
      <c r="P117" s="95">
        <f t="shared" si="428"/>
      </c>
      <c r="Q117" s="85">
        <f t="shared" si="600"/>
      </c>
      <c r="R117" s="85">
        <f t="shared" si="55"/>
      </c>
      <c r="S117" s="97" t="s">
        <v>148</v>
      </c>
    </row>
    <row customHeight="true" ht="23.703703703703702" r="118">
      <c r="A118" s="93">
        <v>46041</v>
      </c>
      <c r="B118" s="79" t="s">
        <v>136</v>
      </c>
      <c r="C118" s="79"/>
      <c r="D118" s="94" cm="1">
        <f t="array" ref="D118:D118">_xlfn.XLOOKUP(B118&amp;S118,'净-价格-毛利'!A:A&amp;'净-价格-毛利'!B:B,'净-价格-毛利'!D:D,0)</f>
      </c>
      <c r="E118" s="81">
        <f t="shared" si="485"/>
      </c>
      <c r="F118" s="80" cm="1">
        <f t="array" ref="F118:F118">_xlfn.XLOOKUP(B118&amp;S118,'净-价格-毛利'!A:A&amp;'净-价格-毛利'!B:B,'净-价格-毛利'!C:C,0)</f>
      </c>
      <c r="G118" s="81">
        <f>C118*6</f>
      </c>
      <c r="H118" s="81"/>
      <c r="I118" s="81">
        <f t="shared" si="114"/>
      </c>
      <c r="J118" s="81">
        <f t="shared" si="172"/>
      </c>
      <c r="K118" s="83">
        <f t="shared" si="241"/>
      </c>
      <c r="L118" s="81">
        <f t="shared" si="229"/>
      </c>
      <c r="M118" s="81">
        <f t="shared" si="298"/>
      </c>
      <c r="N118" s="83">
        <f t="shared" si="542"/>
      </c>
      <c r="O118" s="95"/>
      <c r="P118" s="95">
        <f t="shared" si="428"/>
      </c>
      <c r="Q118" s="85">
        <f t="shared" si="600"/>
      </c>
      <c r="R118" s="85">
        <f t="shared" si="55"/>
      </c>
      <c r="S118" s="97" t="s">
        <v>144</v>
      </c>
    </row>
    <row customHeight="true" ht="23.703703703703702" r="119">
      <c r="A119" s="93">
        <v>46041</v>
      </c>
      <c r="B119" s="79" t="s">
        <v>137</v>
      </c>
      <c r="C119" s="79"/>
      <c r="D119" s="94" cm="1">
        <f t="array" ref="D119:D119">_xlfn.XLOOKUP(B119&amp;S119,'净-价格-毛利'!A:A&amp;'净-价格-毛利'!B:B,'净-价格-毛利'!D:D,0)</f>
      </c>
      <c r="E119" s="81">
        <f t="shared" si="485"/>
      </c>
      <c r="F119" s="80" cm="1">
        <f t="array" ref="F119:F119">_xlfn.XLOOKUP(B119&amp;S119,'净-价格-毛利'!A:A&amp;'净-价格-毛利'!B:B,'净-价格-毛利'!C:C,0)</f>
      </c>
      <c r="G119" s="81"/>
      <c r="H119" s="81"/>
      <c r="I119" s="81">
        <f t="shared" si="114"/>
      </c>
      <c r="J119" s="81">
        <f>C119*F119-H119-I119</f>
      </c>
      <c r="K119" s="83">
        <f t="shared" si="241"/>
      </c>
      <c r="L119" s="81">
        <f>J119*7</f>
      </c>
      <c r="M119" s="81">
        <f>E119*7</f>
      </c>
      <c r="N119" s="83">
        <f t="shared" si="542"/>
      </c>
      <c r="O119" s="84"/>
      <c r="P119" s="84">
        <f t="shared" si="428"/>
      </c>
      <c r="Q119" s="85">
        <f t="shared" si="600"/>
      </c>
      <c r="R119" s="85"/>
      <c r="S119" s="96"/>
    </row>
    <row customHeight="true" ht="23.703703703703702" r="120">
      <c r="A120" s="93">
        <v>46041</v>
      </c>
      <c r="B120" s="79" t="s">
        <v>111</v>
      </c>
      <c r="C120" s="79">
        <f>SUM(C109:C119)</f>
      </c>
      <c r="D120" s="89"/>
      <c r="E120" s="81">
        <f>SUM(E109:E119)</f>
      </c>
      <c r="F120" s="82">
        <f>SUM(F109:F118)</f>
      </c>
      <c r="G120" s="81"/>
      <c r="H120" s="81"/>
      <c r="I120" s="81"/>
      <c r="J120" s="81">
        <f>SUM(J109:J119)</f>
      </c>
      <c r="K120" s="83">
        <f t="shared" si="241"/>
      </c>
      <c r="L120" s="81">
        <f>SUM(L109:L119)</f>
      </c>
      <c r="M120" s="81">
        <f>SUM(M109:M119)</f>
      </c>
      <c r="N120" s="83"/>
      <c r="O120" s="95">
        <f>SUM(O109:O118)</f>
      </c>
      <c r="P120" s="95">
        <f t="shared" si="428"/>
      </c>
      <c r="Q120" s="85">
        <f t="shared" si="600"/>
      </c>
      <c r="R120" s="85"/>
      <c r="S120" s="89"/>
    </row>
    <row customHeight="true" ht="23.703703703703702" r="121">
      <c r="B121" s="77" t="s">
        <v>138</v>
      </c>
    </row>
    <row customHeight="true" ht="23.703703703703702" r="122">
      <c r="A122" s="71" t="s">
        <v>139</v>
      </c>
      <c r="B122" s="72" t="s">
        <v>112</v>
      </c>
      <c r="C122" s="90" t="s">
        <v>113</v>
      </c>
      <c r="D122" s="72" t="s">
        <v>114</v>
      </c>
      <c r="E122" s="73" t="s">
        <v>115</v>
      </c>
      <c r="F122" s="74" t="s">
        <v>116</v>
      </c>
      <c r="G122" s="73" t="s">
        <v>117</v>
      </c>
      <c r="H122" s="91" t="s">
        <v>118</v>
      </c>
      <c r="I122" s="73" t="s">
        <v>119</v>
      </c>
      <c r="J122" s="73" t="s">
        <v>116</v>
      </c>
      <c r="K122" s="75" t="s">
        <v>120</v>
      </c>
      <c r="L122" s="73" t="s">
        <v>121</v>
      </c>
      <c r="M122" s="73" t="s">
        <v>122</v>
      </c>
      <c r="N122" s="72" t="s">
        <v>123</v>
      </c>
      <c r="O122" s="92" t="s">
        <v>124</v>
      </c>
      <c r="P122" s="76" t="s">
        <v>125</v>
      </c>
      <c r="Q122" s="75" t="s">
        <v>126</v>
      </c>
      <c r="R122" s="75" t="s">
        <v>127</v>
      </c>
      <c r="S122" s="75" t="s">
        <v>140</v>
      </c>
    </row>
    <row customHeight="true" ht="23.703703703703702" r="123">
      <c r="A123" s="93">
        <v>46042</v>
      </c>
      <c r="B123" s="79" t="s">
        <v>130</v>
      </c>
      <c r="C123" s="79">
        <v>3</v>
      </c>
      <c r="D123" s="94" cm="1">
        <f t="array" ref="D123:D123">_xlfn.XLOOKUP(B123&amp;S123,'净-价格-毛利'!A:A&amp;'净-价格-毛利'!B:B,'净-价格-毛利'!D:D,0)</f>
      </c>
      <c r="E123" s="81">
        <f t="shared" ref="E123:E133" si="486">C123*D123</f>
      </c>
      <c r="F123" s="80" cm="1">
        <f t="array" ref="F123:F123">_xlfn.XLOOKUP(B123&amp;S123,'净-价格-毛利'!A:A&amp;'净-价格-毛利'!B:B,'净-价格-毛利'!C:C,0)</f>
      </c>
      <c r="G123" s="81">
        <f>C123*5</f>
      </c>
      <c r="H123" s="81">
        <v>180.26</v>
      </c>
      <c r="I123" s="81">
        <f t="shared" ref="I123:I133" si="115">E123*0.025</f>
      </c>
      <c r="J123" s="81">
        <f t="shared" ref="J123:J132" si="173">F123*C123+G123-H123-I123</f>
      </c>
      <c r="K123" s="83">
        <f t="shared" ref="K123:K134" si="242">IFERROR(J123/E123,0)</f>
      </c>
      <c r="L123" s="81">
        <f t="shared" ref="L123:L130" si="311">J123*8</f>
      </c>
      <c r="M123" s="81">
        <f t="shared" ref="M123:M130" si="370">E123*8</f>
      </c>
      <c r="N123" s="83">
        <f t="shared" ref="N123:N133" si="543">IFERROR(H123/E123,0)</f>
      </c>
      <c r="O123" s="95">
        <v>4</v>
      </c>
      <c r="P123" s="95">
        <f t="shared" ref="P123:P134" si="429">C123-O123</f>
      </c>
      <c r="Q123" s="85">
        <f t="shared" ref="Q123:Q134" si="601">IFERROR(O123/C123,0)</f>
      </c>
      <c r="R123" s="85">
        <f t="shared" ref="R123:R132" si="56">IFERROR(H123/(E123*Q123),0)</f>
      </c>
      <c r="S123" s="97" t="s">
        <v>149</v>
      </c>
    </row>
    <row customHeight="true" ht="23.703703703703702" r="124">
      <c r="A124" s="93">
        <v>46042</v>
      </c>
      <c r="B124" s="79" t="s">
        <v>130</v>
      </c>
      <c r="C124" s="79"/>
      <c r="D124" s="94" cm="1">
        <f t="array" ref="D124:D124">_xlfn.XLOOKUP(B124&amp;S124,'净-价格-毛利'!A:A&amp;'净-价格-毛利'!B:B,'净-价格-毛利'!D:D,0)</f>
      </c>
      <c r="E124" s="81">
        <f t="shared" si="486"/>
      </c>
      <c r="F124" s="80" cm="1">
        <f t="array" ref="F124:F124">_xlfn.XLOOKUP(B124&amp;S124,'净-价格-毛利'!A:A&amp;'净-价格-毛利'!B:B,'净-价格-毛利'!C:C,0)</f>
      </c>
      <c r="G124" s="81">
        <f>C124*6</f>
      </c>
      <c r="H124" s="81"/>
      <c r="I124" s="81">
        <f t="shared" si="115"/>
      </c>
      <c r="J124" s="81">
        <f t="shared" si="173"/>
      </c>
      <c r="K124" s="83">
        <f t="shared" si="242"/>
      </c>
      <c r="L124" s="81">
        <f t="shared" si="311"/>
      </c>
      <c r="M124" s="81">
        <f t="shared" si="370"/>
      </c>
      <c r="N124" s="83">
        <f t="shared" si="543"/>
      </c>
      <c r="O124" s="84"/>
      <c r="P124" s="95">
        <f t="shared" si="429"/>
      </c>
      <c r="Q124" s="85">
        <f t="shared" si="601"/>
      </c>
      <c r="R124" s="85">
        <f t="shared" si="56"/>
      </c>
      <c r="S124" s="97" t="s">
        <v>146</v>
      </c>
    </row>
    <row customHeight="true" ht="23.703703703703702" r="125">
      <c r="A125" s="93">
        <v>46042</v>
      </c>
      <c r="B125" s="79" t="s">
        <v>131</v>
      </c>
      <c r="C125" s="79">
        <v>0</v>
      </c>
      <c r="D125" s="94" cm="1">
        <f t="array" ref="D125:D125">_xlfn.XLOOKUP(B125&amp;S125,'净-价格-毛利'!A:A&amp;'净-价格-毛利'!B:B,'净-价格-毛利'!D:D,0)</f>
      </c>
      <c r="E125" s="81">
        <f t="shared" si="486"/>
      </c>
      <c r="F125" s="80" cm="1">
        <f t="array" ref="F125:F125">_xlfn.XLOOKUP(B125&amp;S125,'净-价格-毛利'!A:A&amp;'净-价格-毛利'!B:B,'净-价格-毛利'!C:C,0)</f>
      </c>
      <c r="G125" s="81">
        <f>C125*5</f>
      </c>
      <c r="H125" s="81">
        <v>64.03</v>
      </c>
      <c r="I125" s="81">
        <f t="shared" si="115"/>
      </c>
      <c r="J125" s="81">
        <f t="shared" si="173"/>
      </c>
      <c r="K125" s="83">
        <f t="shared" si="242"/>
      </c>
      <c r="L125" s="81">
        <f t="shared" si="311"/>
      </c>
      <c r="M125" s="81">
        <f t="shared" si="370"/>
      </c>
      <c r="N125" s="83">
        <f t="shared" si="543"/>
      </c>
      <c r="O125" s="95">
        <v>0</v>
      </c>
      <c r="P125" s="95">
        <f t="shared" si="429"/>
      </c>
      <c r="Q125" s="85">
        <f t="shared" si="601"/>
      </c>
      <c r="R125" s="85">
        <f t="shared" si="56"/>
      </c>
      <c r="S125" s="97" t="s">
        <v>149</v>
      </c>
    </row>
    <row customHeight="true" ht="23.703703703703702" r="126">
      <c r="A126" s="93">
        <v>46042</v>
      </c>
      <c r="B126" s="79" t="s">
        <v>131</v>
      </c>
      <c r="C126" s="79"/>
      <c r="D126" s="94" cm="1">
        <f t="array" ref="D126:D126">_xlfn.XLOOKUP(B126&amp;S126,'净-价格-毛利'!A:A&amp;'净-价格-毛利'!B:B,'净-价格-毛利'!D:D,0)</f>
      </c>
      <c r="E126" s="81">
        <f t="shared" si="486"/>
      </c>
      <c r="F126" s="80" cm="1">
        <f t="array" ref="F126:F126">_xlfn.XLOOKUP(B126&amp;S126,'净-价格-毛利'!A:A&amp;'净-价格-毛利'!B:B,'净-价格-毛利'!C:C,0)</f>
      </c>
      <c r="G126" s="81">
        <f>C126*6</f>
      </c>
      <c r="H126" s="81"/>
      <c r="I126" s="81">
        <f t="shared" si="115"/>
      </c>
      <c r="J126" s="81">
        <f t="shared" si="173"/>
      </c>
      <c r="K126" s="83">
        <f t="shared" si="242"/>
      </c>
      <c r="L126" s="81">
        <f t="shared" si="311"/>
      </c>
      <c r="M126" s="81">
        <f t="shared" si="370"/>
      </c>
      <c r="N126" s="83">
        <f t="shared" si="543"/>
      </c>
      <c r="O126" s="95"/>
      <c r="P126" s="95">
        <f t="shared" si="429"/>
      </c>
      <c r="Q126" s="85">
        <f t="shared" si="601"/>
      </c>
      <c r="R126" s="85">
        <f t="shared" si="56"/>
      </c>
      <c r="S126" s="97" t="s">
        <v>147</v>
      </c>
    </row>
    <row customHeight="true" ht="23.703703703703702" r="127">
      <c r="A127" s="93">
        <v>46042</v>
      </c>
      <c r="B127" s="79" t="s">
        <v>133</v>
      </c>
      <c r="C127" s="79">
        <v>6</v>
      </c>
      <c r="D127" s="94" cm="1">
        <f t="array" ref="D127:D127">_xlfn.XLOOKUP(B127&amp;S127,'净-价格-毛利'!A:A&amp;'净-价格-毛利'!B:B,'净-价格-毛利'!D:D,0)</f>
      </c>
      <c r="E127" s="81">
        <f t="shared" si="486"/>
      </c>
      <c r="F127" s="80" cm="1">
        <f t="array" ref="F127:F127">_xlfn.XLOOKUP(B127&amp;S127,'净-价格-毛利'!A:A&amp;'净-价格-毛利'!B:B,'净-价格-毛利'!C:C,0)</f>
      </c>
      <c r="G127" s="81">
        <f>C127*5</f>
      </c>
      <c r="H127" s="81">
        <v>137.1</v>
      </c>
      <c r="I127" s="81">
        <f t="shared" si="115"/>
      </c>
      <c r="J127" s="81">
        <f t="shared" si="173"/>
      </c>
      <c r="K127" s="83">
        <f t="shared" si="242"/>
      </c>
      <c r="L127" s="81">
        <f t="shared" si="311"/>
      </c>
      <c r="M127" s="81">
        <f t="shared" si="370"/>
      </c>
      <c r="N127" s="83">
        <f t="shared" si="543"/>
      </c>
      <c r="O127" s="95">
        <v>3</v>
      </c>
      <c r="P127" s="95">
        <f t="shared" si="429"/>
      </c>
      <c r="Q127" s="85">
        <f t="shared" si="601"/>
      </c>
      <c r="R127" s="85">
        <f t="shared" si="56"/>
      </c>
      <c r="S127" s="97" t="s">
        <v>150</v>
      </c>
    </row>
    <row customHeight="true" ht="23.703703703703702" r="128">
      <c r="A128" s="93">
        <v>46042</v>
      </c>
      <c r="B128" s="79" t="s">
        <v>133</v>
      </c>
      <c r="C128" s="79"/>
      <c r="D128" s="94" cm="1">
        <f t="array" ref="D128:D128">_xlfn.XLOOKUP(B128&amp;S128,'净-价格-毛利'!A:A&amp;'净-价格-毛利'!B:B,'净-价格-毛利'!D:D,0)</f>
      </c>
      <c r="E128" s="81">
        <f t="shared" si="486"/>
      </c>
      <c r="F128" s="80" cm="1">
        <f t="array" ref="F128:F128">_xlfn.XLOOKUP(B128&amp;S128,'净-价格-毛利'!A:A&amp;'净-价格-毛利'!B:B,'净-价格-毛利'!C:C,0)</f>
      </c>
      <c r="G128" s="81">
        <f>C128*6</f>
      </c>
      <c r="H128" s="81"/>
      <c r="I128" s="81">
        <f t="shared" si="115"/>
      </c>
      <c r="J128" s="81">
        <f t="shared" si="173"/>
      </c>
      <c r="K128" s="83">
        <f t="shared" si="242"/>
      </c>
      <c r="L128" s="81">
        <f t="shared" si="311"/>
      </c>
      <c r="M128" s="81">
        <f t="shared" si="370"/>
      </c>
      <c r="N128" s="83">
        <f t="shared" si="543"/>
      </c>
      <c r="O128" s="84"/>
      <c r="P128" s="95">
        <f t="shared" si="429"/>
      </c>
      <c r="Q128" s="85">
        <f t="shared" si="601"/>
      </c>
      <c r="R128" s="85">
        <f t="shared" si="56"/>
      </c>
      <c r="S128" s="97" t="s">
        <v>143</v>
      </c>
    </row>
    <row customHeight="true" ht="23.703703703703702" r="129">
      <c r="A129" s="93">
        <v>46042</v>
      </c>
      <c r="B129" s="79" t="s">
        <v>134</v>
      </c>
      <c r="C129" s="79">
        <v>3</v>
      </c>
      <c r="D129" s="94" cm="1">
        <f t="array" ref="D129:D129">_xlfn.XLOOKUP(B129&amp;S129,'净-价格-毛利'!A:A&amp;'净-价格-毛利'!B:B,'净-价格-毛利'!D:D,0)</f>
      </c>
      <c r="E129" s="81">
        <f t="shared" si="486"/>
      </c>
      <c r="F129" s="80" cm="1">
        <f t="array" ref="F129:F129">_xlfn.XLOOKUP(B129&amp;S129,'净-价格-毛利'!A:A&amp;'净-价格-毛利'!B:B,'净-价格-毛利'!C:C,0)</f>
      </c>
      <c r="G129" s="81">
        <f>C129*5</f>
      </c>
      <c r="H129" s="81">
        <v>85.69</v>
      </c>
      <c r="I129" s="81">
        <f t="shared" si="115"/>
      </c>
      <c r="J129" s="81">
        <f t="shared" si="173"/>
      </c>
      <c r="K129" s="83">
        <f t="shared" si="242"/>
      </c>
      <c r="L129" s="81">
        <f t="shared" si="311"/>
      </c>
      <c r="M129" s="81">
        <f t="shared" si="370"/>
      </c>
      <c r="N129" s="83">
        <f t="shared" si="543"/>
      </c>
      <c r="O129" s="95">
        <v>2</v>
      </c>
      <c r="P129" s="95">
        <f t="shared" si="429"/>
      </c>
      <c r="Q129" s="85">
        <f t="shared" si="601"/>
      </c>
      <c r="R129" s="85">
        <f t="shared" si="56"/>
      </c>
      <c r="S129" s="97" t="s">
        <v>151</v>
      </c>
    </row>
    <row customHeight="true" ht="23.703703703703702" r="130">
      <c r="A130" s="93">
        <v>46042</v>
      </c>
      <c r="B130" s="79" t="s">
        <v>134</v>
      </c>
      <c r="C130" s="79"/>
      <c r="D130" s="94" cm="1">
        <f t="array" ref="D130:D130">_xlfn.XLOOKUP(B130&amp;S130,'净-价格-毛利'!A:A&amp;'净-价格-毛利'!B:B,'净-价格-毛利'!D:D,0)</f>
      </c>
      <c r="E130" s="81">
        <f t="shared" si="486"/>
      </c>
      <c r="F130" s="80" cm="1">
        <f t="array" ref="F130:F130">_xlfn.XLOOKUP(B130&amp;S130,'净-价格-毛利'!A:A&amp;'净-价格-毛利'!B:B,'净-价格-毛利'!C:C,0)</f>
      </c>
      <c r="G130" s="81">
        <f>C130*6</f>
      </c>
      <c r="H130" s="81"/>
      <c r="I130" s="81">
        <f t="shared" si="115"/>
      </c>
      <c r="J130" s="81">
        <f t="shared" si="173"/>
      </c>
      <c r="K130" s="83">
        <f t="shared" si="242"/>
      </c>
      <c r="L130" s="81">
        <f t="shared" si="311"/>
      </c>
      <c r="M130" s="81">
        <f t="shared" si="370"/>
      </c>
      <c r="N130" s="83">
        <f t="shared" si="543"/>
      </c>
      <c r="O130" s="95"/>
      <c r="P130" s="95">
        <f t="shared" si="429"/>
      </c>
      <c r="Q130" s="85">
        <f t="shared" si="601"/>
      </c>
      <c r="R130" s="85">
        <f t="shared" si="56"/>
      </c>
      <c r="S130" s="97" t="s">
        <v>147</v>
      </c>
    </row>
    <row customHeight="true" ht="23.703703703703702" r="131">
      <c r="A131" s="93">
        <v>46042</v>
      </c>
      <c r="B131" s="79" t="s">
        <v>136</v>
      </c>
      <c r="C131" s="79">
        <v>0</v>
      </c>
      <c r="D131" s="94" cm="1">
        <f t="array" ref="D131:D131">_xlfn.XLOOKUP(B131&amp;S131,'净-价格-毛利'!A:A&amp;'净-价格-毛利'!B:B,'净-价格-毛利'!D:D,0)</f>
      </c>
      <c r="E131" s="81">
        <f t="shared" si="486"/>
      </c>
      <c r="F131" s="80" cm="1">
        <f t="array" ref="F131:F131">_xlfn.XLOOKUP(B131&amp;S131,'净-价格-毛利'!A:A&amp;'净-价格-毛利'!B:B,'净-价格-毛利'!C:C,0)</f>
      </c>
      <c r="G131" s="81">
        <f>C131*5</f>
      </c>
      <c r="H131" s="81">
        <v>13.22</v>
      </c>
      <c r="I131" s="81">
        <f t="shared" si="115"/>
      </c>
      <c r="J131" s="81">
        <f t="shared" si="173"/>
      </c>
      <c r="K131" s="83">
        <f t="shared" si="242"/>
      </c>
      <c r="L131" s="81">
        <f t="shared" ref="L131:L132" si="230">J131*9</f>
      </c>
      <c r="M131" s="81">
        <f t="shared" ref="M131:M132" si="299">E131*9</f>
      </c>
      <c r="N131" s="83">
        <f t="shared" si="543"/>
      </c>
      <c r="O131" s="95">
        <v>0</v>
      </c>
      <c r="P131" s="95">
        <f t="shared" si="429"/>
      </c>
      <c r="Q131" s="85">
        <f t="shared" si="601"/>
      </c>
      <c r="R131" s="85">
        <f t="shared" si="56"/>
      </c>
      <c r="S131" s="97" t="s">
        <v>148</v>
      </c>
    </row>
    <row customHeight="true" ht="23.703703703703702" r="132">
      <c r="A132" s="93">
        <v>46042</v>
      </c>
      <c r="B132" s="79" t="s">
        <v>136</v>
      </c>
      <c r="C132" s="79"/>
      <c r="D132" s="94" cm="1">
        <f t="array" ref="D132:D132">_xlfn.XLOOKUP(B132&amp;S132,'净-价格-毛利'!A:A&amp;'净-价格-毛利'!B:B,'净-价格-毛利'!D:D,0)</f>
      </c>
      <c r="E132" s="81">
        <f t="shared" si="486"/>
      </c>
      <c r="F132" s="80" cm="1">
        <f t="array" ref="F132:F132">_xlfn.XLOOKUP(B132&amp;S132,'净-价格-毛利'!A:A&amp;'净-价格-毛利'!B:B,'净-价格-毛利'!C:C,0)</f>
      </c>
      <c r="G132" s="81">
        <f>C132*6</f>
      </c>
      <c r="H132" s="81"/>
      <c r="I132" s="81">
        <f t="shared" si="115"/>
      </c>
      <c r="J132" s="81">
        <f t="shared" si="173"/>
      </c>
      <c r="K132" s="83">
        <f t="shared" si="242"/>
      </c>
      <c r="L132" s="81">
        <f t="shared" si="230"/>
      </c>
      <c r="M132" s="81">
        <f t="shared" si="299"/>
      </c>
      <c r="N132" s="83">
        <f t="shared" si="543"/>
      </c>
      <c r="O132" s="95"/>
      <c r="P132" s="95">
        <f t="shared" si="429"/>
      </c>
      <c r="Q132" s="85">
        <f t="shared" si="601"/>
      </c>
      <c r="R132" s="85">
        <f t="shared" si="56"/>
      </c>
      <c r="S132" s="97" t="s">
        <v>144</v>
      </c>
    </row>
    <row customHeight="true" ht="23.703703703703702" r="133">
      <c r="A133" s="93">
        <v>46042</v>
      </c>
      <c r="B133" s="79" t="s">
        <v>137</v>
      </c>
      <c r="C133" s="79"/>
      <c r="D133" s="94" cm="1">
        <f t="array" ref="D133:D133">_xlfn.XLOOKUP(B133&amp;S133,'净-价格-毛利'!A:A&amp;'净-价格-毛利'!B:B,'净-价格-毛利'!D:D,0)</f>
      </c>
      <c r="E133" s="81">
        <f t="shared" si="486"/>
      </c>
      <c r="F133" s="80" cm="1">
        <f t="array" ref="F133:F133">_xlfn.XLOOKUP(B133&amp;S133,'净-价格-毛利'!A:A&amp;'净-价格-毛利'!B:B,'净-价格-毛利'!C:C,0)</f>
      </c>
      <c r="G133" s="81"/>
      <c r="H133" s="81"/>
      <c r="I133" s="81">
        <f t="shared" si="115"/>
      </c>
      <c r="J133" s="81">
        <f>C133*F133-H133-I133</f>
      </c>
      <c r="K133" s="83">
        <f t="shared" si="242"/>
      </c>
      <c r="L133" s="81">
        <f>J133*7</f>
      </c>
      <c r="M133" s="81">
        <f>E133*7</f>
      </c>
      <c r="N133" s="83">
        <f t="shared" si="543"/>
      </c>
      <c r="O133" s="84"/>
      <c r="P133" s="84">
        <f t="shared" si="429"/>
      </c>
      <c r="Q133" s="85">
        <f t="shared" si="601"/>
      </c>
      <c r="R133" s="85"/>
      <c r="S133" s="96"/>
    </row>
    <row customHeight="true" ht="23.703703703703702" r="134">
      <c r="A134" s="93">
        <v>46042</v>
      </c>
      <c r="B134" s="79" t="s">
        <v>111</v>
      </c>
      <c r="C134" s="79">
        <f>SUM(C123:C133)</f>
      </c>
      <c r="D134" s="89"/>
      <c r="E134" s="81">
        <f>SUM(E123:E133)</f>
      </c>
      <c r="F134" s="82">
        <f>SUM(F123:F132)</f>
      </c>
      <c r="G134" s="81"/>
      <c r="H134" s="81"/>
      <c r="I134" s="81"/>
      <c r="J134" s="81">
        <f>SUM(J123:J133)</f>
      </c>
      <c r="K134" s="83">
        <f t="shared" si="242"/>
      </c>
      <c r="L134" s="81">
        <f>SUM(L123:L133)</f>
      </c>
      <c r="M134" s="81">
        <f>SUM(M123:M133)</f>
      </c>
      <c r="N134" s="83"/>
      <c r="O134" s="95">
        <f>SUM(O123:O132)</f>
      </c>
      <c r="P134" s="95">
        <f t="shared" si="429"/>
      </c>
      <c r="Q134" s="85">
        <f t="shared" si="601"/>
      </c>
      <c r="R134" s="85"/>
      <c r="S134" s="89"/>
    </row>
    <row customHeight="true" ht="23.703703703703702" r="135">
      <c r="B135" s="77" t="s">
        <v>138</v>
      </c>
    </row>
    <row customHeight="true" ht="23.703703703703702" r="136">
      <c r="A136" s="71" t="s">
        <v>139</v>
      </c>
      <c r="B136" s="72" t="s">
        <v>112</v>
      </c>
      <c r="C136" s="90" t="s">
        <v>113</v>
      </c>
      <c r="D136" s="72" t="s">
        <v>114</v>
      </c>
      <c r="E136" s="73" t="s">
        <v>115</v>
      </c>
      <c r="F136" s="74" t="s">
        <v>116</v>
      </c>
      <c r="G136" s="73" t="s">
        <v>117</v>
      </c>
      <c r="H136" s="91" t="s">
        <v>118</v>
      </c>
      <c r="I136" s="73" t="s">
        <v>119</v>
      </c>
      <c r="J136" s="73" t="s">
        <v>116</v>
      </c>
      <c r="K136" s="75" t="s">
        <v>120</v>
      </c>
      <c r="L136" s="73" t="s">
        <v>121</v>
      </c>
      <c r="M136" s="73" t="s">
        <v>122</v>
      </c>
      <c r="N136" s="72" t="s">
        <v>123</v>
      </c>
      <c r="O136" s="92" t="s">
        <v>124</v>
      </c>
      <c r="P136" s="76" t="s">
        <v>125</v>
      </c>
      <c r="Q136" s="75" t="s">
        <v>126</v>
      </c>
      <c r="R136" s="75" t="s">
        <v>127</v>
      </c>
      <c r="S136" s="75" t="s">
        <v>140</v>
      </c>
    </row>
    <row customHeight="true" ht="23.703703703703702" r="137">
      <c r="A137" s="93">
        <v>46043</v>
      </c>
      <c r="B137" s="79" t="s">
        <v>130</v>
      </c>
      <c r="C137" s="79">
        <v>2</v>
      </c>
      <c r="D137" s="94" cm="1">
        <f t="array" ref="D137:D137">_xlfn.XLOOKUP(B137&amp;S137,'净-价格-毛利'!A:A&amp;'净-价格-毛利'!B:B,'净-价格-毛利'!D:D,0)</f>
      </c>
      <c r="E137" s="81">
        <f t="shared" ref="E137:E147" si="487">C137*D137</f>
      </c>
      <c r="F137" s="80" cm="1">
        <f t="array" ref="F137:F137">_xlfn.XLOOKUP(B137&amp;S137,'净-价格-毛利'!A:A&amp;'净-价格-毛利'!B:B,'净-价格-毛利'!C:C,0)</f>
      </c>
      <c r="G137" s="81">
        <f>C137*5</f>
      </c>
      <c r="H137" s="81">
        <v>59.75</v>
      </c>
      <c r="I137" s="81">
        <f t="shared" ref="I137:I147" si="116">E137*0.025</f>
      </c>
      <c r="J137" s="81">
        <f t="shared" ref="J137:J146" si="174">F137*C137+G137-H137-I137</f>
      </c>
      <c r="K137" s="83">
        <f t="shared" ref="K137:K148" si="243">IFERROR(J137/E137,0)</f>
      </c>
      <c r="L137" s="81">
        <f t="shared" ref="L137:L144" si="312">J137*8</f>
      </c>
      <c r="M137" s="81">
        <f t="shared" ref="M137:M144" si="371">E137*8</f>
      </c>
      <c r="N137" s="83">
        <f t="shared" ref="N137:N147" si="544">IFERROR(H137/E137,0)</f>
      </c>
      <c r="O137" s="95">
        <v>2</v>
      </c>
      <c r="P137" s="95">
        <f t="shared" ref="P137:P148" si="430">C137-O137</f>
      </c>
      <c r="Q137" s="85">
        <f t="shared" ref="Q137:Q148" si="602">IFERROR(O137/C137,0)</f>
      </c>
      <c r="R137" s="85">
        <f t="shared" ref="R137:R146" si="57">IFERROR(H137/(E137*Q137),0)</f>
      </c>
      <c r="S137" s="97" t="s">
        <v>149</v>
      </c>
    </row>
    <row customHeight="true" ht="23.703703703703702" r="138">
      <c r="A138" s="93">
        <v>46043</v>
      </c>
      <c r="B138" s="79" t="s">
        <v>130</v>
      </c>
      <c r="C138" s="79">
        <v>1</v>
      </c>
      <c r="D138" s="94" cm="1">
        <f t="array" ref="D138:D138">_xlfn.XLOOKUP(B138&amp;S138,'净-价格-毛利'!A:A&amp;'净-价格-毛利'!B:B,'净-价格-毛利'!D:D,0)</f>
      </c>
      <c r="E138" s="81">
        <f t="shared" si="487"/>
      </c>
      <c r="F138" s="80" cm="1">
        <f t="array" ref="F138:F138">_xlfn.XLOOKUP(B138&amp;S138,'净-价格-毛利'!A:A&amp;'净-价格-毛利'!B:B,'净-价格-毛利'!C:C,0)</f>
      </c>
      <c r="G138" s="81">
        <f>C138*6</f>
      </c>
      <c r="H138" s="81"/>
      <c r="I138" s="81">
        <f t="shared" si="116"/>
      </c>
      <c r="J138" s="81">
        <f t="shared" si="174"/>
      </c>
      <c r="K138" s="83">
        <f t="shared" si="243"/>
      </c>
      <c r="L138" s="81">
        <f t="shared" si="312"/>
      </c>
      <c r="M138" s="81">
        <f t="shared" si="371"/>
      </c>
      <c r="N138" s="83">
        <f t="shared" si="544"/>
      </c>
      <c r="O138" s="84"/>
      <c r="P138" s="95">
        <f t="shared" si="430"/>
      </c>
      <c r="Q138" s="85">
        <f t="shared" si="602"/>
      </c>
      <c r="R138" s="85">
        <f t="shared" si="57"/>
      </c>
      <c r="S138" s="97" t="s">
        <v>146</v>
      </c>
    </row>
    <row customHeight="true" ht="23.703703703703702" r="139">
      <c r="A139" s="93">
        <v>46043</v>
      </c>
      <c r="B139" s="79" t="s">
        <v>131</v>
      </c>
      <c r="C139" s="79">
        <v>0</v>
      </c>
      <c r="D139" s="94" cm="1">
        <f t="array" ref="D139:D139">_xlfn.XLOOKUP(B139&amp;S139,'净-价格-毛利'!A:A&amp;'净-价格-毛利'!B:B,'净-价格-毛利'!D:D,0)</f>
      </c>
      <c r="E139" s="81">
        <f t="shared" si="487"/>
      </c>
      <c r="F139" s="80" cm="1">
        <f t="array" ref="F139:F139">_xlfn.XLOOKUP(B139&amp;S139,'净-价格-毛利'!A:A&amp;'净-价格-毛利'!B:B,'净-价格-毛利'!C:C,0)</f>
      </c>
      <c r="G139" s="81">
        <f>C139*5</f>
      </c>
      <c r="H139" s="81">
        <v>53.22</v>
      </c>
      <c r="I139" s="81">
        <f t="shared" si="116"/>
      </c>
      <c r="J139" s="81">
        <f t="shared" si="174"/>
      </c>
      <c r="K139" s="83">
        <f t="shared" si="243"/>
      </c>
      <c r="L139" s="81">
        <f t="shared" si="312"/>
      </c>
      <c r="M139" s="81">
        <f t="shared" si="371"/>
      </c>
      <c r="N139" s="83">
        <f t="shared" si="544"/>
      </c>
      <c r="O139" s="95">
        <v>0</v>
      </c>
      <c r="P139" s="95">
        <f t="shared" si="430"/>
      </c>
      <c r="Q139" s="85">
        <f t="shared" si="602"/>
      </c>
      <c r="R139" s="85">
        <f t="shared" si="57"/>
      </c>
      <c r="S139" s="97" t="s">
        <v>149</v>
      </c>
    </row>
    <row customHeight="true" ht="23.703703703703702" r="140">
      <c r="A140" s="93">
        <v>46043</v>
      </c>
      <c r="B140" s="79" t="s">
        <v>131</v>
      </c>
      <c r="C140" s="79"/>
      <c r="D140" s="94" cm="1">
        <f t="array" ref="D140:D140">_xlfn.XLOOKUP(B140&amp;S140,'净-价格-毛利'!A:A&amp;'净-价格-毛利'!B:B,'净-价格-毛利'!D:D,0)</f>
      </c>
      <c r="E140" s="81">
        <f t="shared" si="487"/>
      </c>
      <c r="F140" s="80" cm="1">
        <f t="array" ref="F140:F140">_xlfn.XLOOKUP(B140&amp;S140,'净-价格-毛利'!A:A&amp;'净-价格-毛利'!B:B,'净-价格-毛利'!C:C,0)</f>
      </c>
      <c r="G140" s="81">
        <f>C140*6</f>
      </c>
      <c r="H140" s="81"/>
      <c r="I140" s="81">
        <f t="shared" si="116"/>
      </c>
      <c r="J140" s="81">
        <f t="shared" si="174"/>
      </c>
      <c r="K140" s="83">
        <f t="shared" si="243"/>
      </c>
      <c r="L140" s="81">
        <f t="shared" si="312"/>
      </c>
      <c r="M140" s="81">
        <f t="shared" si="371"/>
      </c>
      <c r="N140" s="83">
        <f t="shared" si="544"/>
      </c>
      <c r="O140" s="95"/>
      <c r="P140" s="95">
        <f t="shared" si="430"/>
      </c>
      <c r="Q140" s="85">
        <f t="shared" si="602"/>
      </c>
      <c r="R140" s="85">
        <f t="shared" si="57"/>
      </c>
      <c r="S140" s="97" t="s">
        <v>147</v>
      </c>
    </row>
    <row customHeight="true" ht="23.703703703703702" r="141">
      <c r="A141" s="93">
        <v>46043</v>
      </c>
      <c r="B141" s="79" t="s">
        <v>133</v>
      </c>
      <c r="C141" s="79">
        <v>4</v>
      </c>
      <c r="D141" s="94" cm="1">
        <f t="array" ref="D141:D141">_xlfn.XLOOKUP(B141&amp;S141,'净-价格-毛利'!A:A&amp;'净-价格-毛利'!B:B,'净-价格-毛利'!D:D,0)</f>
      </c>
      <c r="E141" s="81">
        <f t="shared" si="487"/>
      </c>
      <c r="F141" s="80" cm="1">
        <f t="array" ref="F141:F141">_xlfn.XLOOKUP(B141&amp;S141,'净-价格-毛利'!A:A&amp;'净-价格-毛利'!B:B,'净-价格-毛利'!C:C,0)</f>
      </c>
      <c r="G141" s="81">
        <f>C141*5</f>
      </c>
      <c r="H141" s="81">
        <v>129.45</v>
      </c>
      <c r="I141" s="81">
        <f t="shared" si="116"/>
      </c>
      <c r="J141" s="81">
        <f t="shared" si="174"/>
      </c>
      <c r="K141" s="83">
        <f t="shared" si="243"/>
      </c>
      <c r="L141" s="81">
        <f t="shared" si="312"/>
      </c>
      <c r="M141" s="81">
        <f t="shared" si="371"/>
      </c>
      <c r="N141" s="83">
        <f t="shared" si="544"/>
      </c>
      <c r="O141" s="95">
        <v>1</v>
      </c>
      <c r="P141" s="95">
        <f t="shared" si="430"/>
      </c>
      <c r="Q141" s="85">
        <f t="shared" si="602"/>
      </c>
      <c r="R141" s="85">
        <f t="shared" si="57"/>
      </c>
      <c r="S141" s="97" t="s">
        <v>150</v>
      </c>
    </row>
    <row customHeight="true" ht="23.703703703703702" r="142">
      <c r="A142" s="93">
        <v>46043</v>
      </c>
      <c r="B142" s="79" t="s">
        <v>133</v>
      </c>
      <c r="C142" s="79"/>
      <c r="D142" s="94" cm="1">
        <f t="array" ref="D142:D142">_xlfn.XLOOKUP(B142&amp;S142,'净-价格-毛利'!A:A&amp;'净-价格-毛利'!B:B,'净-价格-毛利'!D:D,0)</f>
      </c>
      <c r="E142" s="81">
        <f t="shared" si="487"/>
      </c>
      <c r="F142" s="80" cm="1">
        <f t="array" ref="F142:F142">_xlfn.XLOOKUP(B142&amp;S142,'净-价格-毛利'!A:A&amp;'净-价格-毛利'!B:B,'净-价格-毛利'!C:C,0)</f>
      </c>
      <c r="G142" s="81">
        <f>C142*6</f>
      </c>
      <c r="H142" s="81"/>
      <c r="I142" s="81">
        <f t="shared" si="116"/>
      </c>
      <c r="J142" s="81">
        <f t="shared" si="174"/>
      </c>
      <c r="K142" s="83">
        <f t="shared" si="243"/>
      </c>
      <c r="L142" s="81">
        <f t="shared" si="312"/>
      </c>
      <c r="M142" s="81">
        <f t="shared" si="371"/>
      </c>
      <c r="N142" s="83">
        <f t="shared" si="544"/>
      </c>
      <c r="O142" s="84"/>
      <c r="P142" s="95">
        <f t="shared" si="430"/>
      </c>
      <c r="Q142" s="85">
        <f t="shared" si="602"/>
      </c>
      <c r="R142" s="85">
        <f t="shared" si="57"/>
      </c>
      <c r="S142" s="97" t="s">
        <v>143</v>
      </c>
    </row>
    <row customHeight="true" ht="23.703703703703702" r="143">
      <c r="A143" s="93">
        <v>46043</v>
      </c>
      <c r="B143" s="79" t="s">
        <v>134</v>
      </c>
      <c r="C143" s="79">
        <v>7</v>
      </c>
      <c r="D143" s="94" cm="1">
        <f t="array" ref="D143:D143">_xlfn.XLOOKUP(B143&amp;S143,'净-价格-毛利'!A:A&amp;'净-价格-毛利'!B:B,'净-价格-毛利'!D:D,0)</f>
      </c>
      <c r="E143" s="81">
        <f t="shared" si="487"/>
      </c>
      <c r="F143" s="80" cm="1">
        <f t="array" ref="F143:F143">_xlfn.XLOOKUP(B143&amp;S143,'净-价格-毛利'!A:A&amp;'净-价格-毛利'!B:B,'净-价格-毛利'!C:C,0)</f>
      </c>
      <c r="G143" s="81">
        <f>C143*5</f>
      </c>
      <c r="H143" s="81">
        <v>66.4</v>
      </c>
      <c r="I143" s="81">
        <f t="shared" si="116"/>
      </c>
      <c r="J143" s="81">
        <f t="shared" si="174"/>
      </c>
      <c r="K143" s="83">
        <f t="shared" si="243"/>
      </c>
      <c r="L143" s="81">
        <f t="shared" si="312"/>
      </c>
      <c r="M143" s="81">
        <f t="shared" si="371"/>
      </c>
      <c r="N143" s="83">
        <f t="shared" si="544"/>
      </c>
      <c r="O143" s="95">
        <v>2</v>
      </c>
      <c r="P143" s="95">
        <f t="shared" si="430"/>
      </c>
      <c r="Q143" s="85">
        <f t="shared" si="602"/>
      </c>
      <c r="R143" s="85">
        <f t="shared" si="57"/>
      </c>
      <c r="S143" s="97" t="s">
        <v>151</v>
      </c>
    </row>
    <row customHeight="true" ht="23.703703703703702" r="144">
      <c r="A144" s="93">
        <v>46043</v>
      </c>
      <c r="B144" s="79" t="s">
        <v>134</v>
      </c>
      <c r="C144" s="79"/>
      <c r="D144" s="94" cm="1">
        <f t="array" ref="D144:D144">_xlfn.XLOOKUP(B144&amp;S144,'净-价格-毛利'!A:A&amp;'净-价格-毛利'!B:B,'净-价格-毛利'!D:D,0)</f>
      </c>
      <c r="E144" s="81">
        <f t="shared" si="487"/>
      </c>
      <c r="F144" s="80" cm="1">
        <f t="array" ref="F144:F144">_xlfn.XLOOKUP(B144&amp;S144,'净-价格-毛利'!A:A&amp;'净-价格-毛利'!B:B,'净-价格-毛利'!C:C,0)</f>
      </c>
      <c r="G144" s="81">
        <f>C144*6</f>
      </c>
      <c r="H144" s="81"/>
      <c r="I144" s="81">
        <f t="shared" si="116"/>
      </c>
      <c r="J144" s="81">
        <f t="shared" si="174"/>
      </c>
      <c r="K144" s="83">
        <f t="shared" si="243"/>
      </c>
      <c r="L144" s="81">
        <f t="shared" si="312"/>
      </c>
      <c r="M144" s="81">
        <f t="shared" si="371"/>
      </c>
      <c r="N144" s="83">
        <f t="shared" si="544"/>
      </c>
      <c r="O144" s="95"/>
      <c r="P144" s="95">
        <f t="shared" si="430"/>
      </c>
      <c r="Q144" s="85">
        <f t="shared" si="602"/>
      </c>
      <c r="R144" s="85">
        <f t="shared" si="57"/>
      </c>
      <c r="S144" s="97" t="s">
        <v>147</v>
      </c>
    </row>
    <row customHeight="true" ht="23.703703703703702" r="145">
      <c r="A145" s="93">
        <v>46043</v>
      </c>
      <c r="B145" s="79" t="s">
        <v>136</v>
      </c>
      <c r="C145" s="79">
        <v>0</v>
      </c>
      <c r="D145" s="94" cm="1">
        <f t="array" ref="D145:D145">_xlfn.XLOOKUP(B145&amp;S145,'净-价格-毛利'!A:A&amp;'净-价格-毛利'!B:B,'净-价格-毛利'!D:D,0)</f>
      </c>
      <c r="E145" s="81">
        <f t="shared" si="487"/>
      </c>
      <c r="F145" s="80" cm="1">
        <f t="array" ref="F145:F145">_xlfn.XLOOKUP(B145&amp;S145,'净-价格-毛利'!A:A&amp;'净-价格-毛利'!B:B,'净-价格-毛利'!C:C,0)</f>
      </c>
      <c r="G145" s="81">
        <f>C145*5</f>
      </c>
      <c r="H145" s="81">
        <v>26.69</v>
      </c>
      <c r="I145" s="81">
        <f t="shared" si="116"/>
      </c>
      <c r="J145" s="81">
        <f t="shared" si="174"/>
      </c>
      <c r="K145" s="83">
        <f t="shared" si="243"/>
      </c>
      <c r="L145" s="81">
        <f t="shared" ref="L145:L146" si="231">J145*9</f>
      </c>
      <c r="M145" s="81">
        <f t="shared" ref="M145:M146" si="300">E145*9</f>
      </c>
      <c r="N145" s="83">
        <f t="shared" si="544"/>
      </c>
      <c r="O145" s="95">
        <v>0</v>
      </c>
      <c r="P145" s="95">
        <f t="shared" si="430"/>
      </c>
      <c r="Q145" s="85">
        <f t="shared" si="602"/>
      </c>
      <c r="R145" s="85">
        <f t="shared" si="57"/>
      </c>
      <c r="S145" s="97" t="s">
        <v>148</v>
      </c>
    </row>
    <row customHeight="true" ht="23.703703703703702" r="146">
      <c r="A146" s="93">
        <v>46043</v>
      </c>
      <c r="B146" s="79" t="s">
        <v>136</v>
      </c>
      <c r="C146" s="79"/>
      <c r="D146" s="94" cm="1">
        <f t="array" ref="D146:D146">_xlfn.XLOOKUP(B146&amp;S146,'净-价格-毛利'!A:A&amp;'净-价格-毛利'!B:B,'净-价格-毛利'!D:D,0)</f>
      </c>
      <c r="E146" s="81">
        <f t="shared" si="487"/>
      </c>
      <c r="F146" s="80" cm="1">
        <f t="array" ref="F146:F146">_xlfn.XLOOKUP(B146&amp;S146,'净-价格-毛利'!A:A&amp;'净-价格-毛利'!B:B,'净-价格-毛利'!C:C,0)</f>
      </c>
      <c r="G146" s="81">
        <f>C146*6</f>
      </c>
      <c r="H146" s="81"/>
      <c r="I146" s="81">
        <f t="shared" si="116"/>
      </c>
      <c r="J146" s="81">
        <f t="shared" si="174"/>
      </c>
      <c r="K146" s="83">
        <f t="shared" si="243"/>
      </c>
      <c r="L146" s="81">
        <f t="shared" si="231"/>
      </c>
      <c r="M146" s="81">
        <f t="shared" si="300"/>
      </c>
      <c r="N146" s="83">
        <f t="shared" si="544"/>
      </c>
      <c r="O146" s="95"/>
      <c r="P146" s="95">
        <f t="shared" si="430"/>
      </c>
      <c r="Q146" s="85">
        <f t="shared" si="602"/>
      </c>
      <c r="R146" s="85">
        <f t="shared" si="57"/>
      </c>
      <c r="S146" s="97" t="s">
        <v>144</v>
      </c>
    </row>
    <row customHeight="true" ht="23.703703703703702" r="147">
      <c r="A147" s="93">
        <v>46043</v>
      </c>
      <c r="B147" s="79" t="s">
        <v>137</v>
      </c>
      <c r="C147" s="79"/>
      <c r="D147" s="94" cm="1">
        <f t="array" ref="D147:D147">_xlfn.XLOOKUP(B147&amp;S147,'净-价格-毛利'!A:A&amp;'净-价格-毛利'!B:B,'净-价格-毛利'!D:D,0)</f>
      </c>
      <c r="E147" s="81">
        <f t="shared" si="487"/>
      </c>
      <c r="F147" s="80" cm="1">
        <f t="array" ref="F147:F147">_xlfn.XLOOKUP(B147&amp;S147,'净-价格-毛利'!A:A&amp;'净-价格-毛利'!B:B,'净-价格-毛利'!C:C,0)</f>
      </c>
      <c r="G147" s="81"/>
      <c r="H147" s="81"/>
      <c r="I147" s="81">
        <f t="shared" si="116"/>
      </c>
      <c r="J147" s="81">
        <f>C147*F147-H147-I147</f>
      </c>
      <c r="K147" s="83">
        <f t="shared" si="243"/>
      </c>
      <c r="L147" s="81">
        <f>J147*7</f>
      </c>
      <c r="M147" s="81">
        <f>E147*7</f>
      </c>
      <c r="N147" s="83">
        <f t="shared" si="544"/>
      </c>
      <c r="O147" s="84"/>
      <c r="P147" s="84">
        <f t="shared" si="430"/>
      </c>
      <c r="Q147" s="85">
        <f t="shared" si="602"/>
      </c>
      <c r="R147" s="85"/>
      <c r="S147" s="96"/>
    </row>
    <row customHeight="true" ht="23.703703703703702" r="148">
      <c r="A148" s="93">
        <v>46043</v>
      </c>
      <c r="B148" s="79" t="s">
        <v>111</v>
      </c>
      <c r="C148" s="79">
        <f>SUM(C137:C147)</f>
      </c>
      <c r="D148" s="89"/>
      <c r="E148" s="81">
        <f>SUM(E137:E147)</f>
      </c>
      <c r="F148" s="82">
        <f>SUM(F137:F146)</f>
      </c>
      <c r="G148" s="81"/>
      <c r="H148" s="81"/>
      <c r="I148" s="81"/>
      <c r="J148" s="81">
        <f>SUM(J137:J147)</f>
      </c>
      <c r="K148" s="83">
        <f t="shared" si="243"/>
      </c>
      <c r="L148" s="81">
        <f>SUM(L137:L147)</f>
      </c>
      <c r="M148" s="81">
        <f>SUM(M137:M147)</f>
      </c>
      <c r="N148" s="83"/>
      <c r="O148" s="95">
        <f>SUM(O137:O146)</f>
      </c>
      <c r="P148" s="95">
        <f t="shared" si="430"/>
      </c>
      <c r="Q148" s="85">
        <f t="shared" si="602"/>
      </c>
      <c r="R148" s="85"/>
      <c r="S148" s="89"/>
    </row>
    <row customHeight="true" ht="23.703703703703702" r="149">
      <c r="B149" s="77" t="s">
        <v>138</v>
      </c>
    </row>
    <row customHeight="true" ht="23.703703703703702" r="150">
      <c r="A150" s="71" t="s">
        <v>152</v>
      </c>
      <c r="B150" s="72" t="s">
        <v>112</v>
      </c>
      <c r="C150" s="90" t="s">
        <v>113</v>
      </c>
      <c r="D150" s="72" t="s">
        <v>114</v>
      </c>
      <c r="E150" s="73" t="s">
        <v>115</v>
      </c>
      <c r="F150" s="74" t="s">
        <v>116</v>
      </c>
      <c r="G150" s="73" t="s">
        <v>117</v>
      </c>
      <c r="H150" s="91" t="s">
        <v>118</v>
      </c>
      <c r="I150" s="73" t="s">
        <v>119</v>
      </c>
      <c r="J150" s="73" t="s">
        <v>116</v>
      </c>
      <c r="K150" s="75" t="s">
        <v>120</v>
      </c>
      <c r="L150" s="73" t="s">
        <v>121</v>
      </c>
      <c r="M150" s="73" t="s">
        <v>122</v>
      </c>
      <c r="N150" s="72" t="s">
        <v>123</v>
      </c>
      <c r="O150" s="92" t="s">
        <v>124</v>
      </c>
      <c r="P150" s="76" t="s">
        <v>125</v>
      </c>
      <c r="Q150" s="75" t="s">
        <v>126</v>
      </c>
      <c r="R150" s="75" t="s">
        <v>127</v>
      </c>
      <c r="S150" s="75" t="s">
        <v>140</v>
      </c>
    </row>
    <row customHeight="true" ht="23.703703703703702" r="151">
      <c r="A151" s="93">
        <v>46044</v>
      </c>
      <c r="B151" s="79" t="s">
        <v>130</v>
      </c>
      <c r="C151" s="79">
        <v>6</v>
      </c>
      <c r="D151" s="94" cm="1">
        <f t="array" ref="D151:D151">_xlfn.XLOOKUP(B151&amp;S151,'净-价格-毛利'!A:A&amp;'净-价格-毛利'!B:B,'净-价格-毛利'!D:D,0)</f>
      </c>
      <c r="E151" s="81">
        <f t="shared" ref="E151:E156" si="488">C151*D151</f>
      </c>
      <c r="F151" s="80" cm="1">
        <f t="array" ref="F151:F151">_xlfn.XLOOKUP(B151&amp;S151,'净-价格-毛利'!A:A&amp;'净-价格-毛利'!B:B,'净-价格-毛利'!C:C,0)</f>
      </c>
      <c r="G151" s="81">
        <f t="shared" ref="G151:G155" si="1">C151*5</f>
      </c>
      <c r="H151" s="81">
        <v>136.14</v>
      </c>
      <c r="I151" s="81">
        <f t="shared" ref="I151:I156" si="117">E151*0.025</f>
      </c>
      <c r="J151" s="81">
        <f t="shared" ref="J151:J155" si="175">F151*C151+G151-H151-I151</f>
      </c>
      <c r="K151" s="83">
        <f t="shared" ref="K151:K157" si="244">IFERROR(J151/E151,0)</f>
      </c>
      <c r="L151" s="81">
        <f t="shared" ref="L151:L154" si="313">J151*8</f>
      </c>
      <c r="M151" s="81">
        <f t="shared" ref="M151:M154" si="372">E151*8</f>
      </c>
      <c r="N151" s="83">
        <f t="shared" ref="N151:N156" si="545">IFERROR(H151/E151,0)</f>
      </c>
      <c r="O151" s="95">
        <v>3</v>
      </c>
      <c r="P151" s="95">
        <f t="shared" ref="P151:P157" si="431">C151-O151</f>
      </c>
      <c r="Q151" s="85">
        <f t="shared" ref="Q151:Q157" si="603">IFERROR(O151/C151,0)</f>
      </c>
      <c r="R151" s="85">
        <f t="shared" ref="R151:R155" si="58">IFERROR(H151/(E151*Q151),0)</f>
      </c>
      <c r="S151" s="97" t="s">
        <v>149</v>
      </c>
    </row>
    <row customHeight="true" ht="23.703703703703702" r="152">
      <c r="A152" s="93">
        <v>46044</v>
      </c>
      <c r="B152" s="79" t="s">
        <v>131</v>
      </c>
      <c r="C152" s="79">
        <v>2</v>
      </c>
      <c r="D152" s="94" cm="1">
        <f t="array" ref="D152:D152">_xlfn.XLOOKUP(B152&amp;S152,'净-价格-毛利'!A:A&amp;'净-价格-毛利'!B:B,'净-价格-毛利'!D:D,0)</f>
      </c>
      <c r="E152" s="81">
        <f t="shared" si="488"/>
      </c>
      <c r="F152" s="80" cm="1">
        <f t="array" ref="F152:F152">_xlfn.XLOOKUP(B152&amp;S152,'净-价格-毛利'!A:A&amp;'净-价格-毛利'!B:B,'净-价格-毛利'!C:C,0)</f>
      </c>
      <c r="G152" s="81">
        <f t="shared" si="1"/>
      </c>
      <c r="H152" s="81">
        <v>78.59</v>
      </c>
      <c r="I152" s="81">
        <f t="shared" si="117"/>
      </c>
      <c r="J152" s="81">
        <f t="shared" si="175"/>
      </c>
      <c r="K152" s="83">
        <f t="shared" si="244"/>
      </c>
      <c r="L152" s="81">
        <f t="shared" si="313"/>
      </c>
      <c r="M152" s="81">
        <f t="shared" si="372"/>
      </c>
      <c r="N152" s="83">
        <f t="shared" si="545"/>
      </c>
      <c r="O152" s="95">
        <v>1</v>
      </c>
      <c r="P152" s="95">
        <f t="shared" si="431"/>
      </c>
      <c r="Q152" s="85">
        <f t="shared" si="603"/>
      </c>
      <c r="R152" s="85">
        <f t="shared" si="58"/>
      </c>
      <c r="S152" s="97" t="s">
        <v>149</v>
      </c>
    </row>
    <row customHeight="true" ht="23.703703703703702" r="153">
      <c r="A153" s="93">
        <v>46044</v>
      </c>
      <c r="B153" s="79" t="s">
        <v>133</v>
      </c>
      <c r="C153" s="79">
        <v>9</v>
      </c>
      <c r="D153" s="94" cm="1">
        <f t="array" ref="D153:D153">_xlfn.XLOOKUP(B153&amp;S153,'净-价格-毛利'!A:A&amp;'净-价格-毛利'!B:B,'净-价格-毛利'!D:D,0)</f>
      </c>
      <c r="E153" s="81">
        <f t="shared" si="488"/>
      </c>
      <c r="F153" s="80" cm="1">
        <f t="array" ref="F153:F153">_xlfn.XLOOKUP(B153&amp;S153,'净-价格-毛利'!A:A&amp;'净-价格-毛利'!B:B,'净-价格-毛利'!C:C,0)</f>
      </c>
      <c r="G153" s="81">
        <f t="shared" si="1"/>
      </c>
      <c r="H153" s="81">
        <v>58.77</v>
      </c>
      <c r="I153" s="81">
        <f t="shared" si="117"/>
      </c>
      <c r="J153" s="81">
        <f t="shared" si="175"/>
      </c>
      <c r="K153" s="83">
        <f t="shared" si="244"/>
      </c>
      <c r="L153" s="81">
        <f t="shared" si="313"/>
      </c>
      <c r="M153" s="81">
        <f t="shared" si="372"/>
      </c>
      <c r="N153" s="83">
        <f t="shared" si="545"/>
      </c>
      <c r="O153" s="95">
        <v>1</v>
      </c>
      <c r="P153" s="95">
        <f t="shared" si="431"/>
      </c>
      <c r="Q153" s="85">
        <f t="shared" si="603"/>
      </c>
      <c r="R153" s="85">
        <f t="shared" si="58"/>
      </c>
      <c r="S153" s="97" t="s">
        <v>150</v>
      </c>
    </row>
    <row customHeight="true" ht="23.703703703703702" r="154">
      <c r="A154" s="93">
        <v>46044</v>
      </c>
      <c r="B154" s="79" t="s">
        <v>134</v>
      </c>
      <c r="C154" s="79">
        <v>7</v>
      </c>
      <c r="D154" s="94" cm="1">
        <f t="array" ref="D154:D154">_xlfn.XLOOKUP(B154&amp;S154,'净-价格-毛利'!A:A&amp;'净-价格-毛利'!B:B,'净-价格-毛利'!D:D,0)</f>
      </c>
      <c r="E154" s="81">
        <f t="shared" si="488"/>
      </c>
      <c r="F154" s="80" cm="1">
        <f t="array" ref="F154:F154">_xlfn.XLOOKUP(B154&amp;S154,'净-价格-毛利'!A:A&amp;'净-价格-毛利'!B:B,'净-价格-毛利'!C:C,0)</f>
      </c>
      <c r="G154" s="81">
        <f t="shared" si="1"/>
      </c>
      <c r="H154" s="81">
        <v>92.47</v>
      </c>
      <c r="I154" s="81">
        <f t="shared" si="117"/>
      </c>
      <c r="J154" s="81">
        <f t="shared" si="175"/>
      </c>
      <c r="K154" s="83">
        <f t="shared" si="244"/>
      </c>
      <c r="L154" s="81">
        <f t="shared" si="313"/>
      </c>
      <c r="M154" s="81">
        <f t="shared" si="372"/>
      </c>
      <c r="N154" s="83">
        <f t="shared" si="545"/>
      </c>
      <c r="O154" s="95">
        <v>4</v>
      </c>
      <c r="P154" s="95">
        <f t="shared" si="431"/>
      </c>
      <c r="Q154" s="85">
        <f t="shared" si="603"/>
      </c>
      <c r="R154" s="85">
        <f t="shared" si="58"/>
      </c>
      <c r="S154" s="97" t="s">
        <v>151</v>
      </c>
    </row>
    <row customHeight="true" ht="23.703703703703702" r="155">
      <c r="A155" s="93">
        <v>46044</v>
      </c>
      <c r="B155" s="79" t="s">
        <v>136</v>
      </c>
      <c r="C155" s="79">
        <v>1</v>
      </c>
      <c r="D155" s="94" cm="1">
        <f t="array" ref="D155:D155">_xlfn.XLOOKUP(B155&amp;S155,'净-价格-毛利'!A:A&amp;'净-价格-毛利'!B:B,'净-价格-毛利'!D:D,0)</f>
      </c>
      <c r="E155" s="81">
        <f t="shared" si="488"/>
      </c>
      <c r="F155" s="80" cm="1">
        <f t="array" ref="F155:F155">_xlfn.XLOOKUP(B155&amp;S155,'净-价格-毛利'!A:A&amp;'净-价格-毛利'!B:B,'净-价格-毛利'!C:C,0)</f>
      </c>
      <c r="G155" s="81">
        <f t="shared" si="1"/>
      </c>
      <c r="H155" s="81">
        <v>24.99</v>
      </c>
      <c r="I155" s="81">
        <f t="shared" si="117"/>
      </c>
      <c r="J155" s="81">
        <f t="shared" si="175"/>
      </c>
      <c r="K155" s="83">
        <f t="shared" si="244"/>
      </c>
      <c r="L155" s="81">
        <f>J155*9</f>
      </c>
      <c r="M155" s="81">
        <f>E155*9</f>
      </c>
      <c r="N155" s="83">
        <f t="shared" si="545"/>
      </c>
      <c r="O155" s="95">
        <v>1</v>
      </c>
      <c r="P155" s="95">
        <f t="shared" si="431"/>
      </c>
      <c r="Q155" s="85">
        <f t="shared" si="603"/>
      </c>
      <c r="R155" s="85">
        <f t="shared" si="58"/>
      </c>
      <c r="S155" s="97" t="s">
        <v>148</v>
      </c>
    </row>
    <row customHeight="true" ht="23.703703703703702" r="156">
      <c r="A156" s="93">
        <v>46044</v>
      </c>
      <c r="B156" s="79" t="s">
        <v>137</v>
      </c>
      <c r="C156" s="79"/>
      <c r="D156" s="94" cm="1">
        <f t="array" ref="D156:D156">_xlfn.XLOOKUP(B156&amp;S156,'净-价格-毛利'!A:A&amp;'净-价格-毛利'!B:B,'净-价格-毛利'!D:D,0)</f>
      </c>
      <c r="E156" s="81">
        <f t="shared" si="488"/>
      </c>
      <c r="F156" s="80" cm="1">
        <f t="array" ref="F156:F156">_xlfn.XLOOKUP(B156&amp;S156,'净-价格-毛利'!A:A&amp;'净-价格-毛利'!B:B,'净-价格-毛利'!C:C,0)</f>
      </c>
      <c r="G156" s="81"/>
      <c r="H156" s="81"/>
      <c r="I156" s="81">
        <f t="shared" si="117"/>
      </c>
      <c r="J156" s="81">
        <f>C156*F156-H156-I156</f>
      </c>
      <c r="K156" s="83">
        <f t="shared" si="244"/>
      </c>
      <c r="L156" s="81">
        <f>J156*7</f>
      </c>
      <c r="M156" s="81">
        <f>E156*7</f>
      </c>
      <c r="N156" s="83">
        <f t="shared" si="545"/>
      </c>
      <c r="O156" s="84"/>
      <c r="P156" s="84">
        <f t="shared" si="431"/>
      </c>
      <c r="Q156" s="85">
        <f t="shared" si="603"/>
      </c>
      <c r="R156" s="85"/>
      <c r="S156" s="96"/>
    </row>
    <row customHeight="true" ht="23.703703703703702" r="157">
      <c r="A157" s="93">
        <v>46044</v>
      </c>
      <c r="B157" s="79" t="s">
        <v>111</v>
      </c>
      <c r="C157" s="79">
        <f>SUM(C151:C156)</f>
      </c>
      <c r="D157" s="89"/>
      <c r="E157" s="81">
        <f>SUM(E151:E156)</f>
      </c>
      <c r="F157" s="82">
        <f>SUM(F151:F155)</f>
      </c>
      <c r="G157" s="81"/>
      <c r="H157" s="81"/>
      <c r="I157" s="81"/>
      <c r="J157" s="81">
        <f>SUM(J151:J156)</f>
      </c>
      <c r="K157" s="83">
        <f t="shared" si="244"/>
      </c>
      <c r="L157" s="81">
        <f>SUM(L151:L156)</f>
      </c>
      <c r="M157" s="81">
        <f>SUM(M151:M156)</f>
      </c>
      <c r="N157" s="83"/>
      <c r="O157" s="95">
        <f>SUM(O151:O155)</f>
      </c>
      <c r="P157" s="95">
        <f t="shared" si="431"/>
      </c>
      <c r="Q157" s="85">
        <f t="shared" si="603"/>
      </c>
      <c r="R157" s="85"/>
      <c r="S157" s="89"/>
    </row>
    <row customHeight="true" ht="23.703703703703702" r="158">
      <c r="B158" s="77" t="s">
        <v>138</v>
      </c>
    </row>
    <row customHeight="true" ht="23.703703703703702" r="159">
      <c r="A159" s="71" t="s">
        <v>152</v>
      </c>
      <c r="B159" s="72" t="s">
        <v>112</v>
      </c>
      <c r="C159" s="90" t="s">
        <v>113</v>
      </c>
      <c r="D159" s="72" t="s">
        <v>114</v>
      </c>
      <c r="E159" s="73" t="s">
        <v>115</v>
      </c>
      <c r="F159" s="74" t="s">
        <v>116</v>
      </c>
      <c r="G159" s="73" t="s">
        <v>117</v>
      </c>
      <c r="H159" s="91" t="s">
        <v>118</v>
      </c>
      <c r="I159" s="73" t="s">
        <v>119</v>
      </c>
      <c r="J159" s="73" t="s">
        <v>116</v>
      </c>
      <c r="K159" s="75" t="s">
        <v>120</v>
      </c>
      <c r="L159" s="73" t="s">
        <v>121</v>
      </c>
      <c r="M159" s="73" t="s">
        <v>122</v>
      </c>
      <c r="N159" s="72" t="s">
        <v>123</v>
      </c>
      <c r="O159" s="92" t="s">
        <v>124</v>
      </c>
      <c r="P159" s="76" t="s">
        <v>125</v>
      </c>
      <c r="Q159" s="75" t="s">
        <v>126</v>
      </c>
      <c r="R159" s="75" t="s">
        <v>127</v>
      </c>
      <c r="S159" s="75" t="s">
        <v>140</v>
      </c>
    </row>
    <row customHeight="true" ht="23.703703703703702" r="160">
      <c r="A160" s="93">
        <v>46045</v>
      </c>
      <c r="B160" s="79" t="s">
        <v>130</v>
      </c>
      <c r="C160" s="79">
        <v>5</v>
      </c>
      <c r="D160" s="94" cm="1">
        <f t="array" ref="D160:D160">_xlfn.XLOOKUP(B160&amp;S160,'净-价格-毛利'!A:A&amp;'净-价格-毛利'!B:B,'净-价格-毛利'!D:D,0)</f>
      </c>
      <c r="E160" s="81">
        <f t="shared" ref="E160:E165" si="489">C160*D160</f>
      </c>
      <c r="F160" s="80" cm="1">
        <f t="array" ref="F160:F160">_xlfn.XLOOKUP(B160&amp;S160,'净-价格-毛利'!A:A&amp;'净-价格-毛利'!B:B,'净-价格-毛利'!C:C,0)</f>
      </c>
      <c r="G160" s="81">
        <f t="shared" ref="G160:G164" si="2">C160*5</f>
      </c>
      <c r="H160" s="81">
        <v>116.85</v>
      </c>
      <c r="I160" s="81">
        <f t="shared" ref="I160:I165" si="118">E160*0.025</f>
      </c>
      <c r="J160" s="81">
        <f t="shared" ref="J160:J164" si="176">F160*C160+G160-H160-I160</f>
      </c>
      <c r="K160" s="83">
        <f t="shared" ref="K160:K166" si="245">IFERROR(J160/E160,0)</f>
      </c>
      <c r="L160" s="81">
        <f t="shared" ref="L160:L163" si="314">J160*8</f>
      </c>
      <c r="M160" s="81">
        <f t="shared" ref="M160:M163" si="373">E160*8</f>
      </c>
      <c r="N160" s="83">
        <f t="shared" ref="N160:N165" si="546">IFERROR(H160/E160,0)</f>
      </c>
      <c r="O160" s="95">
        <v>3</v>
      </c>
      <c r="P160" s="95">
        <f t="shared" ref="P160:P166" si="432">C160-O160</f>
      </c>
      <c r="Q160" s="85">
        <f t="shared" ref="Q160:Q166" si="604">IFERROR(O160/C160,0)</f>
      </c>
      <c r="R160" s="85">
        <f t="shared" ref="R160:R164" si="59">IFERROR(H160/(E160*Q160),0)</f>
      </c>
      <c r="S160" s="97" t="s">
        <v>149</v>
      </c>
    </row>
    <row customHeight="true" ht="23.703703703703702" r="161">
      <c r="A161" s="93">
        <v>46045</v>
      </c>
      <c r="B161" s="79" t="s">
        <v>131</v>
      </c>
      <c r="C161" s="79">
        <v>4</v>
      </c>
      <c r="D161" s="94" cm="1">
        <f t="array" ref="D161:D161">_xlfn.XLOOKUP(B161&amp;S161,'净-价格-毛利'!A:A&amp;'净-价格-毛利'!B:B,'净-价格-毛利'!D:D,0)</f>
      </c>
      <c r="E161" s="81">
        <f t="shared" si="489"/>
      </c>
      <c r="F161" s="80" cm="1">
        <f t="array" ref="F161:F161">_xlfn.XLOOKUP(B161&amp;S161,'净-价格-毛利'!A:A&amp;'净-价格-毛利'!B:B,'净-价格-毛利'!C:C,0)</f>
      </c>
      <c r="G161" s="81">
        <f t="shared" si="2"/>
      </c>
      <c r="H161" s="81">
        <v>92.43</v>
      </c>
      <c r="I161" s="81">
        <f t="shared" si="118"/>
      </c>
      <c r="J161" s="81">
        <f t="shared" si="176"/>
      </c>
      <c r="K161" s="83">
        <f t="shared" si="245"/>
      </c>
      <c r="L161" s="81">
        <f t="shared" si="314"/>
      </c>
      <c r="M161" s="81">
        <f t="shared" si="373"/>
      </c>
      <c r="N161" s="83">
        <f t="shared" si="546"/>
      </c>
      <c r="O161" s="95">
        <v>2</v>
      </c>
      <c r="P161" s="95">
        <f t="shared" si="432"/>
      </c>
      <c r="Q161" s="85">
        <f t="shared" si="604"/>
      </c>
      <c r="R161" s="85">
        <f t="shared" si="59"/>
      </c>
      <c r="S161" s="97" t="s">
        <v>149</v>
      </c>
    </row>
    <row customHeight="true" ht="23.703703703703702" r="162">
      <c r="A162" s="93">
        <v>46045</v>
      </c>
      <c r="B162" s="79" t="s">
        <v>133</v>
      </c>
      <c r="C162" s="79">
        <v>1</v>
      </c>
      <c r="D162" s="94" cm="1">
        <f t="array" ref="D162:D162">_xlfn.XLOOKUP(B162&amp;S162,'净-价格-毛利'!A:A&amp;'净-价格-毛利'!B:B,'净-价格-毛利'!D:D,0)</f>
      </c>
      <c r="E162" s="81">
        <f t="shared" si="489"/>
      </c>
      <c r="F162" s="80" cm="1">
        <f t="array" ref="F162:F162">_xlfn.XLOOKUP(B162&amp;S162,'净-价格-毛利'!A:A&amp;'净-价格-毛利'!B:B,'净-价格-毛利'!C:C,0)</f>
      </c>
      <c r="G162" s="81">
        <f t="shared" si="2"/>
      </c>
      <c r="H162" s="81">
        <v>62.07</v>
      </c>
      <c r="I162" s="81">
        <f t="shared" si="118"/>
      </c>
      <c r="J162" s="81">
        <f t="shared" si="176"/>
      </c>
      <c r="K162" s="83">
        <f t="shared" si="245"/>
      </c>
      <c r="L162" s="81">
        <f t="shared" si="314"/>
      </c>
      <c r="M162" s="81">
        <f t="shared" si="373"/>
      </c>
      <c r="N162" s="83">
        <f t="shared" si="546"/>
      </c>
      <c r="O162" s="95">
        <v>2</v>
      </c>
      <c r="P162" s="95">
        <f t="shared" si="432"/>
      </c>
      <c r="Q162" s="85">
        <f t="shared" si="604"/>
      </c>
      <c r="R162" s="85">
        <f t="shared" si="59"/>
      </c>
      <c r="S162" s="97" t="s">
        <v>150</v>
      </c>
    </row>
    <row customHeight="true" ht="23.703703703703702" r="163">
      <c r="A163" s="93">
        <v>46045</v>
      </c>
      <c r="B163" s="79" t="s">
        <v>134</v>
      </c>
      <c r="C163" s="79">
        <v>4</v>
      </c>
      <c r="D163" s="94" cm="1">
        <f t="array" ref="D163:D163">_xlfn.XLOOKUP(B163&amp;S163,'净-价格-毛利'!A:A&amp;'净-价格-毛利'!B:B,'净-价格-毛利'!D:D,0)</f>
      </c>
      <c r="E163" s="81">
        <f t="shared" si="489"/>
      </c>
      <c r="F163" s="80" cm="1">
        <f t="array" ref="F163:F163">_xlfn.XLOOKUP(B163&amp;S163,'净-价格-毛利'!A:A&amp;'净-价格-毛利'!B:B,'净-价格-毛利'!C:C,0)</f>
      </c>
      <c r="G163" s="81">
        <f t="shared" si="2"/>
      </c>
      <c r="H163" s="81">
        <v>92.47</v>
      </c>
      <c r="I163" s="81">
        <f t="shared" si="118"/>
      </c>
      <c r="J163" s="81">
        <f t="shared" si="176"/>
      </c>
      <c r="K163" s="83">
        <f t="shared" si="245"/>
      </c>
      <c r="L163" s="81">
        <f t="shared" si="314"/>
      </c>
      <c r="M163" s="81">
        <f t="shared" si="373"/>
      </c>
      <c r="N163" s="83">
        <f t="shared" si="546"/>
      </c>
      <c r="O163" s="95">
        <v>2</v>
      </c>
      <c r="P163" s="95">
        <f t="shared" si="432"/>
      </c>
      <c r="Q163" s="85">
        <f t="shared" si="604"/>
      </c>
      <c r="R163" s="85">
        <f t="shared" si="59"/>
      </c>
      <c r="S163" s="97" t="s">
        <v>151</v>
      </c>
    </row>
    <row customHeight="true" ht="23.703703703703702" r="164">
      <c r="A164" s="93">
        <v>46045</v>
      </c>
      <c r="B164" s="79" t="s">
        <v>136</v>
      </c>
      <c r="C164" s="79">
        <v>1</v>
      </c>
      <c r="D164" s="94" cm="1">
        <f t="array" ref="D164:D164">_xlfn.XLOOKUP(B164&amp;S164,'净-价格-毛利'!A:A&amp;'净-价格-毛利'!B:B,'净-价格-毛利'!D:D,0)</f>
      </c>
      <c r="E164" s="81">
        <f t="shared" si="489"/>
      </c>
      <c r="F164" s="80" cm="1">
        <f t="array" ref="F164:F164">_xlfn.XLOOKUP(B164&amp;S164,'净-价格-毛利'!A:A&amp;'净-价格-毛利'!B:B,'净-价格-毛利'!C:C,0)</f>
      </c>
      <c r="G164" s="81">
        <f t="shared" si="2"/>
      </c>
      <c r="H164" s="81">
        <v>25.52</v>
      </c>
      <c r="I164" s="81">
        <f t="shared" si="118"/>
      </c>
      <c r="J164" s="81">
        <f t="shared" si="176"/>
      </c>
      <c r="K164" s="83">
        <f t="shared" si="245"/>
      </c>
      <c r="L164" s="81">
        <f>J164*9</f>
      </c>
      <c r="M164" s="81">
        <f>E164*9</f>
      </c>
      <c r="N164" s="83">
        <f t="shared" si="546"/>
      </c>
      <c r="O164" s="95">
        <v>0</v>
      </c>
      <c r="P164" s="95">
        <f t="shared" si="432"/>
      </c>
      <c r="Q164" s="85">
        <f t="shared" si="604"/>
      </c>
      <c r="R164" s="85">
        <f t="shared" si="59"/>
      </c>
      <c r="S164" s="97" t="s">
        <v>148</v>
      </c>
    </row>
    <row customHeight="true" ht="23.703703703703702" r="165">
      <c r="A165" s="93">
        <v>46045</v>
      </c>
      <c r="B165" s="79" t="s">
        <v>137</v>
      </c>
      <c r="C165" s="79"/>
      <c r="D165" s="94" cm="1">
        <f t="array" ref="D165:D165">_xlfn.XLOOKUP(B165&amp;S165,'净-价格-毛利'!A:A&amp;'净-价格-毛利'!B:B,'净-价格-毛利'!D:D,0)</f>
      </c>
      <c r="E165" s="81">
        <f t="shared" si="489"/>
      </c>
      <c r="F165" s="80" cm="1">
        <f t="array" ref="F165:F165">_xlfn.XLOOKUP(B165&amp;S165,'净-价格-毛利'!A:A&amp;'净-价格-毛利'!B:B,'净-价格-毛利'!C:C,0)</f>
      </c>
      <c r="G165" s="81"/>
      <c r="H165" s="81"/>
      <c r="I165" s="81">
        <f t="shared" si="118"/>
      </c>
      <c r="J165" s="81">
        <f>C165*F165-H165-I165</f>
      </c>
      <c r="K165" s="83">
        <f t="shared" si="245"/>
      </c>
      <c r="L165" s="81">
        <f>J165*7</f>
      </c>
      <c r="M165" s="81">
        <f>E165*7</f>
      </c>
      <c r="N165" s="83">
        <f t="shared" si="546"/>
      </c>
      <c r="O165" s="84"/>
      <c r="P165" s="84">
        <f t="shared" si="432"/>
      </c>
      <c r="Q165" s="85">
        <f t="shared" si="604"/>
      </c>
      <c r="R165" s="85"/>
      <c r="S165" s="96"/>
    </row>
    <row customHeight="true" ht="23.703703703703702" r="166">
      <c r="A166" s="93">
        <v>46045</v>
      </c>
      <c r="B166" s="79" t="s">
        <v>111</v>
      </c>
      <c r="C166" s="79">
        <f>SUM(C160:C165)</f>
      </c>
      <c r="D166" s="89"/>
      <c r="E166" s="81">
        <f>SUM(E160:E165)</f>
      </c>
      <c r="F166" s="82">
        <f>SUM(F160:F164)</f>
      </c>
      <c r="G166" s="81"/>
      <c r="H166" s="81"/>
      <c r="I166" s="81"/>
      <c r="J166" s="81">
        <f>SUM(J160:J165)</f>
      </c>
      <c r="K166" s="83">
        <f t="shared" si="245"/>
      </c>
      <c r="L166" s="81">
        <f>SUM(L160:L165)</f>
      </c>
      <c r="M166" s="81">
        <f>SUM(M160:M165)</f>
      </c>
      <c r="N166" s="83"/>
      <c r="O166" s="95">
        <f>SUM(O160:O164)</f>
      </c>
      <c r="P166" s="95">
        <f t="shared" si="432"/>
      </c>
      <c r="Q166" s="85">
        <f t="shared" si="604"/>
      </c>
      <c r="R166" s="85"/>
      <c r="S166" s="89"/>
    </row>
    <row customHeight="true" ht="23.703703703703702" r="167">
      <c r="B167" s="77" t="s">
        <v>138</v>
      </c>
    </row>
    <row customHeight="true" ht="23.703703703703702" r="168">
      <c r="A168" s="71" t="s">
        <v>152</v>
      </c>
      <c r="B168" s="72" t="s">
        <v>112</v>
      </c>
      <c r="C168" s="90" t="s">
        <v>113</v>
      </c>
      <c r="D168" s="72" t="s">
        <v>114</v>
      </c>
      <c r="E168" s="73" t="s">
        <v>115</v>
      </c>
      <c r="F168" s="74" t="s">
        <v>116</v>
      </c>
      <c r="G168" s="73" t="s">
        <v>117</v>
      </c>
      <c r="H168" s="91" t="s">
        <v>118</v>
      </c>
      <c r="I168" s="73" t="s">
        <v>119</v>
      </c>
      <c r="J168" s="73" t="s">
        <v>116</v>
      </c>
      <c r="K168" s="75" t="s">
        <v>120</v>
      </c>
      <c r="L168" s="73" t="s">
        <v>121</v>
      </c>
      <c r="M168" s="73" t="s">
        <v>122</v>
      </c>
      <c r="N168" s="72" t="s">
        <v>123</v>
      </c>
      <c r="O168" s="92" t="s">
        <v>124</v>
      </c>
      <c r="P168" s="76" t="s">
        <v>125</v>
      </c>
      <c r="Q168" s="75" t="s">
        <v>126</v>
      </c>
      <c r="R168" s="75" t="s">
        <v>127</v>
      </c>
      <c r="S168" s="75" t="s">
        <v>140</v>
      </c>
    </row>
    <row customHeight="true" ht="23.703703703703702" r="169">
      <c r="A169" s="93">
        <v>46046</v>
      </c>
      <c r="B169" s="79" t="s">
        <v>130</v>
      </c>
      <c r="C169" s="79">
        <v>2</v>
      </c>
      <c r="D169" s="94" cm="1">
        <f t="array" ref="D169:D169">_xlfn.XLOOKUP(B169&amp;S169,'净-价格-毛利'!A:A&amp;'净-价格-毛利'!B:B,'净-价格-毛利'!D:D,0)</f>
      </c>
      <c r="E169" s="81">
        <f t="shared" ref="E169:E174" si="490">C169*D169</f>
      </c>
      <c r="F169" s="80" cm="1">
        <f t="array" ref="F169:F169">_xlfn.XLOOKUP(B169&amp;S169,'净-价格-毛利'!A:A&amp;'净-价格-毛利'!B:B,'净-价格-毛利'!C:C,0)</f>
      </c>
      <c r="G169" s="81">
        <f t="shared" ref="G169:G173" si="3">C169*5</f>
      </c>
      <c r="H169" s="81">
        <v>149.15</v>
      </c>
      <c r="I169" s="81">
        <f t="shared" ref="I169:I174" si="119">E169*0.025</f>
      </c>
      <c r="J169" s="81">
        <f t="shared" ref="J169:J173" si="177">F169*C169+G169-H169-I169</f>
      </c>
      <c r="K169" s="83">
        <f t="shared" ref="K169:K175" si="246">IFERROR(J169/E169,0)</f>
      </c>
      <c r="L169" s="81">
        <f t="shared" ref="L169:L172" si="315">J169*8</f>
      </c>
      <c r="M169" s="81">
        <f t="shared" ref="M169:M172" si="374">E169*8</f>
      </c>
      <c r="N169" s="83">
        <f t="shared" ref="N169:N174" si="547">IFERROR(H169/E169,0)</f>
      </c>
      <c r="O169" s="95">
        <v>0</v>
      </c>
      <c r="P169" s="95">
        <f t="shared" ref="P169:P175" si="433">C169-O169</f>
      </c>
      <c r="Q169" s="85">
        <f t="shared" ref="Q169:Q175" si="605">IFERROR(O169/C169,0)</f>
      </c>
      <c r="R169" s="85">
        <f t="shared" ref="R169:R173" si="60">IFERROR(H169/(E169*Q169),0)</f>
      </c>
      <c r="S169" s="97" t="s">
        <v>149</v>
      </c>
    </row>
    <row customHeight="true" ht="23.703703703703702" r="170">
      <c r="A170" s="93">
        <v>46046</v>
      </c>
      <c r="B170" s="79" t="s">
        <v>131</v>
      </c>
      <c r="C170" s="79">
        <v>1</v>
      </c>
      <c r="D170" s="94" cm="1">
        <f t="array" ref="D170:D170">_xlfn.XLOOKUP(B170&amp;S170,'净-价格-毛利'!A:A&amp;'净-价格-毛利'!B:B,'净-价格-毛利'!D:D,0)</f>
      </c>
      <c r="E170" s="81">
        <f t="shared" si="490"/>
      </c>
      <c r="F170" s="80" cm="1">
        <f t="array" ref="F170:F170">_xlfn.XLOOKUP(B170&amp;S170,'净-价格-毛利'!A:A&amp;'净-价格-毛利'!B:B,'净-价格-毛利'!C:C,0)</f>
      </c>
      <c r="G170" s="81">
        <f t="shared" si="3"/>
      </c>
      <c r="H170" s="81">
        <v>108.44</v>
      </c>
      <c r="I170" s="81">
        <f t="shared" si="119"/>
      </c>
      <c r="J170" s="81">
        <f t="shared" si="177"/>
      </c>
      <c r="K170" s="83">
        <f t="shared" si="246"/>
      </c>
      <c r="L170" s="81">
        <f t="shared" si="315"/>
      </c>
      <c r="M170" s="81">
        <f t="shared" si="374"/>
      </c>
      <c r="N170" s="83">
        <f t="shared" si="547"/>
      </c>
      <c r="O170" s="95">
        <v>0</v>
      </c>
      <c r="P170" s="95">
        <f t="shared" si="433"/>
      </c>
      <c r="Q170" s="85">
        <f t="shared" si="605"/>
      </c>
      <c r="R170" s="85">
        <f t="shared" si="60"/>
      </c>
      <c r="S170" s="97" t="s">
        <v>149</v>
      </c>
    </row>
    <row customHeight="true" ht="23.703703703703702" r="171">
      <c r="A171" s="93">
        <v>46046</v>
      </c>
      <c r="B171" s="79" t="s">
        <v>133</v>
      </c>
      <c r="C171" s="79">
        <v>4</v>
      </c>
      <c r="D171" s="94" cm="1">
        <f t="array" ref="D171:D171">_xlfn.XLOOKUP(B171&amp;S171,'净-价格-毛利'!A:A&amp;'净-价格-毛利'!B:B,'净-价格-毛利'!D:D,0)</f>
      </c>
      <c r="E171" s="81">
        <f t="shared" si="490"/>
      </c>
      <c r="F171" s="80" cm="1">
        <f t="array" ref="F171:F171">_xlfn.XLOOKUP(B171&amp;S171,'净-价格-毛利'!A:A&amp;'净-价格-毛利'!B:B,'净-价格-毛利'!C:C,0)</f>
      </c>
      <c r="G171" s="81">
        <f t="shared" si="3"/>
      </c>
      <c r="H171" s="81">
        <v>82.92</v>
      </c>
      <c r="I171" s="81">
        <f t="shared" si="119"/>
      </c>
      <c r="J171" s="81">
        <f t="shared" si="177"/>
      </c>
      <c r="K171" s="83">
        <f t="shared" si="246"/>
      </c>
      <c r="L171" s="81">
        <f t="shared" si="315"/>
      </c>
      <c r="M171" s="81">
        <f t="shared" si="374"/>
      </c>
      <c r="N171" s="83">
        <f t="shared" si="547"/>
      </c>
      <c r="O171" s="95">
        <v>3</v>
      </c>
      <c r="P171" s="95">
        <f t="shared" si="433"/>
      </c>
      <c r="Q171" s="85">
        <f t="shared" si="605"/>
      </c>
      <c r="R171" s="85">
        <f t="shared" si="60"/>
      </c>
      <c r="S171" s="97" t="s">
        <v>150</v>
      </c>
    </row>
    <row customHeight="true" ht="23.703703703703702" r="172">
      <c r="A172" s="93">
        <v>46046</v>
      </c>
      <c r="B172" s="79" t="s">
        <v>134</v>
      </c>
      <c r="C172" s="79">
        <v>4</v>
      </c>
      <c r="D172" s="94" cm="1">
        <f t="array" ref="D172:D172">_xlfn.XLOOKUP(B172&amp;S172,'净-价格-毛利'!A:A&amp;'净-价格-毛利'!B:B,'净-价格-毛利'!D:D,0)</f>
      </c>
      <c r="E172" s="81">
        <f t="shared" si="490"/>
      </c>
      <c r="F172" s="80" cm="1">
        <f t="array" ref="F172:F172">_xlfn.XLOOKUP(B172&amp;S172,'净-价格-毛利'!A:A&amp;'净-价格-毛利'!B:B,'净-价格-毛利'!C:C,0)</f>
      </c>
      <c r="G172" s="81">
        <f t="shared" si="3"/>
      </c>
      <c r="H172" s="81">
        <v>92.79</v>
      </c>
      <c r="I172" s="81">
        <f t="shared" si="119"/>
      </c>
      <c r="J172" s="81">
        <f t="shared" si="177"/>
      </c>
      <c r="K172" s="83">
        <f t="shared" si="246"/>
      </c>
      <c r="L172" s="81">
        <f t="shared" si="315"/>
      </c>
      <c r="M172" s="81">
        <f t="shared" si="374"/>
      </c>
      <c r="N172" s="83">
        <f t="shared" si="547"/>
      </c>
      <c r="O172" s="95">
        <v>2</v>
      </c>
      <c r="P172" s="95">
        <f t="shared" si="433"/>
      </c>
      <c r="Q172" s="85">
        <f t="shared" si="605"/>
      </c>
      <c r="R172" s="85">
        <f t="shared" si="60"/>
      </c>
      <c r="S172" s="97" t="s">
        <v>151</v>
      </c>
    </row>
    <row customHeight="true" ht="23.703703703703702" r="173">
      <c r="A173" s="93">
        <v>46046</v>
      </c>
      <c r="B173" s="79" t="s">
        <v>136</v>
      </c>
      <c r="C173" s="79">
        <v>0</v>
      </c>
      <c r="D173" s="94" cm="1">
        <f t="array" ref="D173:D173">_xlfn.XLOOKUP(B173&amp;S173,'净-价格-毛利'!A:A&amp;'净-价格-毛利'!B:B,'净-价格-毛利'!D:D,0)</f>
      </c>
      <c r="E173" s="81">
        <f t="shared" si="490"/>
      </c>
      <c r="F173" s="80" cm="1">
        <f t="array" ref="F173:F173">_xlfn.XLOOKUP(B173&amp;S173,'净-价格-毛利'!A:A&amp;'净-价格-毛利'!B:B,'净-价格-毛利'!C:C,0)</f>
      </c>
      <c r="G173" s="81">
        <f t="shared" si="3"/>
      </c>
      <c r="H173" s="81">
        <v>26.52</v>
      </c>
      <c r="I173" s="81">
        <f t="shared" si="119"/>
      </c>
      <c r="J173" s="81">
        <f t="shared" si="177"/>
      </c>
      <c r="K173" s="83">
        <f t="shared" si="246"/>
      </c>
      <c r="L173" s="81">
        <f>J173*9</f>
      </c>
      <c r="M173" s="81">
        <f>E173*9</f>
      </c>
      <c r="N173" s="83">
        <f t="shared" si="547"/>
      </c>
      <c r="O173" s="95">
        <v>0</v>
      </c>
      <c r="P173" s="95">
        <f t="shared" si="433"/>
      </c>
      <c r="Q173" s="85">
        <f t="shared" si="605"/>
      </c>
      <c r="R173" s="85">
        <f t="shared" si="60"/>
      </c>
      <c r="S173" s="97" t="s">
        <v>148</v>
      </c>
    </row>
    <row customHeight="true" ht="23.703703703703702" r="174">
      <c r="A174" s="93">
        <v>46046</v>
      </c>
      <c r="B174" s="79" t="s">
        <v>137</v>
      </c>
      <c r="C174" s="79"/>
      <c r="D174" s="94" cm="1">
        <f t="array" ref="D174:D174">_xlfn.XLOOKUP(B174&amp;S174,'净-价格-毛利'!A:A&amp;'净-价格-毛利'!B:B,'净-价格-毛利'!D:D,0)</f>
      </c>
      <c r="E174" s="81">
        <f t="shared" si="490"/>
      </c>
      <c r="F174" s="80" cm="1">
        <f t="array" ref="F174:F174">_xlfn.XLOOKUP(B174&amp;S174,'净-价格-毛利'!A:A&amp;'净-价格-毛利'!B:B,'净-价格-毛利'!C:C,0)</f>
      </c>
      <c r="G174" s="81"/>
      <c r="H174" s="81"/>
      <c r="I174" s="81">
        <f t="shared" si="119"/>
      </c>
      <c r="J174" s="81">
        <f>C174*F174-H174-I174</f>
      </c>
      <c r="K174" s="83">
        <f t="shared" si="246"/>
      </c>
      <c r="L174" s="81">
        <f>J174*7</f>
      </c>
      <c r="M174" s="81">
        <f>E174*7</f>
      </c>
      <c r="N174" s="83">
        <f t="shared" si="547"/>
      </c>
      <c r="O174" s="84"/>
      <c r="P174" s="84">
        <f t="shared" si="433"/>
      </c>
      <c r="Q174" s="85">
        <f t="shared" si="605"/>
      </c>
      <c r="R174" s="85"/>
      <c r="S174" s="96"/>
    </row>
    <row customHeight="true" ht="23.703703703703702" r="175">
      <c r="A175" s="93">
        <v>46046</v>
      </c>
      <c r="B175" s="79" t="s">
        <v>111</v>
      </c>
      <c r="C175" s="79">
        <f>SUM(C169:C174)</f>
      </c>
      <c r="D175" s="89"/>
      <c r="E175" s="81">
        <f>SUM(E169:E174)</f>
      </c>
      <c r="F175" s="82">
        <f>SUM(F169:F173)</f>
      </c>
      <c r="G175" s="81"/>
      <c r="H175" s="81"/>
      <c r="I175" s="81"/>
      <c r="J175" s="81">
        <f>SUM(J169:J174)</f>
      </c>
      <c r="K175" s="83">
        <f t="shared" si="246"/>
      </c>
      <c r="L175" s="81">
        <f>SUM(L169:L174)</f>
      </c>
      <c r="M175" s="81">
        <f>SUM(M169:M174)</f>
      </c>
      <c r="N175" s="83"/>
      <c r="O175" s="95">
        <f>SUM(O169:O173)</f>
      </c>
      <c r="P175" s="95">
        <f t="shared" si="433"/>
      </c>
      <c r="Q175" s="85">
        <f t="shared" si="605"/>
      </c>
      <c r="R175" s="85"/>
      <c r="S175" s="89"/>
    </row>
    <row customHeight="true" ht="23.703703703703702" r="176">
      <c r="B176" s="77" t="s">
        <v>138</v>
      </c>
    </row>
    <row customHeight="true" ht="23.703703703703702" r="177">
      <c r="A177" s="71" t="s">
        <v>152</v>
      </c>
      <c r="B177" s="72" t="s">
        <v>112</v>
      </c>
      <c r="C177" s="90" t="s">
        <v>113</v>
      </c>
      <c r="D177" s="72" t="s">
        <v>114</v>
      </c>
      <c r="E177" s="73" t="s">
        <v>115</v>
      </c>
      <c r="F177" s="74" t="s">
        <v>116</v>
      </c>
      <c r="G177" s="73" t="s">
        <v>117</v>
      </c>
      <c r="H177" s="91" t="s">
        <v>118</v>
      </c>
      <c r="I177" s="73" t="s">
        <v>119</v>
      </c>
      <c r="J177" s="73" t="s">
        <v>116</v>
      </c>
      <c r="K177" s="75" t="s">
        <v>120</v>
      </c>
      <c r="L177" s="73" t="s">
        <v>121</v>
      </c>
      <c r="M177" s="73" t="s">
        <v>122</v>
      </c>
      <c r="N177" s="72" t="s">
        <v>123</v>
      </c>
      <c r="O177" s="92" t="s">
        <v>124</v>
      </c>
      <c r="P177" s="76" t="s">
        <v>125</v>
      </c>
      <c r="Q177" s="75" t="s">
        <v>126</v>
      </c>
      <c r="R177" s="75" t="s">
        <v>127</v>
      </c>
      <c r="S177" s="75" t="s">
        <v>140</v>
      </c>
    </row>
    <row customHeight="true" ht="23.703703703703702" r="178">
      <c r="A178" s="93">
        <v>46047</v>
      </c>
      <c r="B178" s="79" t="s">
        <v>130</v>
      </c>
      <c r="C178" s="79">
        <v>4</v>
      </c>
      <c r="D178" s="94" cm="1">
        <f t="array" ref="D178:D178">_xlfn.XLOOKUP(B178&amp;S178,'净-价格-毛利'!A:A&amp;'净-价格-毛利'!B:B,'净-价格-毛利'!D:D,0)</f>
      </c>
      <c r="E178" s="81">
        <f t="shared" ref="E178:E183" si="491">C178*D178</f>
      </c>
      <c r="F178" s="80" cm="1">
        <f t="array" ref="F178:F178">_xlfn.XLOOKUP(B178&amp;S178,'净-价格-毛利'!A:A&amp;'净-价格-毛利'!B:B,'净-价格-毛利'!C:C,0)</f>
      </c>
      <c r="G178" s="81">
        <f t="shared" ref="G178:G182" si="4">C178*5</f>
      </c>
      <c r="H178" s="81">
        <v>191.19</v>
      </c>
      <c r="I178" s="81">
        <f t="shared" ref="I178:I183" si="120">E178*0.025</f>
      </c>
      <c r="J178" s="81">
        <f t="shared" ref="J178:J182" si="178">F178*C178+G178-H178-I178</f>
      </c>
      <c r="K178" s="83">
        <f t="shared" ref="K178:K184" si="247">IFERROR(J178/E178,0)</f>
      </c>
      <c r="L178" s="81">
        <f t="shared" ref="L178:L181" si="316">J178*8</f>
      </c>
      <c r="M178" s="81">
        <f t="shared" ref="M178:M181" si="375">E178*8</f>
      </c>
      <c r="N178" s="83">
        <f t="shared" ref="N178:N183" si="548">IFERROR(H178/E178,0)</f>
      </c>
      <c r="O178" s="95">
        <v>3</v>
      </c>
      <c r="P178" s="95">
        <f t="shared" ref="P178:P184" si="434">C178-O178</f>
      </c>
      <c r="Q178" s="85">
        <f t="shared" ref="Q178:Q184" si="606">IFERROR(O178/C178,0)</f>
      </c>
      <c r="R178" s="85">
        <f t="shared" ref="R178:R182" si="61">IFERROR(H178/(E178*Q178),0)</f>
      </c>
      <c r="S178" s="97" t="s">
        <v>149</v>
      </c>
    </row>
    <row customHeight="true" ht="23.703703703703702" r="179">
      <c r="A179" s="93">
        <v>46047</v>
      </c>
      <c r="B179" s="79" t="s">
        <v>131</v>
      </c>
      <c r="C179" s="79">
        <v>5</v>
      </c>
      <c r="D179" s="94" cm="1">
        <f t="array" ref="D179:D179">_xlfn.XLOOKUP(B179&amp;S179,'净-价格-毛利'!A:A&amp;'净-价格-毛利'!B:B,'净-价格-毛利'!D:D,0)</f>
      </c>
      <c r="E179" s="81">
        <f t="shared" si="491"/>
      </c>
      <c r="F179" s="80" cm="1">
        <f t="array" ref="F179:F179">_xlfn.XLOOKUP(B179&amp;S179,'净-价格-毛利'!A:A&amp;'净-价格-毛利'!B:B,'净-价格-毛利'!C:C,0)</f>
      </c>
      <c r="G179" s="81">
        <f t="shared" si="4"/>
      </c>
      <c r="H179" s="81">
        <v>157.04</v>
      </c>
      <c r="I179" s="81">
        <f t="shared" si="120"/>
      </c>
      <c r="J179" s="81">
        <f t="shared" si="178"/>
      </c>
      <c r="K179" s="83">
        <f t="shared" si="247"/>
      </c>
      <c r="L179" s="81">
        <f t="shared" si="316"/>
      </c>
      <c r="M179" s="81">
        <f t="shared" si="375"/>
      </c>
      <c r="N179" s="83">
        <f t="shared" si="548"/>
      </c>
      <c r="O179" s="95">
        <v>4</v>
      </c>
      <c r="P179" s="95">
        <f t="shared" si="434"/>
      </c>
      <c r="Q179" s="85">
        <f t="shared" si="606"/>
      </c>
      <c r="R179" s="85">
        <f t="shared" si="61"/>
      </c>
      <c r="S179" s="97" t="s">
        <v>149</v>
      </c>
    </row>
    <row customHeight="true" ht="23.703703703703702" r="180">
      <c r="A180" s="93">
        <v>46047</v>
      </c>
      <c r="B180" s="79" t="s">
        <v>133</v>
      </c>
      <c r="C180" s="79">
        <v>6</v>
      </c>
      <c r="D180" s="94" cm="1">
        <f t="array" ref="D180:D180">_xlfn.XLOOKUP(B180&amp;S180,'净-价格-毛利'!A:A&amp;'净-价格-毛利'!B:B,'净-价格-毛利'!D:D,0)</f>
      </c>
      <c r="E180" s="81">
        <f t="shared" si="491"/>
      </c>
      <c r="F180" s="80" cm="1">
        <f t="array" ref="F180:F180">_xlfn.XLOOKUP(B180&amp;S180,'净-价格-毛利'!A:A&amp;'净-价格-毛利'!B:B,'净-价格-毛利'!C:C,0)</f>
      </c>
      <c r="G180" s="81">
        <f t="shared" si="4"/>
      </c>
      <c r="H180" s="81">
        <v>63.8</v>
      </c>
      <c r="I180" s="81">
        <f t="shared" si="120"/>
      </c>
      <c r="J180" s="81">
        <f t="shared" si="178"/>
      </c>
      <c r="K180" s="83">
        <f t="shared" si="247"/>
      </c>
      <c r="L180" s="81">
        <f t="shared" si="316"/>
      </c>
      <c r="M180" s="81">
        <f t="shared" si="375"/>
      </c>
      <c r="N180" s="83">
        <f t="shared" si="548"/>
      </c>
      <c r="O180" s="95">
        <v>3</v>
      </c>
      <c r="P180" s="95">
        <f t="shared" si="434"/>
      </c>
      <c r="Q180" s="85">
        <f t="shared" si="606"/>
      </c>
      <c r="R180" s="85">
        <f t="shared" si="61"/>
      </c>
      <c r="S180" s="97" t="s">
        <v>150</v>
      </c>
    </row>
    <row customHeight="true" ht="23.703703703703702" r="181">
      <c r="A181" s="93">
        <v>46047</v>
      </c>
      <c r="B181" s="79" t="s">
        <v>134</v>
      </c>
      <c r="C181" s="79">
        <v>5</v>
      </c>
      <c r="D181" s="94" cm="1">
        <f t="array" ref="D181:D181">_xlfn.XLOOKUP(B181&amp;S181,'净-价格-毛利'!A:A&amp;'净-价格-毛利'!B:B,'净-价格-毛利'!D:D,0)</f>
      </c>
      <c r="E181" s="81">
        <f t="shared" si="491"/>
      </c>
      <c r="F181" s="80" cm="1">
        <f t="array" ref="F181:F181">_xlfn.XLOOKUP(B181&amp;S181,'净-价格-毛利'!A:A&amp;'净-价格-毛利'!B:B,'净-价格-毛利'!C:C,0)</f>
      </c>
      <c r="G181" s="81">
        <f t="shared" si="4"/>
      </c>
      <c r="H181" s="81">
        <v>91.76</v>
      </c>
      <c r="I181" s="81">
        <f t="shared" si="120"/>
      </c>
      <c r="J181" s="81">
        <f t="shared" si="178"/>
      </c>
      <c r="K181" s="83">
        <f t="shared" si="247"/>
      </c>
      <c r="L181" s="81">
        <f t="shared" si="316"/>
      </c>
      <c r="M181" s="81">
        <f t="shared" si="375"/>
      </c>
      <c r="N181" s="83">
        <f t="shared" si="548"/>
      </c>
      <c r="O181" s="95">
        <v>4</v>
      </c>
      <c r="P181" s="95">
        <f t="shared" si="434"/>
      </c>
      <c r="Q181" s="85">
        <f t="shared" si="606"/>
      </c>
      <c r="R181" s="85">
        <f t="shared" si="61"/>
      </c>
      <c r="S181" s="97" t="s">
        <v>151</v>
      </c>
    </row>
    <row customHeight="true" ht="23.703703703703702" r="182">
      <c r="A182" s="93">
        <v>46047</v>
      </c>
      <c r="B182" s="79" t="s">
        <v>136</v>
      </c>
      <c r="C182" s="79">
        <v>0</v>
      </c>
      <c r="D182" s="94" cm="1">
        <f t="array" ref="D182:D182">_xlfn.XLOOKUP(B182&amp;S182,'净-价格-毛利'!A:A&amp;'净-价格-毛利'!B:B,'净-价格-毛利'!D:D,0)</f>
      </c>
      <c r="E182" s="81">
        <f t="shared" si="491"/>
      </c>
      <c r="F182" s="80" cm="1">
        <f t="array" ref="F182:F182">_xlfn.XLOOKUP(B182&amp;S182,'净-价格-毛利'!A:A&amp;'净-价格-毛利'!B:B,'净-价格-毛利'!C:C,0)</f>
      </c>
      <c r="G182" s="81">
        <f t="shared" si="4"/>
      </c>
      <c r="H182" s="81">
        <v>12.37</v>
      </c>
      <c r="I182" s="81">
        <f t="shared" si="120"/>
      </c>
      <c r="J182" s="81">
        <f t="shared" si="178"/>
      </c>
      <c r="K182" s="83">
        <f t="shared" si="247"/>
      </c>
      <c r="L182" s="81">
        <f>J182*9</f>
      </c>
      <c r="M182" s="81">
        <f>E182*9</f>
      </c>
      <c r="N182" s="83">
        <f t="shared" si="548"/>
      </c>
      <c r="O182" s="95">
        <v>0</v>
      </c>
      <c r="P182" s="95">
        <f t="shared" si="434"/>
      </c>
      <c r="Q182" s="85">
        <f t="shared" si="606"/>
      </c>
      <c r="R182" s="85">
        <f t="shared" si="61"/>
      </c>
      <c r="S182" s="97" t="s">
        <v>148</v>
      </c>
    </row>
    <row customHeight="true" ht="23.703703703703702" r="183">
      <c r="A183" s="93">
        <v>46047</v>
      </c>
      <c r="B183" s="79" t="s">
        <v>137</v>
      </c>
      <c r="C183" s="79"/>
      <c r="D183" s="94" cm="1">
        <f t="array" ref="D183:D183">_xlfn.XLOOKUP(B183&amp;S183,'净-价格-毛利'!A:A&amp;'净-价格-毛利'!B:B,'净-价格-毛利'!D:D,0)</f>
      </c>
      <c r="E183" s="81">
        <f t="shared" si="491"/>
      </c>
      <c r="F183" s="80" cm="1">
        <f t="array" ref="F183:F183">_xlfn.XLOOKUP(B183&amp;S183,'净-价格-毛利'!A:A&amp;'净-价格-毛利'!B:B,'净-价格-毛利'!C:C,0)</f>
      </c>
      <c r="G183" s="81"/>
      <c r="H183" s="81"/>
      <c r="I183" s="81">
        <f t="shared" si="120"/>
      </c>
      <c r="J183" s="81">
        <f>C183*F183-H183-I183</f>
      </c>
      <c r="K183" s="83">
        <f t="shared" si="247"/>
      </c>
      <c r="L183" s="81">
        <f>J183*7</f>
      </c>
      <c r="M183" s="81">
        <f>E183*7</f>
      </c>
      <c r="N183" s="83">
        <f t="shared" si="548"/>
      </c>
      <c r="O183" s="84"/>
      <c r="P183" s="84">
        <f t="shared" si="434"/>
      </c>
      <c r="Q183" s="85">
        <f t="shared" si="606"/>
      </c>
      <c r="R183" s="85"/>
      <c r="S183" s="96"/>
    </row>
    <row customHeight="true" ht="23.703703703703702" r="184">
      <c r="A184" s="93">
        <v>46047</v>
      </c>
      <c r="B184" s="79" t="s">
        <v>111</v>
      </c>
      <c r="C184" s="79">
        <f>SUM(C178:C183)</f>
      </c>
      <c r="D184" s="89"/>
      <c r="E184" s="81">
        <f>SUM(E178:E183)</f>
      </c>
      <c r="F184" s="82">
        <f>SUM(F178:F182)</f>
      </c>
      <c r="G184" s="81"/>
      <c r="H184" s="81"/>
      <c r="I184" s="81"/>
      <c r="J184" s="81">
        <f>SUM(J178:J183)</f>
      </c>
      <c r="K184" s="83">
        <f t="shared" si="247"/>
      </c>
      <c r="L184" s="81">
        <f>SUM(L178:L183)</f>
      </c>
      <c r="M184" s="81">
        <f>SUM(M178:M183)</f>
      </c>
      <c r="N184" s="83"/>
      <c r="O184" s="95">
        <f>SUM(O178:O182)</f>
      </c>
      <c r="P184" s="95">
        <f t="shared" si="434"/>
      </c>
      <c r="Q184" s="85">
        <f t="shared" si="606"/>
      </c>
      <c r="R184" s="85"/>
      <c r="S184" s="89"/>
    </row>
    <row customHeight="true" ht="23.703703703703702" r="185">
      <c r="B185" s="77" t="s">
        <v>138</v>
      </c>
    </row>
    <row customHeight="true" ht="23.703703703703702" r="186">
      <c r="A186" s="71" t="s">
        <v>152</v>
      </c>
      <c r="B186" s="72" t="s">
        <v>112</v>
      </c>
      <c r="C186" s="90" t="s">
        <v>113</v>
      </c>
      <c r="D186" s="72" t="s">
        <v>114</v>
      </c>
      <c r="E186" s="73" t="s">
        <v>115</v>
      </c>
      <c r="F186" s="74" t="s">
        <v>116</v>
      </c>
      <c r="G186" s="73" t="s">
        <v>117</v>
      </c>
      <c r="H186" s="91" t="s">
        <v>118</v>
      </c>
      <c r="I186" s="73" t="s">
        <v>119</v>
      </c>
      <c r="J186" s="73" t="s">
        <v>116</v>
      </c>
      <c r="K186" s="75" t="s">
        <v>120</v>
      </c>
      <c r="L186" s="73" t="s">
        <v>121</v>
      </c>
      <c r="M186" s="73" t="s">
        <v>122</v>
      </c>
      <c r="N186" s="72" t="s">
        <v>123</v>
      </c>
      <c r="O186" s="92" t="s">
        <v>124</v>
      </c>
      <c r="P186" s="76" t="s">
        <v>125</v>
      </c>
      <c r="Q186" s="75" t="s">
        <v>126</v>
      </c>
      <c r="R186" s="75" t="s">
        <v>127</v>
      </c>
      <c r="S186" s="75" t="s">
        <v>140</v>
      </c>
    </row>
    <row customHeight="true" ht="23.703703703703702" r="187">
      <c r="A187" s="93">
        <v>46048</v>
      </c>
      <c r="B187" s="79" t="s">
        <v>130</v>
      </c>
      <c r="C187" s="79">
        <v>3</v>
      </c>
      <c r="D187" s="94" cm="1">
        <f t="array" ref="D187:D187">_xlfn.XLOOKUP(B187&amp;S187,'净-价格-毛利'!A:A&amp;'净-价格-毛利'!B:B,'净-价格-毛利'!D:D,0)</f>
      </c>
      <c r="E187" s="81">
        <f t="shared" ref="E187:E192" si="492">C187*D187</f>
      </c>
      <c r="F187" s="80" cm="1">
        <f t="array" ref="F187:F187">_xlfn.XLOOKUP(B187&amp;S187,'净-价格-毛利'!A:A&amp;'净-价格-毛利'!B:B,'净-价格-毛利'!C:C,0)</f>
      </c>
      <c r="G187" s="81">
        <f t="shared" ref="G187:G191" si="5">C187*5</f>
      </c>
      <c r="H187" s="81">
        <v>88.93</v>
      </c>
      <c r="I187" s="81">
        <f t="shared" ref="I187:I192" si="121">E187*0.025</f>
      </c>
      <c r="J187" s="81">
        <f t="shared" ref="J187:J191" si="179">F187*C187+G187-H187-I187</f>
      </c>
      <c r="K187" s="83">
        <f t="shared" ref="K187:K193" si="248">IFERROR(J187/E187,0)</f>
      </c>
      <c r="L187" s="81">
        <f t="shared" ref="L187:L190" si="317">J187*8</f>
      </c>
      <c r="M187" s="81">
        <f t="shared" ref="M187:M190" si="376">E187*8</f>
      </c>
      <c r="N187" s="83">
        <f t="shared" ref="N187:N192" si="549">IFERROR(H187/E187,0)</f>
      </c>
      <c r="O187" s="95">
        <v>2</v>
      </c>
      <c r="P187" s="95">
        <f t="shared" ref="P187:P193" si="435">C187-O187</f>
      </c>
      <c r="Q187" s="85">
        <f t="shared" ref="Q187:Q193" si="607">IFERROR(O187/C187,0)</f>
      </c>
      <c r="R187" s="85">
        <f t="shared" ref="R187:R191" si="62">IFERROR(H187/(E187*Q187),0)</f>
      </c>
      <c r="S187" s="97" t="s">
        <v>149</v>
      </c>
    </row>
    <row customHeight="true" ht="23.703703703703702" r="188">
      <c r="A188" s="93">
        <v>46048</v>
      </c>
      <c r="B188" s="79" t="s">
        <v>131</v>
      </c>
      <c r="C188" s="79">
        <v>1</v>
      </c>
      <c r="D188" s="94" cm="1">
        <f t="array" ref="D188:D188">_xlfn.XLOOKUP(B188&amp;S188,'净-价格-毛利'!A:A&amp;'净-价格-毛利'!B:B,'净-价格-毛利'!D:D,0)</f>
      </c>
      <c r="E188" s="81">
        <f t="shared" si="492"/>
      </c>
      <c r="F188" s="80" cm="1">
        <f t="array" ref="F188:F188">_xlfn.XLOOKUP(B188&amp;S188,'净-价格-毛利'!A:A&amp;'净-价格-毛利'!B:B,'净-价格-毛利'!C:C,0)</f>
      </c>
      <c r="G188" s="81">
        <f t="shared" si="5"/>
      </c>
      <c r="H188" s="81">
        <v>57.05</v>
      </c>
      <c r="I188" s="81">
        <f t="shared" si="121"/>
      </c>
      <c r="J188" s="81">
        <f t="shared" si="179"/>
      </c>
      <c r="K188" s="83">
        <f t="shared" si="248"/>
      </c>
      <c r="L188" s="81">
        <f t="shared" si="317"/>
      </c>
      <c r="M188" s="81">
        <f t="shared" si="376"/>
      </c>
      <c r="N188" s="83">
        <f t="shared" si="549"/>
      </c>
      <c r="O188" s="95">
        <v>0</v>
      </c>
      <c r="P188" s="95">
        <f t="shared" si="435"/>
      </c>
      <c r="Q188" s="85">
        <f t="shared" si="607"/>
      </c>
      <c r="R188" s="85">
        <f t="shared" si="62"/>
      </c>
      <c r="S188" s="97" t="s">
        <v>149</v>
      </c>
    </row>
    <row customHeight="true" ht="23.703703703703702" r="189">
      <c r="A189" s="93">
        <v>46048</v>
      </c>
      <c r="B189" s="79" t="s">
        <v>133</v>
      </c>
      <c r="C189" s="79">
        <v>1</v>
      </c>
      <c r="D189" s="94" cm="1">
        <f t="array" ref="D189:D189">_xlfn.XLOOKUP(B189&amp;S189,'净-价格-毛利'!A:A&amp;'净-价格-毛利'!B:B,'净-价格-毛利'!D:D,0)</f>
      </c>
      <c r="E189" s="81">
        <f t="shared" si="492"/>
      </c>
      <c r="F189" s="80" cm="1">
        <f t="array" ref="F189:F189">_xlfn.XLOOKUP(B189&amp;S189,'净-价格-毛利'!A:A&amp;'净-价格-毛利'!B:B,'净-价格-毛利'!C:C,0)</f>
      </c>
      <c r="G189" s="81">
        <f t="shared" si="5"/>
      </c>
      <c r="H189" s="81">
        <v>83.9</v>
      </c>
      <c r="I189" s="81">
        <f t="shared" si="121"/>
      </c>
      <c r="J189" s="81">
        <f t="shared" si="179"/>
      </c>
      <c r="K189" s="83">
        <f t="shared" si="248"/>
      </c>
      <c r="L189" s="81">
        <f t="shared" si="317"/>
      </c>
      <c r="M189" s="81">
        <f t="shared" si="376"/>
      </c>
      <c r="N189" s="83">
        <f t="shared" si="549"/>
      </c>
      <c r="O189" s="95">
        <v>1</v>
      </c>
      <c r="P189" s="95">
        <f t="shared" si="435"/>
      </c>
      <c r="Q189" s="85">
        <f t="shared" si="607"/>
      </c>
      <c r="R189" s="85">
        <f t="shared" si="62"/>
      </c>
      <c r="S189" s="97" t="s">
        <v>150</v>
      </c>
    </row>
    <row customHeight="true" ht="23.703703703703702" r="190">
      <c r="A190" s="93">
        <v>46048</v>
      </c>
      <c r="B190" s="79" t="s">
        <v>134</v>
      </c>
      <c r="C190" s="79">
        <v>4</v>
      </c>
      <c r="D190" s="94" cm="1">
        <f t="array" ref="D190:D190">_xlfn.XLOOKUP(B190&amp;S190,'净-价格-毛利'!A:A&amp;'净-价格-毛利'!B:B,'净-价格-毛利'!D:D,0)</f>
      </c>
      <c r="E190" s="81">
        <f t="shared" si="492"/>
      </c>
      <c r="F190" s="80" cm="1">
        <f t="array" ref="F190:F190">_xlfn.XLOOKUP(B190&amp;S190,'净-价格-毛利'!A:A&amp;'净-价格-毛利'!B:B,'净-价格-毛利'!C:C,0)</f>
      </c>
      <c r="G190" s="81">
        <f t="shared" si="5"/>
      </c>
      <c r="H190" s="81">
        <v>45.95</v>
      </c>
      <c r="I190" s="81">
        <f t="shared" si="121"/>
      </c>
      <c r="J190" s="81">
        <f t="shared" si="179"/>
      </c>
      <c r="K190" s="83">
        <f t="shared" si="248"/>
      </c>
      <c r="L190" s="81">
        <f t="shared" si="317"/>
      </c>
      <c r="M190" s="81">
        <f t="shared" si="376"/>
      </c>
      <c r="N190" s="83">
        <f t="shared" si="549"/>
      </c>
      <c r="O190" s="95">
        <v>3</v>
      </c>
      <c r="P190" s="95">
        <f t="shared" si="435"/>
      </c>
      <c r="Q190" s="85">
        <f t="shared" si="607"/>
      </c>
      <c r="R190" s="85">
        <f t="shared" si="62"/>
      </c>
      <c r="S190" s="97" t="s">
        <v>151</v>
      </c>
    </row>
    <row customHeight="true" ht="23.703703703703702" r="191">
      <c r="A191" s="93">
        <v>46048</v>
      </c>
      <c r="B191" s="79" t="s">
        <v>136</v>
      </c>
      <c r="C191" s="79">
        <v>1</v>
      </c>
      <c r="D191" s="94" cm="1">
        <f t="array" ref="D191:D191">_xlfn.XLOOKUP(B191&amp;S191,'净-价格-毛利'!A:A&amp;'净-价格-毛利'!B:B,'净-价格-毛利'!D:D,0)</f>
      </c>
      <c r="E191" s="81">
        <f t="shared" si="492"/>
      </c>
      <c r="F191" s="80" cm="1">
        <f t="array" ref="F191:F191">_xlfn.XLOOKUP(B191&amp;S191,'净-价格-毛利'!A:A&amp;'净-价格-毛利'!B:B,'净-价格-毛利'!C:C,0)</f>
      </c>
      <c r="G191" s="81">
        <f t="shared" si="5"/>
      </c>
      <c r="H191" s="81">
        <v>7.4</v>
      </c>
      <c r="I191" s="81">
        <f t="shared" si="121"/>
      </c>
      <c r="J191" s="81">
        <f t="shared" si="179"/>
      </c>
      <c r="K191" s="83">
        <f t="shared" si="248"/>
      </c>
      <c r="L191" s="81">
        <f>J191*9</f>
      </c>
      <c r="M191" s="81">
        <f>E191*9</f>
      </c>
      <c r="N191" s="83">
        <f t="shared" si="549"/>
      </c>
      <c r="O191" s="95">
        <v>1</v>
      </c>
      <c r="P191" s="95">
        <f t="shared" si="435"/>
      </c>
      <c r="Q191" s="85">
        <f t="shared" si="607"/>
      </c>
      <c r="R191" s="85">
        <f t="shared" si="62"/>
      </c>
      <c r="S191" s="97" t="s">
        <v>148</v>
      </c>
    </row>
    <row customHeight="true" ht="23.703703703703702" r="192">
      <c r="A192" s="93">
        <v>46048</v>
      </c>
      <c r="B192" s="79" t="s">
        <v>137</v>
      </c>
      <c r="C192" s="79"/>
      <c r="D192" s="94" cm="1">
        <f t="array" ref="D192:D192">_xlfn.XLOOKUP(B192&amp;S192,'净-价格-毛利'!A:A&amp;'净-价格-毛利'!B:B,'净-价格-毛利'!D:D,0)</f>
      </c>
      <c r="E192" s="81">
        <f t="shared" si="492"/>
      </c>
      <c r="F192" s="80" cm="1">
        <f t="array" ref="F192:F192">_xlfn.XLOOKUP(B192&amp;S192,'净-价格-毛利'!A:A&amp;'净-价格-毛利'!B:B,'净-价格-毛利'!C:C,0)</f>
      </c>
      <c r="G192" s="81"/>
      <c r="H192" s="81"/>
      <c r="I192" s="81">
        <f t="shared" si="121"/>
      </c>
      <c r="J192" s="81">
        <f>C192*F192-H192-I192</f>
      </c>
      <c r="K192" s="83">
        <f t="shared" si="248"/>
      </c>
      <c r="L192" s="81">
        <f>J192*7</f>
      </c>
      <c r="M192" s="81">
        <f>E192*7</f>
      </c>
      <c r="N192" s="83">
        <f t="shared" si="549"/>
      </c>
      <c r="O192" s="84"/>
      <c r="P192" s="84">
        <f t="shared" si="435"/>
      </c>
      <c r="Q192" s="85">
        <f t="shared" si="607"/>
      </c>
      <c r="R192" s="85"/>
      <c r="S192" s="96"/>
    </row>
    <row customHeight="true" ht="23.703703703703702" r="193">
      <c r="A193" s="93">
        <v>46048</v>
      </c>
      <c r="B193" s="79" t="s">
        <v>111</v>
      </c>
      <c r="C193" s="79">
        <f>SUM(C187:C192)</f>
      </c>
      <c r="D193" s="89"/>
      <c r="E193" s="81">
        <f>SUM(E187:E192)</f>
      </c>
      <c r="F193" s="82">
        <f>SUM(F187:F191)</f>
      </c>
      <c r="G193" s="81"/>
      <c r="H193" s="81"/>
      <c r="I193" s="81"/>
      <c r="J193" s="81">
        <f>SUM(J187:J192)</f>
      </c>
      <c r="K193" s="83">
        <f t="shared" si="248"/>
      </c>
      <c r="L193" s="81">
        <f>SUM(L187:L192)</f>
      </c>
      <c r="M193" s="81">
        <f>SUM(M187:M192)</f>
      </c>
      <c r="N193" s="83"/>
      <c r="O193" s="95">
        <f>SUM(O187:O191)</f>
      </c>
      <c r="P193" s="95">
        <f t="shared" si="435"/>
      </c>
      <c r="Q193" s="85">
        <f t="shared" si="607"/>
      </c>
      <c r="R193" s="85"/>
      <c r="S193" s="89"/>
    </row>
    <row customHeight="true" ht="23.703703703703702" r="194">
      <c r="B194" s="77" t="s">
        <v>138</v>
      </c>
    </row>
    <row customHeight="true" ht="23.703703703703702" r="195">
      <c r="A195" s="71" t="s">
        <v>152</v>
      </c>
      <c r="B195" s="72" t="s">
        <v>112</v>
      </c>
      <c r="C195" s="90" t="s">
        <v>113</v>
      </c>
      <c r="D195" s="72" t="s">
        <v>114</v>
      </c>
      <c r="E195" s="73" t="s">
        <v>115</v>
      </c>
      <c r="F195" s="74" t="s">
        <v>116</v>
      </c>
      <c r="G195" s="73" t="s">
        <v>117</v>
      </c>
      <c r="H195" s="91" t="s">
        <v>118</v>
      </c>
      <c r="I195" s="73" t="s">
        <v>119</v>
      </c>
      <c r="J195" s="73" t="s">
        <v>116</v>
      </c>
      <c r="K195" s="75" t="s">
        <v>120</v>
      </c>
      <c r="L195" s="73" t="s">
        <v>121</v>
      </c>
      <c r="M195" s="73" t="s">
        <v>122</v>
      </c>
      <c r="N195" s="72" t="s">
        <v>123</v>
      </c>
      <c r="O195" s="92" t="s">
        <v>124</v>
      </c>
      <c r="P195" s="76" t="s">
        <v>125</v>
      </c>
      <c r="Q195" s="75" t="s">
        <v>126</v>
      </c>
      <c r="R195" s="75" t="s">
        <v>127</v>
      </c>
      <c r="S195" s="75" t="s">
        <v>140</v>
      </c>
    </row>
    <row customHeight="true" ht="23.703703703703702" r="196">
      <c r="A196" s="93">
        <v>46049</v>
      </c>
      <c r="B196" s="79" t="s">
        <v>130</v>
      </c>
      <c r="C196" s="79">
        <v>2</v>
      </c>
      <c r="D196" s="94" cm="1">
        <f t="array" ref="D196:D196">_xlfn.XLOOKUP(B196&amp;S196,'净-价格-毛利'!A:A&amp;'净-价格-毛利'!B:B,'净-价格-毛利'!D:D,0)</f>
      </c>
      <c r="E196" s="81">
        <f t="shared" ref="E196:E201" si="493">C196*D196</f>
      </c>
      <c r="F196" s="80" cm="1">
        <f t="array" ref="F196:F196">_xlfn.XLOOKUP(B196&amp;S196,'净-价格-毛利'!A:A&amp;'净-价格-毛利'!B:B,'净-价格-毛利'!C:C,0)</f>
      </c>
      <c r="G196" s="81">
        <f t="shared" ref="G196:G200" si="6">C196*5</f>
      </c>
      <c r="H196" s="81">
        <v>125.3</v>
      </c>
      <c r="I196" s="81">
        <f t="shared" ref="I196:I201" si="122">E196*0.025</f>
      </c>
      <c r="J196" s="81">
        <f t="shared" ref="J196:J200" si="180">F196*C196+G196-H196-I196</f>
      </c>
      <c r="K196" s="83">
        <f t="shared" ref="K196:K202" si="249">IFERROR(J196/E196,0)</f>
      </c>
      <c r="L196" s="81">
        <f t="shared" ref="L196:L199" si="318">J196*8</f>
      </c>
      <c r="M196" s="81">
        <f t="shared" ref="M196:M199" si="377">E196*8</f>
      </c>
      <c r="N196" s="83">
        <f t="shared" ref="N196:N201" si="550">IFERROR(H196/E196,0)</f>
      </c>
      <c r="O196" s="95">
        <v>1</v>
      </c>
      <c r="P196" s="95">
        <f t="shared" ref="P196:P202" si="436">C196-O196</f>
      </c>
      <c r="Q196" s="85">
        <f t="shared" ref="Q196:Q202" si="608">IFERROR(O196/C196,0)</f>
      </c>
      <c r="R196" s="85">
        <f t="shared" ref="R196:R200" si="63">IFERROR(H196/(E196*Q196),0)</f>
      </c>
      <c r="S196" s="97" t="s">
        <v>149</v>
      </c>
    </row>
    <row customHeight="true" ht="23.703703703703702" r="197">
      <c r="A197" s="93">
        <v>46049</v>
      </c>
      <c r="B197" s="79" t="s">
        <v>131</v>
      </c>
      <c r="C197" s="79">
        <v>4</v>
      </c>
      <c r="D197" s="94" cm="1">
        <f t="array" ref="D197:D197">_xlfn.XLOOKUP(B197&amp;S197,'净-价格-毛利'!A:A&amp;'净-价格-毛利'!B:B,'净-价格-毛利'!D:D,0)</f>
      </c>
      <c r="E197" s="81">
        <f t="shared" si="493"/>
      </c>
      <c r="F197" s="80" cm="1">
        <f t="array" ref="F197:F197">_xlfn.XLOOKUP(B197&amp;S197,'净-价格-毛利'!A:A&amp;'净-价格-毛利'!B:B,'净-价格-毛利'!C:C,0)</f>
      </c>
      <c r="G197" s="81">
        <f t="shared" si="6"/>
      </c>
      <c r="H197" s="81">
        <v>40.28</v>
      </c>
      <c r="I197" s="81">
        <f t="shared" si="122"/>
      </c>
      <c r="J197" s="81">
        <f t="shared" si="180"/>
      </c>
      <c r="K197" s="83">
        <f t="shared" si="249"/>
      </c>
      <c r="L197" s="81">
        <f t="shared" si="318"/>
      </c>
      <c r="M197" s="81">
        <f t="shared" si="377"/>
      </c>
      <c r="N197" s="83">
        <f t="shared" si="550"/>
      </c>
      <c r="O197" s="95">
        <v>3</v>
      </c>
      <c r="P197" s="95">
        <f t="shared" si="436"/>
      </c>
      <c r="Q197" s="85">
        <f t="shared" si="608"/>
      </c>
      <c r="R197" s="85">
        <f t="shared" si="63"/>
      </c>
      <c r="S197" s="97" t="s">
        <v>149</v>
      </c>
    </row>
    <row customHeight="true" ht="23.703703703703702" r="198">
      <c r="A198" s="93">
        <v>46049</v>
      </c>
      <c r="B198" s="79" t="s">
        <v>133</v>
      </c>
      <c r="C198" s="79">
        <v>2</v>
      </c>
      <c r="D198" s="94" cm="1">
        <f t="array" ref="D198:D198">_xlfn.XLOOKUP(B198&amp;S198,'净-价格-毛利'!A:A&amp;'净-价格-毛利'!B:B,'净-价格-毛利'!D:D,0)</f>
      </c>
      <c r="E198" s="81">
        <f t="shared" si="493"/>
      </c>
      <c r="F198" s="80" cm="1">
        <f t="array" ref="F198:F198">_xlfn.XLOOKUP(B198&amp;S198,'净-价格-毛利'!A:A&amp;'净-价格-毛利'!B:B,'净-价格-毛利'!C:C,0)</f>
      </c>
      <c r="G198" s="81">
        <f t="shared" si="6"/>
      </c>
      <c r="H198" s="81">
        <v>96.5</v>
      </c>
      <c r="I198" s="81">
        <f t="shared" si="122"/>
      </c>
      <c r="J198" s="81">
        <f t="shared" si="180"/>
      </c>
      <c r="K198" s="83">
        <f t="shared" si="249"/>
      </c>
      <c r="L198" s="81">
        <f t="shared" si="318"/>
      </c>
      <c r="M198" s="81">
        <f t="shared" si="377"/>
      </c>
      <c r="N198" s="83">
        <f t="shared" si="550"/>
      </c>
      <c r="O198" s="95">
        <v>1</v>
      </c>
      <c r="P198" s="95">
        <f t="shared" si="436"/>
      </c>
      <c r="Q198" s="85">
        <f t="shared" si="608"/>
      </c>
      <c r="R198" s="85">
        <f t="shared" si="63"/>
      </c>
      <c r="S198" s="97" t="s">
        <v>150</v>
      </c>
    </row>
    <row customHeight="true" ht="23.703703703703702" r="199">
      <c r="A199" s="93">
        <v>46049</v>
      </c>
      <c r="B199" s="79" t="s">
        <v>134</v>
      </c>
      <c r="C199" s="79">
        <v>1</v>
      </c>
      <c r="D199" s="94" cm="1">
        <f t="array" ref="D199:D199">_xlfn.XLOOKUP(B199&amp;S199,'净-价格-毛利'!A:A&amp;'净-价格-毛利'!B:B,'净-价格-毛利'!D:D,0)</f>
      </c>
      <c r="E199" s="81">
        <f t="shared" si="493"/>
      </c>
      <c r="F199" s="80" cm="1">
        <f t="array" ref="F199:F199">_xlfn.XLOOKUP(B199&amp;S199,'净-价格-毛利'!A:A&amp;'净-价格-毛利'!B:B,'净-价格-毛利'!C:C,0)</f>
      </c>
      <c r="G199" s="81">
        <f t="shared" si="6"/>
      </c>
      <c r="H199" s="81">
        <v>78.98</v>
      </c>
      <c r="I199" s="81">
        <f t="shared" si="122"/>
      </c>
      <c r="J199" s="81">
        <f t="shared" si="180"/>
      </c>
      <c r="K199" s="83">
        <f t="shared" si="249"/>
      </c>
      <c r="L199" s="81">
        <f t="shared" si="318"/>
      </c>
      <c r="M199" s="81">
        <f t="shared" si="377"/>
      </c>
      <c r="N199" s="83">
        <f t="shared" si="550"/>
      </c>
      <c r="O199" s="95">
        <v>2</v>
      </c>
      <c r="P199" s="95">
        <f t="shared" si="436"/>
      </c>
      <c r="Q199" s="85">
        <f t="shared" si="608"/>
      </c>
      <c r="R199" s="85">
        <f t="shared" si="63"/>
      </c>
      <c r="S199" s="97" t="s">
        <v>151</v>
      </c>
    </row>
    <row customHeight="true" ht="23.703703703703702" r="200">
      <c r="A200" s="93">
        <v>46049</v>
      </c>
      <c r="B200" s="79" t="s">
        <v>136</v>
      </c>
      <c r="C200" s="79">
        <v>1</v>
      </c>
      <c r="D200" s="94" cm="1">
        <f t="array" ref="D200:D200">_xlfn.XLOOKUP(B200&amp;S200,'净-价格-毛利'!A:A&amp;'净-价格-毛利'!B:B,'净-价格-毛利'!D:D,0)</f>
      </c>
      <c r="E200" s="81">
        <f t="shared" si="493"/>
      </c>
      <c r="F200" s="80" cm="1">
        <f t="array" ref="F200:F200">_xlfn.XLOOKUP(B200&amp;S200,'净-价格-毛利'!A:A&amp;'净-价格-毛利'!B:B,'净-价格-毛利'!C:C,0)</f>
      </c>
      <c r="G200" s="81">
        <f t="shared" si="6"/>
      </c>
      <c r="H200" s="81">
        <v>10.13</v>
      </c>
      <c r="I200" s="81">
        <f t="shared" si="122"/>
      </c>
      <c r="J200" s="81">
        <f t="shared" si="180"/>
      </c>
      <c r="K200" s="83">
        <f t="shared" si="249"/>
      </c>
      <c r="L200" s="81">
        <f>J200*9</f>
      </c>
      <c r="M200" s="81">
        <f>E200*9</f>
      </c>
      <c r="N200" s="83">
        <f t="shared" si="550"/>
      </c>
      <c r="O200" s="95">
        <v>0</v>
      </c>
      <c r="P200" s="95">
        <f t="shared" si="436"/>
      </c>
      <c r="Q200" s="85">
        <f t="shared" si="608"/>
      </c>
      <c r="R200" s="85">
        <f t="shared" si="63"/>
      </c>
      <c r="S200" s="97" t="s">
        <v>148</v>
      </c>
    </row>
    <row customHeight="true" ht="23.703703703703702" r="201">
      <c r="A201" s="93">
        <v>46049</v>
      </c>
      <c r="B201" s="79" t="s">
        <v>137</v>
      </c>
      <c r="C201" s="79"/>
      <c r="D201" s="94" cm="1">
        <f t="array" ref="D201:D201">_xlfn.XLOOKUP(B201&amp;S201,'净-价格-毛利'!A:A&amp;'净-价格-毛利'!B:B,'净-价格-毛利'!D:D,0)</f>
      </c>
      <c r="E201" s="81">
        <f t="shared" si="493"/>
      </c>
      <c r="F201" s="80" cm="1">
        <f t="array" ref="F201:F201">_xlfn.XLOOKUP(B201&amp;S201,'净-价格-毛利'!A:A&amp;'净-价格-毛利'!B:B,'净-价格-毛利'!C:C,0)</f>
      </c>
      <c r="G201" s="81"/>
      <c r="H201" s="81"/>
      <c r="I201" s="81">
        <f t="shared" si="122"/>
      </c>
      <c r="J201" s="81">
        <f>C201*F201-H201-I201</f>
      </c>
      <c r="K201" s="83">
        <f t="shared" si="249"/>
      </c>
      <c r="L201" s="81">
        <f>J201*7</f>
      </c>
      <c r="M201" s="81">
        <f>E201*7</f>
      </c>
      <c r="N201" s="83">
        <f t="shared" si="550"/>
      </c>
      <c r="O201" s="84"/>
      <c r="P201" s="84">
        <f t="shared" si="436"/>
      </c>
      <c r="Q201" s="85">
        <f t="shared" si="608"/>
      </c>
      <c r="R201" s="85"/>
      <c r="S201" s="96"/>
    </row>
    <row customHeight="true" ht="23.703703703703702" r="202">
      <c r="A202" s="93">
        <v>46049</v>
      </c>
      <c r="B202" s="79" t="s">
        <v>111</v>
      </c>
      <c r="C202" s="79">
        <f>SUM(C196:C201)</f>
      </c>
      <c r="D202" s="89"/>
      <c r="E202" s="81">
        <f>SUM(E196:E201)</f>
      </c>
      <c r="F202" s="82">
        <f>SUM(F196:F200)</f>
      </c>
      <c r="G202" s="81"/>
      <c r="H202" s="81"/>
      <c r="I202" s="81"/>
      <c r="J202" s="81">
        <f>SUM(J196:J201)</f>
      </c>
      <c r="K202" s="83">
        <f t="shared" si="249"/>
      </c>
      <c r="L202" s="81">
        <f>SUM(L196:L201)</f>
      </c>
      <c r="M202" s="81">
        <f>SUM(M196:M201)</f>
      </c>
      <c r="N202" s="83"/>
      <c r="O202" s="95">
        <f>SUM(O196:O200)</f>
      </c>
      <c r="P202" s="95">
        <f t="shared" si="436"/>
      </c>
      <c r="Q202" s="85">
        <f t="shared" si="608"/>
      </c>
      <c r="R202" s="85"/>
      <c r="S202" s="89"/>
    </row>
    <row customHeight="true" ht="23.703703703703702" r="203">
      <c r="B203" s="77" t="s">
        <v>138</v>
      </c>
    </row>
    <row customHeight="true" ht="23.703703703703702" r="204">
      <c r="A204" s="71" t="s">
        <v>152</v>
      </c>
      <c r="B204" s="72" t="s">
        <v>112</v>
      </c>
      <c r="C204" s="90" t="s">
        <v>113</v>
      </c>
      <c r="D204" s="72" t="s">
        <v>114</v>
      </c>
      <c r="E204" s="73" t="s">
        <v>115</v>
      </c>
      <c r="F204" s="74" t="s">
        <v>116</v>
      </c>
      <c r="G204" s="73" t="s">
        <v>117</v>
      </c>
      <c r="H204" s="91" t="s">
        <v>118</v>
      </c>
      <c r="I204" s="73" t="s">
        <v>119</v>
      </c>
      <c r="J204" s="73" t="s">
        <v>116</v>
      </c>
      <c r="K204" s="75" t="s">
        <v>120</v>
      </c>
      <c r="L204" s="73" t="s">
        <v>121</v>
      </c>
      <c r="M204" s="73" t="s">
        <v>122</v>
      </c>
      <c r="N204" s="72" t="s">
        <v>123</v>
      </c>
      <c r="O204" s="92" t="s">
        <v>124</v>
      </c>
      <c r="P204" s="76" t="s">
        <v>125</v>
      </c>
      <c r="Q204" s="75" t="s">
        <v>126</v>
      </c>
      <c r="R204" s="75" t="s">
        <v>127</v>
      </c>
      <c r="S204" s="75" t="s">
        <v>140</v>
      </c>
    </row>
    <row customHeight="true" ht="23.703703703703702" r="205">
      <c r="A205" s="93">
        <v>46050</v>
      </c>
      <c r="B205" s="79" t="s">
        <v>130</v>
      </c>
      <c r="C205" s="79">
        <v>1</v>
      </c>
      <c r="D205" s="94" cm="1">
        <f t="array" ref="D205:D205">_xlfn.XLOOKUP(B205&amp;S205,'净-价格-毛利'!A:A&amp;'净-价格-毛利'!B:B,'净-价格-毛利'!D:D,0)</f>
      </c>
      <c r="E205" s="81">
        <f t="shared" ref="E205:E210" si="494">C205*D205</f>
      </c>
      <c r="F205" s="80" cm="1">
        <f t="array" ref="F205:F205">_xlfn.XLOOKUP(B205&amp;S205,'净-价格-毛利'!A:A&amp;'净-价格-毛利'!B:B,'净-价格-毛利'!C:C,0)</f>
      </c>
      <c r="G205" s="81">
        <f t="shared" ref="G205:G209" si="7">C205*5</f>
      </c>
      <c r="H205" s="81">
        <v>91.04</v>
      </c>
      <c r="I205" s="81">
        <f t="shared" ref="I205:I210" si="123">E205*0.025</f>
      </c>
      <c r="J205" s="81">
        <f t="shared" ref="J205:J209" si="181">F205*C205+G205-H205-I205</f>
      </c>
      <c r="K205" s="83">
        <f t="shared" ref="K205:K211" si="250">IFERROR(J205/E205,0)</f>
      </c>
      <c r="L205" s="81">
        <f t="shared" ref="L205:L208" si="319">J205*8</f>
      </c>
      <c r="M205" s="81">
        <f t="shared" ref="M205:M208" si="378">E205*8</f>
      </c>
      <c r="N205" s="83">
        <f t="shared" ref="N205:N210" si="551">IFERROR(H205/E205,0)</f>
      </c>
      <c r="O205" s="95">
        <v>1</v>
      </c>
      <c r="P205" s="95">
        <f t="shared" ref="P205:P211" si="437">C205-O205</f>
      </c>
      <c r="Q205" s="85">
        <f t="shared" ref="Q205:Q211" si="609">IFERROR(O205/C205,0)</f>
      </c>
      <c r="R205" s="85">
        <f t="shared" ref="R205:R209" si="64">IFERROR(H205/(E205*Q205),0)</f>
      </c>
      <c r="S205" s="97" t="s">
        <v>149</v>
      </c>
    </row>
    <row customHeight="true" ht="23.703703703703702" r="206">
      <c r="A206" s="93">
        <v>46050</v>
      </c>
      <c r="B206" s="79" t="s">
        <v>131</v>
      </c>
      <c r="C206" s="79">
        <v>3</v>
      </c>
      <c r="D206" s="94" cm="1">
        <f t="array" ref="D206:D206">_xlfn.XLOOKUP(B206&amp;S206,'净-价格-毛利'!A:A&amp;'净-价格-毛利'!B:B,'净-价格-毛利'!D:D,0)</f>
      </c>
      <c r="E206" s="81">
        <f t="shared" si="494"/>
      </c>
      <c r="F206" s="80" cm="1">
        <f t="array" ref="F206:F206">_xlfn.XLOOKUP(B206&amp;S206,'净-价格-毛利'!A:A&amp;'净-价格-毛利'!B:B,'净-价格-毛利'!C:C,0)</f>
      </c>
      <c r="G206" s="81">
        <f t="shared" si="7"/>
      </c>
      <c r="H206" s="81">
        <v>48.13</v>
      </c>
      <c r="I206" s="81">
        <f t="shared" si="123"/>
      </c>
      <c r="J206" s="81">
        <f t="shared" si="181"/>
      </c>
      <c r="K206" s="83">
        <f t="shared" si="250"/>
      </c>
      <c r="L206" s="81">
        <f t="shared" si="319"/>
      </c>
      <c r="M206" s="81">
        <f t="shared" si="378"/>
      </c>
      <c r="N206" s="83">
        <f t="shared" si="551"/>
      </c>
      <c r="O206" s="95">
        <v>1</v>
      </c>
      <c r="P206" s="95">
        <f t="shared" si="437"/>
      </c>
      <c r="Q206" s="85">
        <f t="shared" si="609"/>
      </c>
      <c r="R206" s="85">
        <f t="shared" si="64"/>
      </c>
      <c r="S206" s="97" t="s">
        <v>149</v>
      </c>
    </row>
    <row customHeight="true" ht="23.703703703703702" r="207">
      <c r="A207" s="93">
        <v>46050</v>
      </c>
      <c r="B207" s="79" t="s">
        <v>133</v>
      </c>
      <c r="C207" s="79">
        <v>1</v>
      </c>
      <c r="D207" s="94" cm="1">
        <f t="array" ref="D207:D207">_xlfn.XLOOKUP(B207&amp;S207,'净-价格-毛利'!A:A&amp;'净-价格-毛利'!B:B,'净-价格-毛利'!D:D,0)</f>
      </c>
      <c r="E207" s="81">
        <f t="shared" si="494"/>
      </c>
      <c r="F207" s="80" cm="1">
        <f t="array" ref="F207:F207">_xlfn.XLOOKUP(B207&amp;S207,'净-价格-毛利'!A:A&amp;'净-价格-毛利'!B:B,'净-价格-毛利'!C:C,0)</f>
      </c>
      <c r="G207" s="81">
        <f t="shared" si="7"/>
      </c>
      <c r="H207" s="81">
        <v>67.63</v>
      </c>
      <c r="I207" s="81">
        <f t="shared" si="123"/>
      </c>
      <c r="J207" s="81">
        <f t="shared" si="181"/>
      </c>
      <c r="K207" s="83">
        <f t="shared" si="250"/>
      </c>
      <c r="L207" s="81">
        <f t="shared" si="319"/>
      </c>
      <c r="M207" s="81">
        <f t="shared" si="378"/>
      </c>
      <c r="N207" s="83">
        <f t="shared" si="551"/>
      </c>
      <c r="O207" s="95">
        <v>0</v>
      </c>
      <c r="P207" s="95">
        <f t="shared" si="437"/>
      </c>
      <c r="Q207" s="85">
        <f t="shared" si="609"/>
      </c>
      <c r="R207" s="85">
        <f t="shared" si="64"/>
      </c>
      <c r="S207" s="97" t="s">
        <v>150</v>
      </c>
    </row>
    <row customHeight="true" ht="23.703703703703702" r="208">
      <c r="A208" s="93">
        <v>46050</v>
      </c>
      <c r="B208" s="79" t="s">
        <v>134</v>
      </c>
      <c r="C208" s="79">
        <v>7</v>
      </c>
      <c r="D208" s="94" cm="1">
        <f t="array" ref="D208:D208">_xlfn.XLOOKUP(B208&amp;S208,'净-价格-毛利'!A:A&amp;'净-价格-毛利'!B:B,'净-价格-毛利'!D:D,0)</f>
      </c>
      <c r="E208" s="81">
        <f t="shared" si="494"/>
      </c>
      <c r="F208" s="80" cm="1">
        <f t="array" ref="F208:F208">_xlfn.XLOOKUP(B208&amp;S208,'净-价格-毛利'!A:A&amp;'净-价格-毛利'!B:B,'净-价格-毛利'!C:C,0)</f>
      </c>
      <c r="G208" s="81">
        <f t="shared" si="7"/>
      </c>
      <c r="H208" s="81">
        <v>52.44</v>
      </c>
      <c r="I208" s="81">
        <f t="shared" si="123"/>
      </c>
      <c r="J208" s="81">
        <f t="shared" si="181"/>
      </c>
      <c r="K208" s="83">
        <f t="shared" si="250"/>
      </c>
      <c r="L208" s="81">
        <f t="shared" si="319"/>
      </c>
      <c r="M208" s="81">
        <f t="shared" si="378"/>
      </c>
      <c r="N208" s="83">
        <f t="shared" si="551"/>
      </c>
      <c r="O208" s="95">
        <v>3</v>
      </c>
      <c r="P208" s="95">
        <f t="shared" si="437"/>
      </c>
      <c r="Q208" s="85">
        <f t="shared" si="609"/>
      </c>
      <c r="R208" s="85">
        <f t="shared" si="64"/>
      </c>
      <c r="S208" s="97" t="s">
        <v>151</v>
      </c>
    </row>
    <row customHeight="true" ht="23.703703703703702" r="209">
      <c r="A209" s="93">
        <v>46050</v>
      </c>
      <c r="B209" s="79" t="s">
        <v>136</v>
      </c>
      <c r="C209" s="79">
        <v>2</v>
      </c>
      <c r="D209" s="94" cm="1">
        <f t="array" ref="D209:D209">_xlfn.XLOOKUP(B209&amp;S209,'净-价格-毛利'!A:A&amp;'净-价格-毛利'!B:B,'净-价格-毛利'!D:D,0)</f>
      </c>
      <c r="E209" s="81">
        <f t="shared" si="494"/>
      </c>
      <c r="F209" s="80" cm="1">
        <f t="array" ref="F209:F209">_xlfn.XLOOKUP(B209&amp;S209,'净-价格-毛利'!A:A&amp;'净-价格-毛利'!B:B,'净-价格-毛利'!C:C,0)</f>
      </c>
      <c r="G209" s="81">
        <f t="shared" si="7"/>
      </c>
      <c r="H209" s="81">
        <v>5.94</v>
      </c>
      <c r="I209" s="81">
        <f t="shared" si="123"/>
      </c>
      <c r="J209" s="81">
        <f t="shared" si="181"/>
      </c>
      <c r="K209" s="83">
        <f t="shared" si="250"/>
      </c>
      <c r="L209" s="81">
        <f>J209*9</f>
      </c>
      <c r="M209" s="81">
        <f>E209*9</f>
      </c>
      <c r="N209" s="83">
        <f t="shared" si="551"/>
      </c>
      <c r="O209" s="95">
        <v>1</v>
      </c>
      <c r="P209" s="95">
        <f t="shared" si="437"/>
      </c>
      <c r="Q209" s="85">
        <f t="shared" si="609"/>
      </c>
      <c r="R209" s="85">
        <f t="shared" si="64"/>
      </c>
      <c r="S209" s="97" t="s">
        <v>148</v>
      </c>
    </row>
    <row customHeight="true" ht="23.703703703703702" r="210">
      <c r="A210" s="93">
        <v>46050</v>
      </c>
      <c r="B210" s="79" t="s">
        <v>137</v>
      </c>
      <c r="C210" s="79"/>
      <c r="D210" s="94" cm="1">
        <f t="array" ref="D210:D210">_xlfn.XLOOKUP(B210&amp;S210,'净-价格-毛利'!A:A&amp;'净-价格-毛利'!B:B,'净-价格-毛利'!D:D,0)</f>
      </c>
      <c r="E210" s="81">
        <f t="shared" si="494"/>
      </c>
      <c r="F210" s="80" cm="1">
        <f t="array" ref="F210:F210">_xlfn.XLOOKUP(B210&amp;S210,'净-价格-毛利'!A:A&amp;'净-价格-毛利'!B:B,'净-价格-毛利'!C:C,0)</f>
      </c>
      <c r="G210" s="81"/>
      <c r="H210" s="81"/>
      <c r="I210" s="81">
        <f t="shared" si="123"/>
      </c>
      <c r="J210" s="81">
        <f>C210*F210-H210-I210</f>
      </c>
      <c r="K210" s="83">
        <f t="shared" si="250"/>
      </c>
      <c r="L210" s="81">
        <f>J210*7</f>
      </c>
      <c r="M210" s="81">
        <f>E210*7</f>
      </c>
      <c r="N210" s="83">
        <f t="shared" si="551"/>
      </c>
      <c r="O210" s="84"/>
      <c r="P210" s="84">
        <f t="shared" si="437"/>
      </c>
      <c r="Q210" s="85">
        <f t="shared" si="609"/>
      </c>
      <c r="R210" s="85"/>
      <c r="S210" s="96"/>
    </row>
    <row customHeight="true" ht="23.703703703703702" r="211">
      <c r="A211" s="93">
        <v>46050</v>
      </c>
      <c r="B211" s="79" t="s">
        <v>111</v>
      </c>
      <c r="C211" s="79">
        <f>SUM(C205:C210)</f>
      </c>
      <c r="D211" s="89"/>
      <c r="E211" s="81">
        <f>SUM(E205:E210)</f>
      </c>
      <c r="F211" s="82">
        <f>SUM(F205:F209)</f>
      </c>
      <c r="G211" s="81"/>
      <c r="H211" s="81"/>
      <c r="I211" s="81"/>
      <c r="J211" s="81">
        <f>SUM(J205:J210)</f>
      </c>
      <c r="K211" s="83">
        <f t="shared" si="250"/>
      </c>
      <c r="L211" s="81">
        <f>SUM(L205:L210)</f>
      </c>
      <c r="M211" s="81">
        <f>SUM(M205:M210)</f>
      </c>
      <c r="N211" s="83"/>
      <c r="O211" s="95">
        <f>SUM(O205:O209)</f>
      </c>
      <c r="P211" s="95">
        <f t="shared" si="437"/>
      </c>
      <c r="Q211" s="85">
        <f t="shared" si="609"/>
      </c>
      <c r="R211" s="85"/>
      <c r="S211" s="89"/>
    </row>
    <row customHeight="true" ht="23.703703703703702" r="212">
      <c r="B212" s="77" t="s">
        <v>138</v>
      </c>
    </row>
    <row customHeight="true" ht="23.703703703703702" r="213">
      <c r="A213" s="71" t="s">
        <v>152</v>
      </c>
      <c r="B213" s="72" t="s">
        <v>112</v>
      </c>
      <c r="C213" s="90" t="s">
        <v>113</v>
      </c>
      <c r="D213" s="72" t="s">
        <v>114</v>
      </c>
      <c r="E213" s="73" t="s">
        <v>115</v>
      </c>
      <c r="F213" s="74" t="s">
        <v>116</v>
      </c>
      <c r="G213" s="73" t="s">
        <v>117</v>
      </c>
      <c r="H213" s="91" t="s">
        <v>118</v>
      </c>
      <c r="I213" s="73" t="s">
        <v>119</v>
      </c>
      <c r="J213" s="73" t="s">
        <v>116</v>
      </c>
      <c r="K213" s="75" t="s">
        <v>120</v>
      </c>
      <c r="L213" s="73" t="s">
        <v>121</v>
      </c>
      <c r="M213" s="73" t="s">
        <v>122</v>
      </c>
      <c r="N213" s="72" t="s">
        <v>123</v>
      </c>
      <c r="O213" s="92" t="s">
        <v>124</v>
      </c>
      <c r="P213" s="76" t="s">
        <v>125</v>
      </c>
      <c r="Q213" s="75" t="s">
        <v>126</v>
      </c>
      <c r="R213" s="75" t="s">
        <v>127</v>
      </c>
      <c r="S213" s="75" t="s">
        <v>140</v>
      </c>
    </row>
    <row customHeight="true" ht="23.703703703703702" r="214">
      <c r="A214" s="93">
        <v>46051</v>
      </c>
      <c r="B214" s="79" t="s">
        <v>130</v>
      </c>
      <c r="C214" s="79">
        <v>3</v>
      </c>
      <c r="D214" s="94" cm="1">
        <f t="array" ref="D214:D214">_xlfn.XLOOKUP(B214&amp;S214,'净-价格-毛利'!A:A&amp;'净-价格-毛利'!B:B,'净-价格-毛利'!D:D,0)</f>
      </c>
      <c r="E214" s="81">
        <f t="shared" ref="E214:E219" si="495">C214*D214</f>
      </c>
      <c r="F214" s="80" cm="1">
        <f t="array" ref="F214:F214">_xlfn.XLOOKUP(B214&amp;S214,'净-价格-毛利'!A:A&amp;'净-价格-毛利'!B:B,'净-价格-毛利'!C:C,0)</f>
      </c>
      <c r="G214" s="81">
        <f t="shared" ref="G214:G218" si="8">C214*5</f>
      </c>
      <c r="H214" s="81">
        <v>118.29</v>
      </c>
      <c r="I214" s="81">
        <f t="shared" ref="I214:I219" si="124">E214*0.025</f>
      </c>
      <c r="J214" s="81">
        <f t="shared" ref="J214:J218" si="182">F214*C214+G214-H214-I214</f>
      </c>
      <c r="K214" s="83">
        <f t="shared" ref="K214:K220" si="251">IFERROR(J214/E214,0)</f>
      </c>
      <c r="L214" s="81">
        <f t="shared" ref="L214:L217" si="320">J214*8</f>
      </c>
      <c r="M214" s="81">
        <f t="shared" ref="M214:M217" si="379">E214*8</f>
      </c>
      <c r="N214" s="83">
        <f t="shared" ref="N214:N219" si="552">IFERROR(H214/E214,0)</f>
      </c>
      <c r="O214" s="95">
        <v>4</v>
      </c>
      <c r="P214" s="95">
        <f t="shared" ref="P214:P220" si="438">C214-O214</f>
      </c>
      <c r="Q214" s="85">
        <f t="shared" ref="Q214:Q220" si="610">IFERROR(O214/C214,0)</f>
      </c>
      <c r="R214" s="85">
        <f t="shared" ref="R214:R218" si="65">IFERROR(H214/(E214*Q214),0)</f>
      </c>
      <c r="S214" s="97" t="s">
        <v>149</v>
      </c>
    </row>
    <row customHeight="true" ht="23.703703703703702" r="215">
      <c r="A215" s="93">
        <v>46051</v>
      </c>
      <c r="B215" s="79" t="s">
        <v>131</v>
      </c>
      <c r="C215" s="79">
        <v>3</v>
      </c>
      <c r="D215" s="94" cm="1">
        <f t="array" ref="D215:D215">_xlfn.XLOOKUP(B215&amp;S215,'净-价格-毛利'!A:A&amp;'净-价格-毛利'!B:B,'净-价格-毛利'!D:D,0)</f>
      </c>
      <c r="E215" s="81">
        <f t="shared" si="495"/>
      </c>
      <c r="F215" s="80" cm="1">
        <f t="array" ref="F215:F215">_xlfn.XLOOKUP(B215&amp;S215,'净-价格-毛利'!A:A&amp;'净-价格-毛利'!B:B,'净-价格-毛利'!C:C,0)</f>
      </c>
      <c r="G215" s="81">
        <f t="shared" si="8"/>
      </c>
      <c r="H215" s="81">
        <v>62.06</v>
      </c>
      <c r="I215" s="81">
        <f t="shared" si="124"/>
      </c>
      <c r="J215" s="81">
        <f t="shared" si="182"/>
      </c>
      <c r="K215" s="83">
        <f t="shared" si="251"/>
      </c>
      <c r="L215" s="81">
        <f t="shared" si="320"/>
      </c>
      <c r="M215" s="81">
        <f t="shared" si="379"/>
      </c>
      <c r="N215" s="83">
        <f t="shared" si="552"/>
      </c>
      <c r="O215" s="95">
        <v>3</v>
      </c>
      <c r="P215" s="95">
        <f t="shared" si="438"/>
      </c>
      <c r="Q215" s="85">
        <f t="shared" si="610"/>
      </c>
      <c r="R215" s="85">
        <f t="shared" si="65"/>
      </c>
      <c r="S215" s="97" t="s">
        <v>149</v>
      </c>
    </row>
    <row customHeight="true" ht="23.703703703703702" r="216">
      <c r="A216" s="93">
        <v>46051</v>
      </c>
      <c r="B216" s="79" t="s">
        <v>133</v>
      </c>
      <c r="C216" s="79">
        <v>9</v>
      </c>
      <c r="D216" s="94" cm="1">
        <f t="array" ref="D216:D216">_xlfn.XLOOKUP(B216&amp;S216,'净-价格-毛利'!A:A&amp;'净-价格-毛利'!B:B,'净-价格-毛利'!D:D,0)</f>
      </c>
      <c r="E216" s="81">
        <f t="shared" si="495"/>
      </c>
      <c r="F216" s="80" cm="1">
        <f t="array" ref="F216:F216">_xlfn.XLOOKUP(B216&amp;S216,'净-价格-毛利'!A:A&amp;'净-价格-毛利'!B:B,'净-价格-毛利'!C:C,0)</f>
      </c>
      <c r="G216" s="81">
        <f t="shared" si="8"/>
      </c>
      <c r="H216" s="81">
        <v>71.71</v>
      </c>
      <c r="I216" s="81">
        <f t="shared" si="124"/>
      </c>
      <c r="J216" s="81">
        <f t="shared" si="182"/>
      </c>
      <c r="K216" s="83">
        <f t="shared" si="251"/>
      </c>
      <c r="L216" s="81">
        <f t="shared" si="320"/>
      </c>
      <c r="M216" s="81">
        <f t="shared" si="379"/>
      </c>
      <c r="N216" s="83">
        <f t="shared" si="552"/>
      </c>
      <c r="O216" s="95">
        <v>2</v>
      </c>
      <c r="P216" s="95">
        <f t="shared" si="438"/>
      </c>
      <c r="Q216" s="85">
        <f t="shared" si="610"/>
      </c>
      <c r="R216" s="85">
        <f t="shared" si="65"/>
      </c>
      <c r="S216" s="97" t="s">
        <v>145</v>
      </c>
    </row>
    <row customHeight="true" ht="23.703703703703702" r="217">
      <c r="A217" s="93">
        <v>46051</v>
      </c>
      <c r="B217" s="79" t="s">
        <v>134</v>
      </c>
      <c r="C217" s="79">
        <v>7</v>
      </c>
      <c r="D217" s="94" cm="1">
        <f t="array" ref="D217:D217">_xlfn.XLOOKUP(B217&amp;S217,'净-价格-毛利'!A:A&amp;'净-价格-毛利'!B:B,'净-价格-毛利'!D:D,0)</f>
      </c>
      <c r="E217" s="81">
        <f t="shared" si="495"/>
      </c>
      <c r="F217" s="80" cm="1">
        <f t="array" ref="F217:F217">_xlfn.XLOOKUP(B217&amp;S217,'净-价格-毛利'!A:A&amp;'净-价格-毛利'!B:B,'净-价格-毛利'!C:C,0)</f>
      </c>
      <c r="G217" s="81">
        <f t="shared" si="8"/>
      </c>
      <c r="H217" s="81">
        <v>34.89</v>
      </c>
      <c r="I217" s="81">
        <f t="shared" si="124"/>
      </c>
      <c r="J217" s="81">
        <f t="shared" si="182"/>
      </c>
      <c r="K217" s="83">
        <f t="shared" si="251"/>
      </c>
      <c r="L217" s="81">
        <f t="shared" si="320"/>
      </c>
      <c r="M217" s="81">
        <f t="shared" si="379"/>
      </c>
      <c r="N217" s="83">
        <f t="shared" si="552"/>
      </c>
      <c r="O217" s="95">
        <v>4</v>
      </c>
      <c r="P217" s="95">
        <f t="shared" si="438"/>
      </c>
      <c r="Q217" s="85">
        <f t="shared" si="610"/>
      </c>
      <c r="R217" s="85">
        <f t="shared" si="65"/>
      </c>
      <c r="S217" s="97" t="s">
        <v>145</v>
      </c>
    </row>
    <row customHeight="true" ht="23.703703703703702" r="218">
      <c r="A218" s="93">
        <v>46051</v>
      </c>
      <c r="B218" s="79" t="s">
        <v>136</v>
      </c>
      <c r="C218" s="79">
        <v>1</v>
      </c>
      <c r="D218" s="94" cm="1">
        <f t="array" ref="D218:D218">_xlfn.XLOOKUP(B218&amp;S218,'净-价格-毛利'!A:A&amp;'净-价格-毛利'!B:B,'净-价格-毛利'!D:D,0)</f>
      </c>
      <c r="E218" s="81">
        <f t="shared" si="495"/>
      </c>
      <c r="F218" s="80" cm="1">
        <f t="array" ref="F218:F218">_xlfn.XLOOKUP(B218&amp;S218,'净-价格-毛利'!A:A&amp;'净-价格-毛利'!B:B,'净-价格-毛利'!C:C,0)</f>
      </c>
      <c r="G218" s="81">
        <f t="shared" si="8"/>
      </c>
      <c r="H218" s="81">
        <v>10.5</v>
      </c>
      <c r="I218" s="81">
        <f t="shared" si="124"/>
      </c>
      <c r="J218" s="81">
        <f t="shared" si="182"/>
      </c>
      <c r="K218" s="83">
        <f t="shared" si="251"/>
      </c>
      <c r="L218" s="81">
        <f>J218*9</f>
      </c>
      <c r="M218" s="81">
        <f>E218*9</f>
      </c>
      <c r="N218" s="83">
        <f t="shared" si="552"/>
      </c>
      <c r="O218" s="95">
        <v>1</v>
      </c>
      <c r="P218" s="95">
        <f t="shared" si="438"/>
      </c>
      <c r="Q218" s="85">
        <f t="shared" si="610"/>
      </c>
      <c r="R218" s="85">
        <f t="shared" si="65"/>
      </c>
      <c r="S218" s="97" t="s">
        <v>148</v>
      </c>
    </row>
    <row customHeight="true" ht="23.703703703703702" r="219">
      <c r="A219" s="93">
        <v>46051</v>
      </c>
      <c r="B219" s="79" t="s">
        <v>137</v>
      </c>
      <c r="C219" s="79"/>
      <c r="D219" s="94" cm="1">
        <f t="array" ref="D219:D219">_xlfn.XLOOKUP(B219&amp;S219,'净-价格-毛利'!A:A&amp;'净-价格-毛利'!B:B,'净-价格-毛利'!D:D,0)</f>
      </c>
      <c r="E219" s="81">
        <f t="shared" si="495"/>
      </c>
      <c r="F219" s="80" cm="1">
        <f t="array" ref="F219:F219">_xlfn.XLOOKUP(B219&amp;S219,'净-价格-毛利'!A:A&amp;'净-价格-毛利'!B:B,'净-价格-毛利'!C:C,0)</f>
      </c>
      <c r="G219" s="81"/>
      <c r="H219" s="81"/>
      <c r="I219" s="81">
        <f t="shared" si="124"/>
      </c>
      <c r="J219" s="81">
        <f>C219*F219-H219-I219</f>
      </c>
      <c r="K219" s="83">
        <f t="shared" si="251"/>
      </c>
      <c r="L219" s="81">
        <f>J219*7</f>
      </c>
      <c r="M219" s="81">
        <f>E219*7</f>
      </c>
      <c r="N219" s="83">
        <f t="shared" si="552"/>
      </c>
      <c r="O219" s="84"/>
      <c r="P219" s="84">
        <f t="shared" si="438"/>
      </c>
      <c r="Q219" s="85">
        <f t="shared" si="610"/>
      </c>
      <c r="R219" s="85"/>
      <c r="S219" s="96"/>
    </row>
    <row customHeight="true" ht="23.703703703703702" r="220">
      <c r="A220" s="93">
        <v>46051</v>
      </c>
      <c r="B220" s="79" t="s">
        <v>111</v>
      </c>
      <c r="C220" s="79">
        <f>SUM(C214:C219)</f>
      </c>
      <c r="D220" s="89"/>
      <c r="E220" s="81">
        <f>SUM(E214:E219)</f>
      </c>
      <c r="F220" s="82">
        <f>SUM(F214:F218)</f>
      </c>
      <c r="G220" s="81"/>
      <c r="H220" s="81"/>
      <c r="I220" s="81"/>
      <c r="J220" s="81">
        <f>SUM(J214:J219)</f>
      </c>
      <c r="K220" s="83">
        <f t="shared" si="251"/>
      </c>
      <c r="L220" s="81">
        <f>SUM(L214:L219)</f>
      </c>
      <c r="M220" s="81">
        <f>SUM(M214:M219)</f>
      </c>
      <c r="N220" s="83"/>
      <c r="O220" s="95">
        <f>SUM(O214:O218)</f>
      </c>
      <c r="P220" s="95">
        <f t="shared" si="438"/>
      </c>
      <c r="Q220" s="85">
        <f t="shared" si="610"/>
      </c>
      <c r="R220" s="85"/>
      <c r="S220" s="89"/>
    </row>
    <row customHeight="true" ht="23.703703703703702" r="221">
      <c r="A221" s="98"/>
      <c r="B221" s="77" t="s">
        <v>138</v>
      </c>
      <c r="C221" s="77"/>
      <c r="E221" s="99"/>
      <c r="F221" s="100"/>
      <c r="G221" s="99"/>
      <c r="H221" s="99"/>
      <c r="I221" s="99"/>
      <c r="J221" s="99"/>
      <c r="K221" s="101"/>
      <c r="L221" s="102"/>
      <c r="M221" s="102"/>
      <c r="N221" s="103"/>
      <c r="O221" s="104"/>
      <c r="P221" s="104"/>
      <c r="Q221" s="103"/>
      <c r="R221" s="103"/>
    </row>
    <row customHeight="true" ht="23.703703703703702" r="222">
      <c r="A222" s="71" t="s">
        <v>152</v>
      </c>
      <c r="B222" s="72" t="s">
        <v>112</v>
      </c>
      <c r="C222" s="90" t="s">
        <v>113</v>
      </c>
      <c r="D222" s="72" t="s">
        <v>114</v>
      </c>
      <c r="E222" s="73" t="s">
        <v>115</v>
      </c>
      <c r="F222" s="74" t="s">
        <v>116</v>
      </c>
      <c r="G222" s="73" t="s">
        <v>117</v>
      </c>
      <c r="H222" s="91" t="s">
        <v>118</v>
      </c>
      <c r="I222" s="73" t="s">
        <v>119</v>
      </c>
      <c r="J222" s="73" t="s">
        <v>116</v>
      </c>
      <c r="K222" s="75" t="s">
        <v>120</v>
      </c>
      <c r="L222" s="73" t="s">
        <v>121</v>
      </c>
      <c r="M222" s="73" t="s">
        <v>122</v>
      </c>
      <c r="N222" s="72" t="s">
        <v>123</v>
      </c>
      <c r="O222" s="92" t="s">
        <v>124</v>
      </c>
      <c r="P222" s="76" t="s">
        <v>125</v>
      </c>
      <c r="Q222" s="75" t="s">
        <v>126</v>
      </c>
      <c r="R222" s="75" t="s">
        <v>127</v>
      </c>
      <c r="S222" s="75" t="s">
        <v>140</v>
      </c>
    </row>
    <row customHeight="true" ht="23.703703703703702" r="223">
      <c r="A223" s="93">
        <v>46052</v>
      </c>
      <c r="B223" s="79" t="s">
        <v>130</v>
      </c>
      <c r="C223" s="79">
        <v>3</v>
      </c>
      <c r="D223" s="94" cm="1">
        <f t="array" ref="D223:D223">_xlfn.XLOOKUP(B223&amp;S223,'净-价格-毛利'!A:A&amp;'净-价格-毛利'!B:B,'净-价格-毛利'!D:D,0)</f>
      </c>
      <c r="E223" s="81">
        <f t="shared" ref="E223:E228" si="496">C223*D223</f>
      </c>
      <c r="F223" s="80" cm="1">
        <f t="array" ref="F223:F223">_xlfn.XLOOKUP(B223&amp;S223,'净-价格-毛利'!A:A&amp;'净-价格-毛利'!B:B,'净-价格-毛利'!C:C,0)</f>
      </c>
      <c r="G223" s="81">
        <f t="shared" ref="G223:G227" si="9">C223*5</f>
      </c>
      <c r="H223" s="81">
        <v>73.38</v>
      </c>
      <c r="I223" s="81">
        <f t="shared" ref="I223:I228" si="125">E223*0.025</f>
      </c>
      <c r="J223" s="81">
        <f t="shared" ref="J223:J227" si="183">F223*C223+G223-H223-I223</f>
      </c>
      <c r="K223" s="83">
        <f t="shared" ref="K223:K229" si="252">IFERROR(J223/E223,0)</f>
      </c>
      <c r="L223" s="81">
        <f t="shared" ref="L223:L226" si="321">J223*8</f>
      </c>
      <c r="M223" s="81">
        <f t="shared" ref="M223:M226" si="380">E223*8</f>
      </c>
      <c r="N223" s="83">
        <f t="shared" ref="N223:N228" si="553">IFERROR(H223/E223,0)</f>
      </c>
      <c r="O223" s="95">
        <v>3</v>
      </c>
      <c r="P223" s="95">
        <f t="shared" ref="P223:P229" si="439">C223-O223</f>
      </c>
      <c r="Q223" s="85">
        <f t="shared" ref="Q223:Q229" si="611">IFERROR(O223/C223,0)</f>
      </c>
      <c r="R223" s="85">
        <f t="shared" ref="R223:R227" si="66">IFERROR(H223/(E223*Q223),0)</f>
      </c>
      <c r="S223" s="97" t="s">
        <v>149</v>
      </c>
    </row>
    <row customHeight="true" ht="23.703703703703702" r="224">
      <c r="A224" s="93">
        <v>46052</v>
      </c>
      <c r="B224" s="79" t="s">
        <v>131</v>
      </c>
      <c r="C224" s="79">
        <v>2</v>
      </c>
      <c r="D224" s="94" cm="1">
        <f t="array" ref="D224:D224">_xlfn.XLOOKUP(B224&amp;S224,'净-价格-毛利'!A:A&amp;'净-价格-毛利'!B:B,'净-价格-毛利'!D:D,0)</f>
      </c>
      <c r="E224" s="81">
        <f t="shared" si="496"/>
      </c>
      <c r="F224" s="80" cm="1">
        <f t="array" ref="F224:F224">_xlfn.XLOOKUP(B224&amp;S224,'净-价格-毛利'!A:A&amp;'净-价格-毛利'!B:B,'净-价格-毛利'!C:C,0)</f>
      </c>
      <c r="G224" s="81">
        <f t="shared" si="9"/>
      </c>
      <c r="H224" s="81">
        <v>56.96</v>
      </c>
      <c r="I224" s="81">
        <f t="shared" si="125"/>
      </c>
      <c r="J224" s="81">
        <f t="shared" si="183"/>
      </c>
      <c r="K224" s="83">
        <f t="shared" si="252"/>
      </c>
      <c r="L224" s="81">
        <f t="shared" si="321"/>
      </c>
      <c r="M224" s="81">
        <f t="shared" si="380"/>
      </c>
      <c r="N224" s="83">
        <f t="shared" si="553"/>
      </c>
      <c r="O224" s="95">
        <v>2</v>
      </c>
      <c r="P224" s="95">
        <f t="shared" si="439"/>
      </c>
      <c r="Q224" s="85">
        <f t="shared" si="611"/>
      </c>
      <c r="R224" s="85">
        <f t="shared" si="66"/>
      </c>
      <c r="S224" s="97" t="s">
        <v>149</v>
      </c>
    </row>
    <row customHeight="true" ht="23.703703703703702" r="225">
      <c r="A225" s="93">
        <v>46052</v>
      </c>
      <c r="B225" s="79" t="s">
        <v>133</v>
      </c>
      <c r="C225" s="79">
        <v>3</v>
      </c>
      <c r="D225" s="94" cm="1">
        <f t="array" ref="D225:D225">_xlfn.XLOOKUP(B225&amp;S225,'净-价格-毛利'!A:A&amp;'净-价格-毛利'!B:B,'净-价格-毛利'!D:D,0)</f>
      </c>
      <c r="E225" s="81">
        <f t="shared" si="496"/>
      </c>
      <c r="F225" s="80" cm="1">
        <f t="array" ref="F225:F225">_xlfn.XLOOKUP(B225&amp;S225,'净-价格-毛利'!A:A&amp;'净-价格-毛利'!B:B,'净-价格-毛利'!C:C,0)</f>
      </c>
      <c r="G225" s="81">
        <f t="shared" si="9"/>
      </c>
      <c r="H225" s="81">
        <v>25.06</v>
      </c>
      <c r="I225" s="81">
        <f t="shared" si="125"/>
      </c>
      <c r="J225" s="81">
        <f t="shared" si="183"/>
      </c>
      <c r="K225" s="83">
        <f t="shared" si="252"/>
      </c>
      <c r="L225" s="81">
        <f t="shared" si="321"/>
      </c>
      <c r="M225" s="81">
        <f t="shared" si="380"/>
      </c>
      <c r="N225" s="83">
        <f t="shared" si="553"/>
      </c>
      <c r="O225" s="95">
        <v>1</v>
      </c>
      <c r="P225" s="95">
        <f t="shared" si="439"/>
      </c>
      <c r="Q225" s="85">
        <f t="shared" si="611"/>
      </c>
      <c r="R225" s="85">
        <f t="shared" si="66"/>
      </c>
      <c r="S225" s="97" t="s">
        <v>145</v>
      </c>
    </row>
    <row customHeight="true" ht="23.703703703703702" r="226">
      <c r="A226" s="93">
        <v>46052</v>
      </c>
      <c r="B226" s="79" t="s">
        <v>134</v>
      </c>
      <c r="C226" s="79">
        <v>2</v>
      </c>
      <c r="D226" s="94" cm="1">
        <f t="array" ref="D226:D226">_xlfn.XLOOKUP(B226&amp;S226,'净-价格-毛利'!A:A&amp;'净-价格-毛利'!B:B,'净-价格-毛利'!D:D,0)</f>
      </c>
      <c r="E226" s="81">
        <f t="shared" si="496"/>
      </c>
      <c r="F226" s="80" cm="1">
        <f t="array" ref="F226:F226">_xlfn.XLOOKUP(B226&amp;S226,'净-价格-毛利'!A:A&amp;'净-价格-毛利'!B:B,'净-价格-毛利'!C:C,0)</f>
      </c>
      <c r="G226" s="81">
        <f t="shared" si="9"/>
      </c>
      <c r="H226" s="81">
        <v>60.78</v>
      </c>
      <c r="I226" s="81">
        <f t="shared" si="125"/>
      </c>
      <c r="J226" s="81">
        <f t="shared" si="183"/>
      </c>
      <c r="K226" s="83">
        <f t="shared" si="252"/>
      </c>
      <c r="L226" s="81">
        <f t="shared" si="321"/>
      </c>
      <c r="M226" s="81">
        <f t="shared" si="380"/>
      </c>
      <c r="N226" s="83">
        <f t="shared" si="553"/>
      </c>
      <c r="O226" s="95">
        <v>1</v>
      </c>
      <c r="P226" s="95">
        <f t="shared" si="439"/>
      </c>
      <c r="Q226" s="85">
        <f t="shared" si="611"/>
      </c>
      <c r="R226" s="85">
        <f t="shared" si="66"/>
      </c>
      <c r="S226" s="97" t="s">
        <v>145</v>
      </c>
    </row>
    <row customHeight="true" ht="23.703703703703702" r="227">
      <c r="A227" s="93">
        <v>46052</v>
      </c>
      <c r="B227" s="79" t="s">
        <v>136</v>
      </c>
      <c r="C227" s="79">
        <v>1</v>
      </c>
      <c r="D227" s="94" cm="1">
        <f t="array" ref="D227:D227">_xlfn.XLOOKUP(B227&amp;S227,'净-价格-毛利'!A:A&amp;'净-价格-毛利'!B:B,'净-价格-毛利'!D:D,0)</f>
      </c>
      <c r="E227" s="81">
        <f t="shared" si="496"/>
      </c>
      <c r="F227" s="80" cm="1">
        <f t="array" ref="F227:F227">_xlfn.XLOOKUP(B227&amp;S227,'净-价格-毛利'!A:A&amp;'净-价格-毛利'!B:B,'净-价格-毛利'!C:C,0)</f>
      </c>
      <c r="G227" s="81">
        <f t="shared" si="9"/>
      </c>
      <c r="H227" s="81">
        <v>12.45</v>
      </c>
      <c r="I227" s="81">
        <f t="shared" si="125"/>
      </c>
      <c r="J227" s="81">
        <f t="shared" si="183"/>
      </c>
      <c r="K227" s="83">
        <f t="shared" si="252"/>
      </c>
      <c r="L227" s="81">
        <f>J227*9</f>
      </c>
      <c r="M227" s="81">
        <f>E227*9</f>
      </c>
      <c r="N227" s="83">
        <f t="shared" si="553"/>
      </c>
      <c r="O227" s="95">
        <v>1</v>
      </c>
      <c r="P227" s="95">
        <f t="shared" si="439"/>
      </c>
      <c r="Q227" s="85">
        <f t="shared" si="611"/>
      </c>
      <c r="R227" s="85">
        <f t="shared" si="66"/>
      </c>
      <c r="S227" s="97" t="s">
        <v>148</v>
      </c>
    </row>
    <row customHeight="true" ht="23.703703703703702" r="228">
      <c r="A228" s="93">
        <v>46052</v>
      </c>
      <c r="B228" s="79" t="s">
        <v>137</v>
      </c>
      <c r="C228" s="79"/>
      <c r="D228" s="94" cm="1">
        <f t="array" ref="D228:D228">_xlfn.XLOOKUP(B228&amp;S228,'净-价格-毛利'!A:A&amp;'净-价格-毛利'!B:B,'净-价格-毛利'!D:D,0)</f>
      </c>
      <c r="E228" s="81">
        <f t="shared" si="496"/>
      </c>
      <c r="F228" s="80" cm="1">
        <f t="array" ref="F228:F228">_xlfn.XLOOKUP(B228&amp;S228,'净-价格-毛利'!A:A&amp;'净-价格-毛利'!B:B,'净-价格-毛利'!C:C,0)</f>
      </c>
      <c r="G228" s="81"/>
      <c r="H228" s="81"/>
      <c r="I228" s="81">
        <f t="shared" si="125"/>
      </c>
      <c r="J228" s="81">
        <f>C228*F228-H228-I228</f>
      </c>
      <c r="K228" s="83">
        <f t="shared" si="252"/>
      </c>
      <c r="L228" s="81">
        <f>J228*7</f>
      </c>
      <c r="M228" s="81">
        <f>E228*7</f>
      </c>
      <c r="N228" s="83">
        <f t="shared" si="553"/>
      </c>
      <c r="O228" s="84"/>
      <c r="P228" s="84">
        <f t="shared" si="439"/>
      </c>
      <c r="Q228" s="85">
        <f t="shared" si="611"/>
      </c>
      <c r="R228" s="85"/>
      <c r="S228" s="96"/>
    </row>
    <row customHeight="true" ht="23.703703703703702" r="229">
      <c r="A229" s="93">
        <v>46052</v>
      </c>
      <c r="B229" s="79" t="s">
        <v>111</v>
      </c>
      <c r="C229" s="79">
        <f>SUM(C223:C228)</f>
      </c>
      <c r="D229" s="89"/>
      <c r="E229" s="81">
        <f>SUM(E223:E228)</f>
      </c>
      <c r="F229" s="82">
        <f>SUM(F223:F227)</f>
      </c>
      <c r="G229" s="81"/>
      <c r="H229" s="81"/>
      <c r="I229" s="81"/>
      <c r="J229" s="81">
        <f>SUM(J223:J228)</f>
      </c>
      <c r="K229" s="83">
        <f t="shared" si="252"/>
      </c>
      <c r="L229" s="81">
        <f>SUM(L223:L228)</f>
      </c>
      <c r="M229" s="81">
        <f>SUM(M223:M228)</f>
      </c>
      <c r="N229" s="83"/>
      <c r="O229" s="95">
        <f>SUM(O223:O227)</f>
      </c>
      <c r="P229" s="95">
        <f t="shared" si="439"/>
      </c>
      <c r="Q229" s="85">
        <f t="shared" si="611"/>
      </c>
      <c r="R229" s="85"/>
      <c r="S229" s="89"/>
    </row>
    <row customHeight="true" ht="23.703703703703702" r="230">
      <c r="B230" s="77" t="s">
        <v>138</v>
      </c>
    </row>
    <row customHeight="true" ht="23.703703703703702" r="231">
      <c r="A231" s="71" t="s">
        <v>152</v>
      </c>
      <c r="B231" s="72" t="s">
        <v>112</v>
      </c>
      <c r="C231" s="90" t="s">
        <v>113</v>
      </c>
      <c r="D231" s="72" t="s">
        <v>114</v>
      </c>
      <c r="E231" s="73" t="s">
        <v>115</v>
      </c>
      <c r="F231" s="74" t="s">
        <v>116</v>
      </c>
      <c r="G231" s="73" t="s">
        <v>117</v>
      </c>
      <c r="H231" s="91" t="s">
        <v>118</v>
      </c>
      <c r="I231" s="73" t="s">
        <v>119</v>
      </c>
      <c r="J231" s="73" t="s">
        <v>116</v>
      </c>
      <c r="K231" s="75" t="s">
        <v>120</v>
      </c>
      <c r="L231" s="73" t="s">
        <v>121</v>
      </c>
      <c r="M231" s="73" t="s">
        <v>122</v>
      </c>
      <c r="N231" s="72" t="s">
        <v>123</v>
      </c>
      <c r="O231" s="92" t="s">
        <v>124</v>
      </c>
      <c r="P231" s="76" t="s">
        <v>125</v>
      </c>
      <c r="Q231" s="75" t="s">
        <v>126</v>
      </c>
      <c r="R231" s="75" t="s">
        <v>127</v>
      </c>
      <c r="S231" s="75" t="s">
        <v>140</v>
      </c>
    </row>
    <row customHeight="true" ht="23.703703703703702" r="232">
      <c r="A232" s="93">
        <v>46053</v>
      </c>
      <c r="B232" s="79" t="s">
        <v>130</v>
      </c>
      <c r="C232" s="79">
        <v>7</v>
      </c>
      <c r="D232" s="94" cm="1">
        <f t="array" ref="D232:D232">_xlfn.XLOOKUP(B232&amp;S232,'净-价格-毛利'!A:A&amp;'净-价格-毛利'!B:B,'净-价格-毛利'!D:D,0)</f>
      </c>
      <c r="E232" s="81">
        <f t="shared" ref="E232:E237" si="497">C232*D232</f>
      </c>
      <c r="F232" s="80" cm="1">
        <f t="array" ref="F232:F232">_xlfn.XLOOKUP(B232&amp;S232,'净-价格-毛利'!A:A&amp;'净-价格-毛利'!B:B,'净-价格-毛利'!C:C,0)</f>
      </c>
      <c r="G232" s="81">
        <f t="shared" ref="G232:G236" si="10">C232*5</f>
      </c>
      <c r="H232" s="81">
        <v>63.58</v>
      </c>
      <c r="I232" s="81">
        <f t="shared" ref="I232:I237" si="126">E232*0.025</f>
      </c>
      <c r="J232" s="81">
        <f t="shared" ref="J232:J236" si="184">F232*C232+G232-H232-I232</f>
      </c>
      <c r="K232" s="83">
        <f t="shared" ref="K232:K238" si="253">IFERROR(J232/E232,0)</f>
      </c>
      <c r="L232" s="81">
        <f t="shared" ref="L232:L235" si="322">J232*8</f>
      </c>
      <c r="M232" s="81">
        <f t="shared" ref="M232:M235" si="381">E232*8</f>
      </c>
      <c r="N232" s="83">
        <f t="shared" ref="N232:N237" si="554">IFERROR(H232/E232,0)</f>
      </c>
      <c r="O232" s="95">
        <v>4</v>
      </c>
      <c r="P232" s="95">
        <f t="shared" ref="P232:P238" si="440">C232-O232</f>
      </c>
      <c r="Q232" s="85">
        <f t="shared" ref="Q232:Q238" si="612">IFERROR(O232/C232,0)</f>
      </c>
      <c r="R232" s="85">
        <f t="shared" ref="R232:R236" si="67">IFERROR(H232/(E232*Q232),0)</f>
      </c>
      <c r="S232" s="97" t="s">
        <v>149</v>
      </c>
    </row>
    <row customHeight="true" ht="23.703703703703702" r="233">
      <c r="A233" s="93">
        <v>46053</v>
      </c>
      <c r="B233" s="79" t="s">
        <v>131</v>
      </c>
      <c r="C233" s="79">
        <v>4</v>
      </c>
      <c r="D233" s="94" cm="1">
        <f t="array" ref="D233:D233">_xlfn.XLOOKUP(B233&amp;S233,'净-价格-毛利'!A:A&amp;'净-价格-毛利'!B:B,'净-价格-毛利'!D:D,0)</f>
      </c>
      <c r="E233" s="81">
        <f t="shared" si="497"/>
      </c>
      <c r="F233" s="80" cm="1">
        <f t="array" ref="F233:F233">_xlfn.XLOOKUP(B233&amp;S233,'净-价格-毛利'!A:A&amp;'净-价格-毛利'!B:B,'净-价格-毛利'!C:C,0)</f>
      </c>
      <c r="G233" s="81">
        <f t="shared" si="10"/>
      </c>
      <c r="H233" s="81">
        <v>30.88</v>
      </c>
      <c r="I233" s="81">
        <f t="shared" si="126"/>
      </c>
      <c r="J233" s="81">
        <f t="shared" si="184"/>
      </c>
      <c r="K233" s="83">
        <f t="shared" si="253"/>
      </c>
      <c r="L233" s="81">
        <f t="shared" si="322"/>
      </c>
      <c r="M233" s="81">
        <f t="shared" si="381"/>
      </c>
      <c r="N233" s="83">
        <f t="shared" si="554"/>
      </c>
      <c r="O233" s="95">
        <v>4</v>
      </c>
      <c r="P233" s="95">
        <f t="shared" si="440"/>
      </c>
      <c r="Q233" s="85">
        <f t="shared" si="612"/>
      </c>
      <c r="R233" s="85">
        <f t="shared" si="67"/>
      </c>
      <c r="S233" s="97" t="s">
        <v>149</v>
      </c>
    </row>
    <row customHeight="true" ht="23.703703703703702" r="234">
      <c r="A234" s="93">
        <v>46053</v>
      </c>
      <c r="B234" s="79" t="s">
        <v>133</v>
      </c>
      <c r="C234" s="79">
        <v>2</v>
      </c>
      <c r="D234" s="94" cm="1">
        <f t="array" ref="D234:D234">_xlfn.XLOOKUP(B234&amp;S234,'净-价格-毛利'!A:A&amp;'净-价格-毛利'!B:B,'净-价格-毛利'!D:D,0)</f>
      </c>
      <c r="E234" s="81">
        <f t="shared" si="497"/>
      </c>
      <c r="F234" s="80" cm="1">
        <f t="array" ref="F234:F234">_xlfn.XLOOKUP(B234&amp;S234,'净-价格-毛利'!A:A&amp;'净-价格-毛利'!B:B,'净-价格-毛利'!C:C,0)</f>
      </c>
      <c r="G234" s="81">
        <f t="shared" si="10"/>
      </c>
      <c r="H234" s="81">
        <v>28.85</v>
      </c>
      <c r="I234" s="81">
        <f t="shared" si="126"/>
      </c>
      <c r="J234" s="81">
        <f t="shared" si="184"/>
      </c>
      <c r="K234" s="83">
        <f t="shared" si="253"/>
      </c>
      <c r="L234" s="81">
        <f t="shared" si="322"/>
      </c>
      <c r="M234" s="81">
        <f t="shared" si="381"/>
      </c>
      <c r="N234" s="83">
        <f t="shared" si="554"/>
      </c>
      <c r="O234" s="95">
        <v>0</v>
      </c>
      <c r="P234" s="95">
        <f t="shared" si="440"/>
      </c>
      <c r="Q234" s="85">
        <f t="shared" si="612"/>
      </c>
      <c r="R234" s="85">
        <f t="shared" si="67"/>
      </c>
      <c r="S234" s="97" t="s">
        <v>145</v>
      </c>
    </row>
    <row customHeight="true" ht="23.703703703703702" r="235">
      <c r="A235" s="93">
        <v>46053</v>
      </c>
      <c r="B235" s="79" t="s">
        <v>134</v>
      </c>
      <c r="C235" s="79">
        <v>2</v>
      </c>
      <c r="D235" s="94" cm="1">
        <f t="array" ref="D235:D235">_xlfn.XLOOKUP(B235&amp;S235,'净-价格-毛利'!A:A&amp;'净-价格-毛利'!B:B,'净-价格-毛利'!D:D,0)</f>
      </c>
      <c r="E235" s="81">
        <f t="shared" si="497"/>
      </c>
      <c r="F235" s="80" cm="1">
        <f t="array" ref="F235:F235">_xlfn.XLOOKUP(B235&amp;S235,'净-价格-毛利'!A:A&amp;'净-价格-毛利'!B:B,'净-价格-毛利'!C:C,0)</f>
      </c>
      <c r="G235" s="81">
        <f t="shared" si="10"/>
      </c>
      <c r="H235" s="81">
        <v>31.32</v>
      </c>
      <c r="I235" s="81">
        <f t="shared" si="126"/>
      </c>
      <c r="J235" s="81">
        <f t="shared" si="184"/>
      </c>
      <c r="K235" s="83">
        <f t="shared" si="253"/>
      </c>
      <c r="L235" s="81">
        <f t="shared" si="322"/>
      </c>
      <c r="M235" s="81">
        <f t="shared" si="381"/>
      </c>
      <c r="N235" s="83">
        <f t="shared" si="554"/>
      </c>
      <c r="O235" s="95">
        <v>1</v>
      </c>
      <c r="P235" s="95">
        <f t="shared" si="440"/>
      </c>
      <c r="Q235" s="85">
        <f t="shared" si="612"/>
      </c>
      <c r="R235" s="85">
        <f t="shared" si="67"/>
      </c>
      <c r="S235" s="97" t="s">
        <v>145</v>
      </c>
    </row>
    <row customHeight="true" ht="23.703703703703702" r="236">
      <c r="A236" s="93">
        <v>46053</v>
      </c>
      <c r="B236" s="79" t="s">
        <v>136</v>
      </c>
      <c r="C236" s="79">
        <v>0</v>
      </c>
      <c r="D236" s="94" cm="1">
        <f t="array" ref="D236:D236">_xlfn.XLOOKUP(B236&amp;S236,'净-价格-毛利'!A:A&amp;'净-价格-毛利'!B:B,'净-价格-毛利'!D:D,0)</f>
      </c>
      <c r="E236" s="81">
        <f t="shared" si="497"/>
      </c>
      <c r="F236" s="80" cm="1">
        <f t="array" ref="F236:F236">_xlfn.XLOOKUP(B236&amp;S236,'净-价格-毛利'!A:A&amp;'净-价格-毛利'!B:B,'净-价格-毛利'!C:C,0)</f>
      </c>
      <c r="G236" s="81">
        <f t="shared" si="10"/>
      </c>
      <c r="H236" s="81">
        <v>1.6</v>
      </c>
      <c r="I236" s="81">
        <f t="shared" si="126"/>
      </c>
      <c r="J236" s="81">
        <f t="shared" si="184"/>
      </c>
      <c r="K236" s="83">
        <f t="shared" si="253"/>
      </c>
      <c r="L236" s="81">
        <f>J236*9</f>
      </c>
      <c r="M236" s="81">
        <f>E236*9</f>
      </c>
      <c r="N236" s="83">
        <f t="shared" si="554"/>
      </c>
      <c r="O236" s="95"/>
      <c r="P236" s="95">
        <f t="shared" si="440"/>
      </c>
      <c r="Q236" s="85">
        <f t="shared" si="612"/>
      </c>
      <c r="R236" s="85">
        <f t="shared" si="67"/>
      </c>
      <c r="S236" s="97" t="s">
        <v>141</v>
      </c>
    </row>
    <row customHeight="true" ht="23.703703703703702" r="237">
      <c r="A237" s="93">
        <v>46053</v>
      </c>
      <c r="B237" s="79" t="s">
        <v>137</v>
      </c>
      <c r="C237" s="79"/>
      <c r="D237" s="94" cm="1">
        <f t="array" ref="D237:D237">_xlfn.XLOOKUP(B237&amp;S237,'净-价格-毛利'!A:A&amp;'净-价格-毛利'!B:B,'净-价格-毛利'!D:D,0)</f>
      </c>
      <c r="E237" s="81">
        <f t="shared" si="497"/>
      </c>
      <c r="F237" s="80" cm="1">
        <f t="array" ref="F237:F237">_xlfn.XLOOKUP(B237&amp;S237,'净-价格-毛利'!A:A&amp;'净-价格-毛利'!B:B,'净-价格-毛利'!C:C,0)</f>
      </c>
      <c r="G237" s="81"/>
      <c r="H237" s="81"/>
      <c r="I237" s="81">
        <f t="shared" si="126"/>
      </c>
      <c r="J237" s="81">
        <f>C237*F237-H237-I237</f>
      </c>
      <c r="K237" s="83">
        <f t="shared" si="253"/>
      </c>
      <c r="L237" s="81">
        <f>J237*7</f>
      </c>
      <c r="M237" s="81">
        <f>E237*7</f>
      </c>
      <c r="N237" s="83">
        <f t="shared" si="554"/>
      </c>
      <c r="O237" s="84"/>
      <c r="P237" s="84">
        <f t="shared" si="440"/>
      </c>
      <c r="Q237" s="85">
        <f t="shared" si="612"/>
      </c>
      <c r="R237" s="85"/>
      <c r="S237" s="96"/>
    </row>
    <row customHeight="true" ht="23.703703703703702" r="238">
      <c r="A238" s="93">
        <v>46053</v>
      </c>
      <c r="B238" s="79" t="s">
        <v>111</v>
      </c>
      <c r="C238" s="79">
        <f>SUM(C232:C237)</f>
      </c>
      <c r="D238" s="89"/>
      <c r="E238" s="81">
        <f>SUM(E232:E237)</f>
      </c>
      <c r="F238" s="82">
        <f>SUM(F232:F236)</f>
      </c>
      <c r="G238" s="81"/>
      <c r="H238" s="81"/>
      <c r="I238" s="81"/>
      <c r="J238" s="81">
        <f>SUM(J232:J237)</f>
      </c>
      <c r="K238" s="83">
        <f t="shared" si="253"/>
      </c>
      <c r="L238" s="81">
        <f>SUM(L232:L237)</f>
      </c>
      <c r="M238" s="81">
        <f>SUM(M232:M237)</f>
      </c>
      <c r="N238" s="83"/>
      <c r="O238" s="95">
        <f>SUM(O232:O236)</f>
      </c>
      <c r="P238" s="95">
        <f t="shared" si="440"/>
      </c>
      <c r="Q238" s="85">
        <f t="shared" si="612"/>
      </c>
      <c r="R238" s="85"/>
      <c r="S238" s="89"/>
    </row>
    <row customHeight="true" ht="23.703703703703702" r="239">
      <c r="B239" s="77" t="s">
        <v>138</v>
      </c>
    </row>
    <row customHeight="true" ht="23.703703703703702" r="240">
      <c r="A240" s="71" t="s">
        <v>152</v>
      </c>
      <c r="B240" s="72" t="s">
        <v>112</v>
      </c>
      <c r="C240" s="90" t="s">
        <v>113</v>
      </c>
      <c r="D240" s="72" t="s">
        <v>114</v>
      </c>
      <c r="E240" s="73" t="s">
        <v>115</v>
      </c>
      <c r="F240" s="74" t="s">
        <v>116</v>
      </c>
      <c r="G240" s="73" t="s">
        <v>117</v>
      </c>
      <c r="H240" s="91" t="s">
        <v>118</v>
      </c>
      <c r="I240" s="73" t="s">
        <v>119</v>
      </c>
      <c r="J240" s="73" t="s">
        <v>116</v>
      </c>
      <c r="K240" s="75" t="s">
        <v>120</v>
      </c>
      <c r="L240" s="73" t="s">
        <v>121</v>
      </c>
      <c r="M240" s="73" t="s">
        <v>122</v>
      </c>
      <c r="N240" s="72" t="s">
        <v>123</v>
      </c>
      <c r="O240" s="92" t="s">
        <v>124</v>
      </c>
      <c r="P240" s="76" t="s">
        <v>125</v>
      </c>
      <c r="Q240" s="75" t="s">
        <v>126</v>
      </c>
      <c r="R240" s="75" t="s">
        <v>127</v>
      </c>
      <c r="S240" s="75" t="s">
        <v>140</v>
      </c>
    </row>
    <row customHeight="true" ht="23.703703703703702" r="241">
      <c r="A241" s="93">
        <v>46054</v>
      </c>
      <c r="B241" s="79" t="s">
        <v>130</v>
      </c>
      <c r="C241" s="79">
        <v>3</v>
      </c>
      <c r="D241" s="94" cm="1">
        <f t="array" ref="D241:D241">_xlfn.XLOOKUP(B241&amp;S241,'净-价格-毛利'!A:A&amp;'净-价格-毛利'!B:B,'净-价格-毛利'!D:D,0)</f>
      </c>
      <c r="E241" s="81">
        <f t="shared" ref="E241:E246" si="498">C241*D241</f>
      </c>
      <c r="F241" s="80" cm="1">
        <f t="array" ref="F241:F241">_xlfn.XLOOKUP(B241&amp;S241,'净-价格-毛利'!A:A&amp;'净-价格-毛利'!B:B,'净-价格-毛利'!C:C,0)</f>
      </c>
      <c r="G241" s="81">
        <f t="shared" ref="G241:G245" si="11">C241*5</f>
      </c>
      <c r="H241" s="81">
        <v>38.56</v>
      </c>
      <c r="I241" s="81">
        <f t="shared" ref="I241:I246" si="127">E241*0.025</f>
      </c>
      <c r="J241" s="81">
        <f t="shared" ref="J241:J245" si="185">F241*C241+G241-H241-I241</f>
      </c>
      <c r="K241" s="83">
        <f t="shared" ref="K241:K247" si="254">IFERROR(J241/E241,0)</f>
      </c>
      <c r="L241" s="81">
        <f t="shared" ref="L241:L244" si="323">J241*8</f>
      </c>
      <c r="M241" s="81">
        <f t="shared" ref="M241:M244" si="382">E241*8</f>
      </c>
      <c r="N241" s="83">
        <f t="shared" ref="N241:N246" si="555">IFERROR(H241/E241,0)</f>
      </c>
      <c r="O241" s="95">
        <v>2</v>
      </c>
      <c r="P241" s="95">
        <f t="shared" ref="P241:P247" si="441">C241-O241</f>
      </c>
      <c r="Q241" s="85">
        <f t="shared" ref="Q241:Q247" si="613">IFERROR(O241/C241,0)</f>
      </c>
      <c r="R241" s="85">
        <f t="shared" ref="R241:R245" si="68">IFERROR(H241/(E241*Q241),0)</f>
      </c>
      <c r="S241" s="97" t="s">
        <v>141</v>
      </c>
    </row>
    <row customHeight="true" ht="23.703703703703702" r="242">
      <c r="A242" s="93">
        <v>46054</v>
      </c>
      <c r="B242" s="79" t="s">
        <v>131</v>
      </c>
      <c r="C242" s="79">
        <v>5</v>
      </c>
      <c r="D242" s="94" cm="1">
        <f t="array" ref="D242:D242">_xlfn.XLOOKUP(B242&amp;S242,'净-价格-毛利'!A:A&amp;'净-价格-毛利'!B:B,'净-价格-毛利'!D:D,0)</f>
      </c>
      <c r="E242" s="81">
        <f t="shared" si="498"/>
      </c>
      <c r="F242" s="80" cm="1">
        <f t="array" ref="F242:F242">_xlfn.XLOOKUP(B242&amp;S242,'净-价格-毛利'!A:A&amp;'净-价格-毛利'!B:B,'净-价格-毛利'!C:C,0)</f>
      </c>
      <c r="G242" s="81">
        <f t="shared" si="11"/>
      </c>
      <c r="H242" s="81">
        <v>34.49</v>
      </c>
      <c r="I242" s="81">
        <f t="shared" si="127"/>
      </c>
      <c r="J242" s="81">
        <f t="shared" si="185"/>
      </c>
      <c r="K242" s="83">
        <f t="shared" si="254"/>
      </c>
      <c r="L242" s="81">
        <f t="shared" si="323"/>
      </c>
      <c r="M242" s="81">
        <f t="shared" si="382"/>
      </c>
      <c r="N242" s="83">
        <f t="shared" si="555"/>
      </c>
      <c r="O242" s="95">
        <v>3</v>
      </c>
      <c r="P242" s="95">
        <f t="shared" si="441"/>
      </c>
      <c r="Q242" s="85">
        <f t="shared" si="613"/>
      </c>
      <c r="R242" s="85">
        <f t="shared" si="68"/>
      </c>
      <c r="S242" s="97" t="s">
        <v>145</v>
      </c>
    </row>
    <row customHeight="true" ht="23.703703703703702" r="243">
      <c r="A243" s="93">
        <v>46054</v>
      </c>
      <c r="B243" s="79" t="s">
        <v>133</v>
      </c>
      <c r="C243" s="79">
        <v>0</v>
      </c>
      <c r="D243" s="94" cm="1">
        <f t="array" ref="D243:D243">_xlfn.XLOOKUP(B243&amp;S243,'净-价格-毛利'!A:A&amp;'净-价格-毛利'!B:B,'净-价格-毛利'!D:D,0)</f>
      </c>
      <c r="E243" s="81">
        <f t="shared" si="498"/>
      </c>
      <c r="F243" s="80" cm="1">
        <f t="array" ref="F243:F243">_xlfn.XLOOKUP(B243&amp;S243,'净-价格-毛利'!A:A&amp;'净-价格-毛利'!B:B,'净-价格-毛利'!C:C,0)</f>
      </c>
      <c r="G243" s="81">
        <f t="shared" si="11"/>
      </c>
      <c r="H243" s="81">
        <v>25.19</v>
      </c>
      <c r="I243" s="81">
        <f t="shared" si="127"/>
      </c>
      <c r="J243" s="81">
        <f t="shared" si="185"/>
      </c>
      <c r="K243" s="83">
        <f t="shared" si="254"/>
      </c>
      <c r="L243" s="81">
        <f t="shared" si="323"/>
      </c>
      <c r="M243" s="81">
        <f t="shared" si="382"/>
      </c>
      <c r="N243" s="83">
        <f t="shared" si="555"/>
      </c>
      <c r="O243" s="95">
        <v>0</v>
      </c>
      <c r="P243" s="95">
        <f t="shared" si="441"/>
      </c>
      <c r="Q243" s="85">
        <f t="shared" si="613"/>
      </c>
      <c r="R243" s="85">
        <f t="shared" si="68"/>
      </c>
      <c r="S243" s="97" t="s">
        <v>145</v>
      </c>
    </row>
    <row customHeight="true" ht="23.703703703703702" r="244">
      <c r="A244" s="93">
        <v>46054</v>
      </c>
      <c r="B244" s="79" t="s">
        <v>134</v>
      </c>
      <c r="C244" s="79">
        <v>5</v>
      </c>
      <c r="D244" s="94" cm="1">
        <f t="array" ref="D244:D244">_xlfn.XLOOKUP(B244&amp;S244,'净-价格-毛利'!A:A&amp;'净-价格-毛利'!B:B,'净-价格-毛利'!D:D,0)</f>
      </c>
      <c r="E244" s="81">
        <f t="shared" si="498"/>
      </c>
      <c r="F244" s="80" cm="1">
        <f t="array" ref="F244:F244">_xlfn.XLOOKUP(B244&amp;S244,'净-价格-毛利'!A:A&amp;'净-价格-毛利'!B:B,'净-价格-毛利'!C:C,0)</f>
      </c>
      <c r="G244" s="81">
        <f t="shared" si="11"/>
      </c>
      <c r="H244" s="81">
        <v>40.01</v>
      </c>
      <c r="I244" s="81">
        <f t="shared" si="127"/>
      </c>
      <c r="J244" s="81">
        <f t="shared" si="185"/>
      </c>
      <c r="K244" s="83">
        <f t="shared" si="254"/>
      </c>
      <c r="L244" s="81">
        <f t="shared" si="323"/>
      </c>
      <c r="M244" s="81">
        <f t="shared" si="382"/>
      </c>
      <c r="N244" s="83">
        <f t="shared" si="555"/>
      </c>
      <c r="O244" s="95">
        <v>3</v>
      </c>
      <c r="P244" s="95">
        <f t="shared" si="441"/>
      </c>
      <c r="Q244" s="85">
        <f t="shared" si="613"/>
      </c>
      <c r="R244" s="85">
        <f t="shared" si="68"/>
      </c>
      <c r="S244" s="97" t="s">
        <v>145</v>
      </c>
    </row>
    <row customHeight="true" ht="23.703703703703702" r="245">
      <c r="A245" s="93">
        <v>46054</v>
      </c>
      <c r="B245" s="79" t="s">
        <v>136</v>
      </c>
      <c r="C245" s="79">
        <v>0</v>
      </c>
      <c r="D245" s="94" cm="1">
        <f t="array" ref="D245:D245">_xlfn.XLOOKUP(B245&amp;S245,'净-价格-毛利'!A:A&amp;'净-价格-毛利'!B:B,'净-价格-毛利'!D:D,0)</f>
      </c>
      <c r="E245" s="81">
        <f t="shared" si="498"/>
      </c>
      <c r="F245" s="80" cm="1">
        <f t="array" ref="F245:F245">_xlfn.XLOOKUP(B245&amp;S245,'净-价格-毛利'!A:A&amp;'净-价格-毛利'!B:B,'净-价格-毛利'!C:C,0)</f>
      </c>
      <c r="G245" s="81">
        <f t="shared" si="11"/>
      </c>
      <c r="H245" s="81">
        <v>11.19</v>
      </c>
      <c r="I245" s="81">
        <f t="shared" si="127"/>
      </c>
      <c r="J245" s="81">
        <f t="shared" si="185"/>
      </c>
      <c r="K245" s="83">
        <f t="shared" si="254"/>
      </c>
      <c r="L245" s="81">
        <f>J245*9</f>
      </c>
      <c r="M245" s="81">
        <f>E245*9</f>
      </c>
      <c r="N245" s="83">
        <f t="shared" si="555"/>
      </c>
      <c r="O245" s="95">
        <v>0</v>
      </c>
      <c r="P245" s="95">
        <f t="shared" si="441"/>
      </c>
      <c r="Q245" s="85">
        <f t="shared" si="613"/>
      </c>
      <c r="R245" s="85">
        <f t="shared" si="68"/>
      </c>
      <c r="S245" s="97" t="s">
        <v>145</v>
      </c>
    </row>
    <row customHeight="true" ht="23.703703703703702" r="246">
      <c r="A246" s="93">
        <v>46054</v>
      </c>
      <c r="B246" s="79" t="s">
        <v>137</v>
      </c>
      <c r="C246" s="79"/>
      <c r="D246" s="94" cm="1">
        <f t="array" ref="D246:D246">_xlfn.XLOOKUP(B246&amp;S246,'净-价格-毛利'!A:A&amp;'净-价格-毛利'!B:B,'净-价格-毛利'!D:D,0)</f>
      </c>
      <c r="E246" s="81">
        <f t="shared" si="498"/>
      </c>
      <c r="F246" s="80" cm="1">
        <f t="array" ref="F246:F246">_xlfn.XLOOKUP(B246&amp;S246,'净-价格-毛利'!A:A&amp;'净-价格-毛利'!B:B,'净-价格-毛利'!C:C,0)</f>
      </c>
      <c r="G246" s="81"/>
      <c r="H246" s="81"/>
      <c r="I246" s="81">
        <f t="shared" si="127"/>
      </c>
      <c r="J246" s="81">
        <f>C246*F246-H246-I246</f>
      </c>
      <c r="K246" s="83">
        <f t="shared" si="254"/>
      </c>
      <c r="L246" s="81">
        <f>J246*7</f>
      </c>
      <c r="M246" s="81">
        <f>E246*7</f>
      </c>
      <c r="N246" s="83">
        <f t="shared" si="555"/>
      </c>
      <c r="O246" s="84">
        <v>0</v>
      </c>
      <c r="P246" s="84">
        <f t="shared" si="441"/>
      </c>
      <c r="Q246" s="85">
        <f t="shared" si="613"/>
      </c>
      <c r="R246" s="85"/>
      <c r="S246" s="96"/>
    </row>
    <row customHeight="true" ht="23.703703703703702" r="247">
      <c r="A247" s="93">
        <v>46054</v>
      </c>
      <c r="B247" s="79" t="s">
        <v>111</v>
      </c>
      <c r="C247" s="79">
        <f>SUM(C241:C246)</f>
      </c>
      <c r="D247" s="89"/>
      <c r="E247" s="81">
        <f>SUM(E241:E246)</f>
      </c>
      <c r="F247" s="82">
        <f>SUM(F241:F245)</f>
      </c>
      <c r="G247" s="81"/>
      <c r="H247" s="81"/>
      <c r="I247" s="81"/>
      <c r="J247" s="81">
        <f>SUM(J241:J246)</f>
      </c>
      <c r="K247" s="83">
        <f t="shared" si="254"/>
      </c>
      <c r="L247" s="81">
        <f>SUM(L241:L246)</f>
      </c>
      <c r="M247" s="81">
        <f>SUM(M241:M246)</f>
      </c>
      <c r="N247" s="83"/>
      <c r="O247" s="95">
        <f>SUM(O241:O245)</f>
      </c>
      <c r="P247" s="95">
        <f t="shared" si="441"/>
      </c>
      <c r="Q247" s="85">
        <f t="shared" si="613"/>
      </c>
      <c r="R247" s="85"/>
      <c r="S247" s="89"/>
    </row>
    <row customHeight="true" ht="23.703703703703702" r="248">
      <c r="B248" s="77" t="s">
        <v>138</v>
      </c>
    </row>
    <row customHeight="true" ht="23.703703703703702" r="249">
      <c r="A249" s="71" t="s">
        <v>152</v>
      </c>
      <c r="B249" s="72" t="s">
        <v>112</v>
      </c>
      <c r="C249" s="90" t="s">
        <v>113</v>
      </c>
      <c r="D249" s="72" t="s">
        <v>114</v>
      </c>
      <c r="E249" s="73" t="s">
        <v>115</v>
      </c>
      <c r="F249" s="74" t="s">
        <v>116</v>
      </c>
      <c r="G249" s="73" t="s">
        <v>117</v>
      </c>
      <c r="H249" s="91" t="s">
        <v>118</v>
      </c>
      <c r="I249" s="73" t="s">
        <v>119</v>
      </c>
      <c r="J249" s="73" t="s">
        <v>116</v>
      </c>
      <c r="K249" s="75" t="s">
        <v>120</v>
      </c>
      <c r="L249" s="73" t="s">
        <v>121</v>
      </c>
      <c r="M249" s="73" t="s">
        <v>122</v>
      </c>
      <c r="N249" s="72" t="s">
        <v>123</v>
      </c>
      <c r="O249" s="92" t="s">
        <v>124</v>
      </c>
      <c r="P249" s="76" t="s">
        <v>125</v>
      </c>
      <c r="Q249" s="75" t="s">
        <v>126</v>
      </c>
      <c r="R249" s="75" t="s">
        <v>127</v>
      </c>
      <c r="S249" s="75" t="s">
        <v>140</v>
      </c>
    </row>
    <row customHeight="true" ht="23.703703703703702" r="250">
      <c r="A250" s="93">
        <v>46055</v>
      </c>
      <c r="B250" s="79" t="s">
        <v>130</v>
      </c>
      <c r="C250" s="79">
        <v>3</v>
      </c>
      <c r="D250" s="94" cm="1">
        <f t="array" ref="D250:D250">_xlfn.XLOOKUP(B250&amp;S250,'净-价格-毛利'!A:A&amp;'净-价格-毛利'!B:B,'净-价格-毛利'!D:D,0)</f>
      </c>
      <c r="E250" s="81">
        <f t="shared" ref="E250:E255" si="499">C250*D250</f>
      </c>
      <c r="F250" s="80" cm="1">
        <f t="array" ref="F250:F250">_xlfn.XLOOKUP(B250&amp;S250,'净-价格-毛利'!A:A&amp;'净-价格-毛利'!B:B,'净-价格-毛利'!C:C,0)</f>
      </c>
      <c r="G250" s="81">
        <f t="shared" ref="G250:G254" si="12">C250*5</f>
      </c>
      <c r="H250" s="81">
        <v>48.52</v>
      </c>
      <c r="I250" s="81">
        <f t="shared" ref="I250:I255" si="128">E250*0.025</f>
      </c>
      <c r="J250" s="81">
        <f t="shared" ref="J250:J254" si="186">F250*C250+G250-H250-I250</f>
      </c>
      <c r="K250" s="83">
        <f t="shared" ref="K250:K256" si="255">IFERROR(J250/E250,0)</f>
      </c>
      <c r="L250" s="81">
        <f t="shared" ref="L250:L253" si="324">J250*8</f>
      </c>
      <c r="M250" s="81">
        <f t="shared" ref="M250:M253" si="383">E250*8</f>
      </c>
      <c r="N250" s="83">
        <f t="shared" ref="N250:N255" si="556">IFERROR(H250/E250,0)</f>
      </c>
      <c r="O250" s="95">
        <v>1</v>
      </c>
      <c r="P250" s="95">
        <f t="shared" ref="P250:P256" si="442">C250-O250</f>
      </c>
      <c r="Q250" s="85">
        <f t="shared" ref="Q250:Q256" si="614">IFERROR(O250/C250,0)</f>
      </c>
      <c r="R250" s="85">
        <f t="shared" ref="R250:R254" si="69">IFERROR(H250/(E250*Q250),0)</f>
      </c>
      <c r="S250" s="97" t="s">
        <v>141</v>
      </c>
    </row>
    <row customHeight="true" ht="23.703703703703702" r="251">
      <c r="A251" s="93">
        <v>46055</v>
      </c>
      <c r="B251" s="79" t="s">
        <v>131</v>
      </c>
      <c r="C251" s="79">
        <v>1</v>
      </c>
      <c r="D251" s="94" cm="1">
        <f t="array" ref="D251:D251">_xlfn.XLOOKUP(B251&amp;S251,'净-价格-毛利'!A:A&amp;'净-价格-毛利'!B:B,'净-价格-毛利'!D:D,0)</f>
      </c>
      <c r="E251" s="81">
        <f t="shared" si="499"/>
      </c>
      <c r="F251" s="80" cm="1">
        <f t="array" ref="F251:F251">_xlfn.XLOOKUP(B251&amp;S251,'净-价格-毛利'!A:A&amp;'净-价格-毛利'!B:B,'净-价格-毛利'!C:C,0)</f>
      </c>
      <c r="G251" s="81">
        <f t="shared" si="12"/>
      </c>
      <c r="H251" s="81">
        <v>32.23</v>
      </c>
      <c r="I251" s="81">
        <f t="shared" si="128"/>
      </c>
      <c r="J251" s="81">
        <f t="shared" si="186"/>
      </c>
      <c r="K251" s="83">
        <f t="shared" si="255"/>
      </c>
      <c r="L251" s="81">
        <f t="shared" si="324"/>
      </c>
      <c r="M251" s="81">
        <f t="shared" si="383"/>
      </c>
      <c r="N251" s="83">
        <f t="shared" si="556"/>
      </c>
      <c r="O251" s="95">
        <v>1</v>
      </c>
      <c r="P251" s="95">
        <f t="shared" si="442"/>
      </c>
      <c r="Q251" s="85">
        <f t="shared" si="614"/>
      </c>
      <c r="R251" s="85">
        <f t="shared" si="69"/>
      </c>
      <c r="S251" s="97" t="s">
        <v>145</v>
      </c>
    </row>
    <row customHeight="true" ht="23.703703703703702" r="252">
      <c r="A252" s="93">
        <v>46055</v>
      </c>
      <c r="B252" s="79" t="s">
        <v>133</v>
      </c>
      <c r="C252" s="79">
        <v>1</v>
      </c>
      <c r="D252" s="94" cm="1">
        <f t="array" ref="D252:D252">_xlfn.XLOOKUP(B252&amp;S252,'净-价格-毛利'!A:A&amp;'净-价格-毛利'!B:B,'净-价格-毛利'!D:D,0)</f>
      </c>
      <c r="E252" s="81">
        <f t="shared" si="499"/>
      </c>
      <c r="F252" s="80" cm="1">
        <f t="array" ref="F252:F252">_xlfn.XLOOKUP(B252&amp;S252,'净-价格-毛利'!A:A&amp;'净-价格-毛利'!B:B,'净-价格-毛利'!C:C,0)</f>
      </c>
      <c r="G252" s="81">
        <f t="shared" si="12"/>
      </c>
      <c r="H252" s="81">
        <v>13.11</v>
      </c>
      <c r="I252" s="81">
        <f t="shared" si="128"/>
      </c>
      <c r="J252" s="81">
        <f t="shared" si="186"/>
      </c>
      <c r="K252" s="83">
        <f t="shared" si="255"/>
      </c>
      <c r="L252" s="81">
        <f t="shared" si="324"/>
      </c>
      <c r="M252" s="81">
        <f t="shared" si="383"/>
      </c>
      <c r="N252" s="83">
        <f t="shared" si="556"/>
      </c>
      <c r="O252" s="95">
        <v>0</v>
      </c>
      <c r="P252" s="95">
        <f t="shared" si="442"/>
      </c>
      <c r="Q252" s="85">
        <f t="shared" si="614"/>
      </c>
      <c r="R252" s="85">
        <f t="shared" si="69"/>
      </c>
      <c r="S252" s="97" t="s">
        <v>145</v>
      </c>
    </row>
    <row customHeight="true" ht="23.703703703703702" r="253">
      <c r="A253" s="93">
        <v>46055</v>
      </c>
      <c r="B253" s="79" t="s">
        <v>134</v>
      </c>
      <c r="C253" s="79">
        <v>3</v>
      </c>
      <c r="D253" s="94" cm="1">
        <f t="array" ref="D253:D253">_xlfn.XLOOKUP(B253&amp;S253,'净-价格-毛利'!A:A&amp;'净-价格-毛利'!B:B,'净-价格-毛利'!D:D,0)</f>
      </c>
      <c r="E253" s="81">
        <f t="shared" si="499"/>
      </c>
      <c r="F253" s="80" cm="1">
        <f t="array" ref="F253:F253">_xlfn.XLOOKUP(B253&amp;S253,'净-价格-毛利'!A:A&amp;'净-价格-毛利'!B:B,'净-价格-毛利'!C:C,0)</f>
      </c>
      <c r="G253" s="81">
        <f t="shared" si="12"/>
      </c>
      <c r="H253" s="81">
        <v>44.46</v>
      </c>
      <c r="I253" s="81">
        <f t="shared" si="128"/>
      </c>
      <c r="J253" s="81">
        <f t="shared" si="186"/>
      </c>
      <c r="K253" s="83">
        <f t="shared" si="255"/>
      </c>
      <c r="L253" s="81">
        <f t="shared" si="324"/>
      </c>
      <c r="M253" s="81">
        <f t="shared" si="383"/>
      </c>
      <c r="N253" s="83">
        <f t="shared" si="556"/>
      </c>
      <c r="O253" s="95">
        <v>1</v>
      </c>
      <c r="P253" s="95">
        <f t="shared" si="442"/>
      </c>
      <c r="Q253" s="85">
        <f t="shared" si="614"/>
      </c>
      <c r="R253" s="85">
        <f t="shared" si="69"/>
      </c>
      <c r="S253" s="97" t="s">
        <v>145</v>
      </c>
    </row>
    <row customHeight="true" ht="23.703703703703702" r="254">
      <c r="A254" s="93">
        <v>46055</v>
      </c>
      <c r="B254" s="79" t="s">
        <v>136</v>
      </c>
      <c r="C254" s="79">
        <v>0</v>
      </c>
      <c r="D254" s="94" cm="1">
        <f t="array" ref="D254:D254">_xlfn.XLOOKUP(B254&amp;S254,'净-价格-毛利'!A:A&amp;'净-价格-毛利'!B:B,'净-价格-毛利'!D:D,0)</f>
      </c>
      <c r="E254" s="81">
        <f t="shared" si="499"/>
      </c>
      <c r="F254" s="80" cm="1">
        <f t="array" ref="F254:F254">_xlfn.XLOOKUP(B254&amp;S254,'净-价格-毛利'!A:A&amp;'净-价格-毛利'!B:B,'净-价格-毛利'!C:C,0)</f>
      </c>
      <c r="G254" s="81">
        <f t="shared" si="12"/>
      </c>
      <c r="H254" s="81">
        <v>12.21</v>
      </c>
      <c r="I254" s="81">
        <f t="shared" si="128"/>
      </c>
      <c r="J254" s="81">
        <f t="shared" si="186"/>
      </c>
      <c r="K254" s="83">
        <f t="shared" si="255"/>
      </c>
      <c r="L254" s="81">
        <f>J254*9</f>
      </c>
      <c r="M254" s="81">
        <f>E254*9</f>
      </c>
      <c r="N254" s="83">
        <f t="shared" si="556"/>
      </c>
      <c r="O254" s="95">
        <v>0</v>
      </c>
      <c r="P254" s="95">
        <f t="shared" si="442"/>
      </c>
      <c r="Q254" s="85">
        <f t="shared" si="614"/>
      </c>
      <c r="R254" s="85">
        <f t="shared" si="69"/>
      </c>
      <c r="S254" s="97" t="s">
        <v>145</v>
      </c>
    </row>
    <row customHeight="true" ht="23.703703703703702" r="255">
      <c r="A255" s="93">
        <v>46055</v>
      </c>
      <c r="B255" s="79" t="s">
        <v>137</v>
      </c>
      <c r="C255" s="79"/>
      <c r="D255" s="94" cm="1">
        <f t="array" ref="D255:D255">_xlfn.XLOOKUP(B255&amp;S255,'净-价格-毛利'!A:A&amp;'净-价格-毛利'!B:B,'净-价格-毛利'!D:D,0)</f>
      </c>
      <c r="E255" s="81">
        <f t="shared" si="499"/>
      </c>
      <c r="F255" s="80" cm="1">
        <f t="array" ref="F255:F255">_xlfn.XLOOKUP(B255&amp;S255,'净-价格-毛利'!A:A&amp;'净-价格-毛利'!B:B,'净-价格-毛利'!C:C,0)</f>
      </c>
      <c r="G255" s="81"/>
      <c r="H255" s="81"/>
      <c r="I255" s="81">
        <f t="shared" si="128"/>
      </c>
      <c r="J255" s="81">
        <f>C255*F255-H255-I255</f>
      </c>
      <c r="K255" s="83">
        <f t="shared" si="255"/>
      </c>
      <c r="L255" s="81">
        <f>J255*7</f>
      </c>
      <c r="M255" s="81">
        <f>E255*7</f>
      </c>
      <c r="N255" s="83">
        <f t="shared" si="556"/>
      </c>
      <c r="O255" s="84"/>
      <c r="P255" s="84">
        <f t="shared" si="442"/>
      </c>
      <c r="Q255" s="85">
        <f t="shared" si="614"/>
      </c>
      <c r="R255" s="85"/>
      <c r="S255" s="96"/>
    </row>
    <row customHeight="true" ht="23.703703703703702" r="256">
      <c r="A256" s="93">
        <v>46055</v>
      </c>
      <c r="B256" s="79" t="s">
        <v>111</v>
      </c>
      <c r="C256" s="79">
        <f>SUM(C250:C255)</f>
      </c>
      <c r="D256" s="89"/>
      <c r="E256" s="81">
        <f>SUM(E250:E255)</f>
      </c>
      <c r="F256" s="82">
        <f>SUM(F250:F254)</f>
      </c>
      <c r="G256" s="81"/>
      <c r="H256" s="81"/>
      <c r="I256" s="81"/>
      <c r="J256" s="81">
        <f>SUM(J250:J255)</f>
      </c>
      <c r="K256" s="83">
        <f t="shared" si="255"/>
      </c>
      <c r="L256" s="81">
        <f>SUM(L250:L255)</f>
      </c>
      <c r="M256" s="81">
        <f>SUM(M250:M255)</f>
      </c>
      <c r="N256" s="83"/>
      <c r="O256" s="95">
        <f>SUM(O250:O254)</f>
      </c>
      <c r="P256" s="95">
        <f t="shared" si="442"/>
      </c>
      <c r="Q256" s="85">
        <f t="shared" si="614"/>
      </c>
      <c r="R256" s="85"/>
      <c r="S256" s="89"/>
    </row>
    <row customHeight="true" ht="23.703703703703702" r="257">
      <c r="B257" s="77" t="s">
        <v>138</v>
      </c>
    </row>
    <row customHeight="true" ht="23.703703703703702" r="258">
      <c r="A258" s="71" t="s">
        <v>152</v>
      </c>
      <c r="B258" s="72" t="s">
        <v>112</v>
      </c>
      <c r="C258" s="90" t="s">
        <v>113</v>
      </c>
      <c r="D258" s="72" t="s">
        <v>114</v>
      </c>
      <c r="E258" s="73" t="s">
        <v>115</v>
      </c>
      <c r="F258" s="74" t="s">
        <v>116</v>
      </c>
      <c r="G258" s="73" t="s">
        <v>117</v>
      </c>
      <c r="H258" s="91" t="s">
        <v>118</v>
      </c>
      <c r="I258" s="73" t="s">
        <v>119</v>
      </c>
      <c r="J258" s="73" t="s">
        <v>116</v>
      </c>
      <c r="K258" s="75" t="s">
        <v>120</v>
      </c>
      <c r="L258" s="73" t="s">
        <v>121</v>
      </c>
      <c r="M258" s="73" t="s">
        <v>122</v>
      </c>
      <c r="N258" s="72" t="s">
        <v>123</v>
      </c>
      <c r="O258" s="92" t="s">
        <v>124</v>
      </c>
      <c r="P258" s="76" t="s">
        <v>125</v>
      </c>
      <c r="Q258" s="75" t="s">
        <v>126</v>
      </c>
      <c r="R258" s="75" t="s">
        <v>127</v>
      </c>
      <c r="S258" s="75" t="s">
        <v>140</v>
      </c>
    </row>
    <row customHeight="true" ht="23.703703703703702" r="259">
      <c r="A259" s="93">
        <v>46056</v>
      </c>
      <c r="B259" s="79" t="s">
        <v>130</v>
      </c>
      <c r="C259" s="79">
        <v>1</v>
      </c>
      <c r="D259" s="94" cm="1">
        <f t="array" ref="D259:D259">_xlfn.XLOOKUP(B259&amp;S259,'净-价格-毛利'!A:A&amp;'净-价格-毛利'!B:B,'净-价格-毛利'!D:D,0)</f>
      </c>
      <c r="E259" s="81">
        <f t="shared" ref="E259:E264" si="500">C259*D259</f>
      </c>
      <c r="F259" s="80" cm="1">
        <f t="array" ref="F259:F259">_xlfn.XLOOKUP(B259&amp;S259,'净-价格-毛利'!A:A&amp;'净-价格-毛利'!B:B,'净-价格-毛利'!C:C,0)</f>
      </c>
      <c r="G259" s="81">
        <f t="shared" ref="G259:G263" si="13">C259*5</f>
      </c>
      <c r="H259" s="81">
        <v>59.09</v>
      </c>
      <c r="I259" s="81">
        <f t="shared" ref="I259:I264" si="129">E259*0.025</f>
      </c>
      <c r="J259" s="81">
        <f t="shared" ref="J259:J263" si="187">F259*C259+G259-H259-I259</f>
      </c>
      <c r="K259" s="83">
        <f t="shared" ref="K259:K265" si="256">IFERROR(J259/E259,0)</f>
      </c>
      <c r="L259" s="81">
        <f t="shared" ref="L259:L262" si="325">J259*8</f>
      </c>
      <c r="M259" s="81">
        <f t="shared" ref="M259:M262" si="384">E259*8</f>
      </c>
      <c r="N259" s="83">
        <f t="shared" ref="N259:N264" si="557">IFERROR(H259/E259,0)</f>
      </c>
      <c r="O259" s="95">
        <v>1</v>
      </c>
      <c r="P259" s="95">
        <f t="shared" ref="P259:P265" si="443">C259-O259</f>
      </c>
      <c r="Q259" s="85">
        <f t="shared" ref="Q259:Q265" si="615">IFERROR(O259/C259,0)</f>
      </c>
      <c r="R259" s="85">
        <f t="shared" ref="R259:R263" si="70">IFERROR(H259/(E259*Q259),0)</f>
      </c>
      <c r="S259" s="97" t="s">
        <v>141</v>
      </c>
    </row>
    <row customHeight="true" ht="23.703703703703702" r="260">
      <c r="A260" s="93">
        <v>46056</v>
      </c>
      <c r="B260" s="79" t="s">
        <v>131</v>
      </c>
      <c r="C260" s="79">
        <v>1</v>
      </c>
      <c r="D260" s="94" cm="1">
        <f t="array" ref="D260:D260">_xlfn.XLOOKUP(B260&amp;S260,'净-价格-毛利'!A:A&amp;'净-价格-毛利'!B:B,'净-价格-毛利'!D:D,0)</f>
      </c>
      <c r="E260" s="81">
        <f t="shared" si="500"/>
      </c>
      <c r="F260" s="80" cm="1">
        <f t="array" ref="F260:F260">_xlfn.XLOOKUP(B260&amp;S260,'净-价格-毛利'!A:A&amp;'净-价格-毛利'!B:B,'净-价格-毛利'!C:C,0)</f>
      </c>
      <c r="G260" s="81">
        <f t="shared" si="13"/>
      </c>
      <c r="H260" s="81">
        <v>18.51</v>
      </c>
      <c r="I260" s="81">
        <f t="shared" si="129"/>
      </c>
      <c r="J260" s="81">
        <f t="shared" si="187"/>
      </c>
      <c r="K260" s="83">
        <f t="shared" si="256"/>
      </c>
      <c r="L260" s="81">
        <f t="shared" si="325"/>
      </c>
      <c r="M260" s="81">
        <f t="shared" si="384"/>
      </c>
      <c r="N260" s="83">
        <f t="shared" si="557"/>
      </c>
      <c r="O260" s="95">
        <v>1</v>
      </c>
      <c r="P260" s="95">
        <f t="shared" si="443"/>
      </c>
      <c r="Q260" s="85">
        <f t="shared" si="615"/>
      </c>
      <c r="R260" s="85">
        <f t="shared" si="70"/>
      </c>
      <c r="S260" s="97" t="s">
        <v>145</v>
      </c>
    </row>
    <row customHeight="true" ht="23.703703703703702" r="261">
      <c r="A261" s="93">
        <v>46056</v>
      </c>
      <c r="B261" s="79" t="s">
        <v>133</v>
      </c>
      <c r="C261" s="79">
        <v>1</v>
      </c>
      <c r="D261" s="94" cm="1">
        <f t="array" ref="D261:D261">_xlfn.XLOOKUP(B261&amp;S261,'净-价格-毛利'!A:A&amp;'净-价格-毛利'!B:B,'净-价格-毛利'!D:D,0)</f>
      </c>
      <c r="E261" s="81">
        <f t="shared" si="500"/>
      </c>
      <c r="F261" s="80" cm="1">
        <f t="array" ref="F261:F261">_xlfn.XLOOKUP(B261&amp;S261,'净-价格-毛利'!A:A&amp;'净-价格-毛利'!B:B,'净-价格-毛利'!C:C,0)</f>
      </c>
      <c r="G261" s="81">
        <f t="shared" si="13"/>
      </c>
      <c r="H261" s="81">
        <v>7.5</v>
      </c>
      <c r="I261" s="81">
        <f t="shared" si="129"/>
      </c>
      <c r="J261" s="81">
        <f t="shared" si="187"/>
      </c>
      <c r="K261" s="83">
        <f t="shared" si="256"/>
      </c>
      <c r="L261" s="81">
        <f t="shared" si="325"/>
      </c>
      <c r="M261" s="81">
        <f t="shared" si="384"/>
      </c>
      <c r="N261" s="83">
        <f t="shared" si="557"/>
      </c>
      <c r="O261" s="95">
        <v>0</v>
      </c>
      <c r="P261" s="95">
        <f t="shared" si="443"/>
      </c>
      <c r="Q261" s="85">
        <f t="shared" si="615"/>
      </c>
      <c r="R261" s="85">
        <f t="shared" si="70"/>
      </c>
      <c r="S261" s="97" t="s">
        <v>145</v>
      </c>
    </row>
    <row customHeight="true" ht="23.703703703703702" r="262">
      <c r="A262" s="93">
        <v>46056</v>
      </c>
      <c r="B262" s="79" t="s">
        <v>134</v>
      </c>
      <c r="C262" s="79">
        <v>6</v>
      </c>
      <c r="D262" s="94" cm="1">
        <f t="array" ref="D262:D262">_xlfn.XLOOKUP(B262&amp;S262,'净-价格-毛利'!A:A&amp;'净-价格-毛利'!B:B,'净-价格-毛利'!D:D,0)</f>
      </c>
      <c r="E262" s="81">
        <f t="shared" si="500"/>
      </c>
      <c r="F262" s="80" cm="1">
        <f t="array" ref="F262:F262">_xlfn.XLOOKUP(B262&amp;S262,'净-价格-毛利'!A:A&amp;'净-价格-毛利'!B:B,'净-价格-毛利'!C:C,0)</f>
      </c>
      <c r="G262" s="81">
        <f t="shared" si="13"/>
      </c>
      <c r="H262" s="81">
        <v>46.22</v>
      </c>
      <c r="I262" s="81">
        <f t="shared" si="129"/>
      </c>
      <c r="J262" s="81">
        <f t="shared" si="187"/>
      </c>
      <c r="K262" s="83">
        <f t="shared" si="256"/>
      </c>
      <c r="L262" s="81">
        <f t="shared" si="325"/>
      </c>
      <c r="M262" s="81">
        <f t="shared" si="384"/>
      </c>
      <c r="N262" s="83">
        <f t="shared" si="557"/>
      </c>
      <c r="O262" s="95">
        <v>3</v>
      </c>
      <c r="P262" s="95">
        <f t="shared" si="443"/>
      </c>
      <c r="Q262" s="85">
        <f t="shared" si="615"/>
      </c>
      <c r="R262" s="85">
        <f t="shared" si="70"/>
      </c>
      <c r="S262" s="97" t="s">
        <v>145</v>
      </c>
    </row>
    <row customHeight="true" ht="23.703703703703702" r="263">
      <c r="A263" s="93">
        <v>46056</v>
      </c>
      <c r="B263" s="79" t="s">
        <v>136</v>
      </c>
      <c r="C263" s="79">
        <v>2</v>
      </c>
      <c r="D263" s="94" cm="1">
        <f t="array" ref="D263:D263">_xlfn.XLOOKUP(B263&amp;S263,'净-价格-毛利'!A:A&amp;'净-价格-毛利'!B:B,'净-价格-毛利'!D:D,0)</f>
      </c>
      <c r="E263" s="81">
        <f t="shared" si="500"/>
      </c>
      <c r="F263" s="80" cm="1">
        <f t="array" ref="F263:F263">_xlfn.XLOOKUP(B263&amp;S263,'净-价格-毛利'!A:A&amp;'净-价格-毛利'!B:B,'净-价格-毛利'!C:C,0)</f>
      </c>
      <c r="G263" s="81">
        <f t="shared" si="13"/>
      </c>
      <c r="H263" s="81">
        <v>20.59</v>
      </c>
      <c r="I263" s="81">
        <f t="shared" si="129"/>
      </c>
      <c r="J263" s="81">
        <f t="shared" si="187"/>
      </c>
      <c r="K263" s="83">
        <f t="shared" si="256"/>
      </c>
      <c r="L263" s="81">
        <f>J263*9</f>
      </c>
      <c r="M263" s="81">
        <f>E263*9</f>
      </c>
      <c r="N263" s="83">
        <f t="shared" si="557"/>
      </c>
      <c r="O263" s="95">
        <v>2</v>
      </c>
      <c r="P263" s="95">
        <f t="shared" si="443"/>
      </c>
      <c r="Q263" s="85">
        <f t="shared" si="615"/>
      </c>
      <c r="R263" s="85">
        <f t="shared" si="70"/>
      </c>
      <c r="S263" s="97" t="s">
        <v>145</v>
      </c>
    </row>
    <row customHeight="true" ht="23.703703703703702" r="264">
      <c r="A264" s="93">
        <v>46056</v>
      </c>
      <c r="B264" s="79" t="s">
        <v>137</v>
      </c>
      <c r="C264" s="79"/>
      <c r="D264" s="94" cm="1">
        <f t="array" ref="D264:D264">_xlfn.XLOOKUP(B264&amp;S264,'净-价格-毛利'!A:A&amp;'净-价格-毛利'!B:B,'净-价格-毛利'!D:D,0)</f>
      </c>
      <c r="E264" s="81">
        <f t="shared" si="500"/>
      </c>
      <c r="F264" s="80" cm="1">
        <f t="array" ref="F264:F264">_xlfn.XLOOKUP(B264&amp;S264,'净-价格-毛利'!A:A&amp;'净-价格-毛利'!B:B,'净-价格-毛利'!C:C,0)</f>
      </c>
      <c r="G264" s="81"/>
      <c r="H264" s="81"/>
      <c r="I264" s="81">
        <f t="shared" si="129"/>
      </c>
      <c r="J264" s="81">
        <f>C264*F264-H264-I264</f>
      </c>
      <c r="K264" s="83">
        <f t="shared" si="256"/>
      </c>
      <c r="L264" s="81">
        <f>J264*7</f>
      </c>
      <c r="M264" s="81">
        <f>E264*7</f>
      </c>
      <c r="N264" s="83">
        <f t="shared" si="557"/>
      </c>
      <c r="O264" s="84"/>
      <c r="P264" s="84">
        <f t="shared" si="443"/>
      </c>
      <c r="Q264" s="85">
        <f t="shared" si="615"/>
      </c>
      <c r="R264" s="85"/>
      <c r="S264" s="96"/>
    </row>
    <row customHeight="true" ht="23.703703703703702" r="265">
      <c r="A265" s="93">
        <v>46056</v>
      </c>
      <c r="B265" s="79" t="s">
        <v>111</v>
      </c>
      <c r="C265" s="79">
        <f>SUM(C259:C264)</f>
      </c>
      <c r="D265" s="89"/>
      <c r="E265" s="81">
        <f>SUM(E259:E264)</f>
      </c>
      <c r="F265" s="82">
        <f>SUM(F259:F263)</f>
      </c>
      <c r="G265" s="81"/>
      <c r="H265" s="81"/>
      <c r="I265" s="81"/>
      <c r="J265" s="81">
        <f>SUM(J259:J264)</f>
      </c>
      <c r="K265" s="83">
        <f t="shared" si="256"/>
      </c>
      <c r="L265" s="81">
        <f>SUM(L259:L264)</f>
      </c>
      <c r="M265" s="81">
        <f>SUM(M259:M264)</f>
      </c>
      <c r="N265" s="83"/>
      <c r="O265" s="95">
        <f>SUM(O259:O263)</f>
      </c>
      <c r="P265" s="95">
        <f t="shared" si="443"/>
      </c>
      <c r="Q265" s="85">
        <f t="shared" si="615"/>
      </c>
      <c r="R265" s="85"/>
      <c r="S265" s="89"/>
    </row>
    <row customHeight="true" ht="23.703703703703702" r="266">
      <c r="B266" s="77" t="s">
        <v>138</v>
      </c>
    </row>
    <row customHeight="true" ht="23.703703703703702" r="267">
      <c r="A267" s="71" t="s">
        <v>152</v>
      </c>
      <c r="B267" s="72" t="s">
        <v>112</v>
      </c>
      <c r="C267" s="90" t="s">
        <v>113</v>
      </c>
      <c r="D267" s="72" t="s">
        <v>114</v>
      </c>
      <c r="E267" s="73" t="s">
        <v>115</v>
      </c>
      <c r="F267" s="74" t="s">
        <v>116</v>
      </c>
      <c r="G267" s="73" t="s">
        <v>117</v>
      </c>
      <c r="H267" s="91" t="s">
        <v>118</v>
      </c>
      <c r="I267" s="73" t="s">
        <v>119</v>
      </c>
      <c r="J267" s="73" t="s">
        <v>116</v>
      </c>
      <c r="K267" s="75" t="s">
        <v>120</v>
      </c>
      <c r="L267" s="73" t="s">
        <v>121</v>
      </c>
      <c r="M267" s="73" t="s">
        <v>122</v>
      </c>
      <c r="N267" s="72" t="s">
        <v>123</v>
      </c>
      <c r="O267" s="92" t="s">
        <v>124</v>
      </c>
      <c r="P267" s="76" t="s">
        <v>125</v>
      </c>
      <c r="Q267" s="75" t="s">
        <v>126</v>
      </c>
      <c r="R267" s="75" t="s">
        <v>127</v>
      </c>
      <c r="S267" s="75" t="s">
        <v>140</v>
      </c>
    </row>
    <row customHeight="true" ht="23.703703703703702" r="268">
      <c r="A268" s="93">
        <v>46057</v>
      </c>
      <c r="B268" s="79" t="s">
        <v>130</v>
      </c>
      <c r="C268" s="79">
        <v>2</v>
      </c>
      <c r="D268" s="94" cm="1">
        <f t="array" ref="D268:D268">_xlfn.XLOOKUP(B268&amp;S268,'净-价格-毛利'!A:A&amp;'净-价格-毛利'!B:B,'净-价格-毛利'!D:D,0)</f>
      </c>
      <c r="E268" s="81">
        <f t="shared" ref="E268:E273" si="501">C268*D268</f>
      </c>
      <c r="F268" s="80" cm="1">
        <f t="array" ref="F268:F268">_xlfn.XLOOKUP(B268&amp;S268,'净-价格-毛利'!A:A&amp;'净-价格-毛利'!B:B,'净-价格-毛利'!C:C,0)</f>
      </c>
      <c r="G268" s="81">
        <f t="shared" ref="G268:G272" si="14">C268*5</f>
      </c>
      <c r="H268" s="81">
        <v>75.46</v>
      </c>
      <c r="I268" s="81">
        <f t="shared" ref="I268:I273" si="130">E268*0.025</f>
      </c>
      <c r="J268" s="81">
        <f t="shared" ref="J268:J272" si="188">F268*C268+G268-H268-I268</f>
      </c>
      <c r="K268" s="83">
        <f t="shared" ref="K268:K274" si="257">IFERROR(J268/E268,0)</f>
      </c>
      <c r="L268" s="81">
        <f t="shared" ref="L268:L271" si="326">J268*8</f>
      </c>
      <c r="M268" s="81">
        <f t="shared" ref="M268:M271" si="385">E268*8</f>
      </c>
      <c r="N268" s="83">
        <f t="shared" ref="N268:N273" si="558">IFERROR(H268/E268,0)</f>
      </c>
      <c r="O268" s="95">
        <v>2</v>
      </c>
      <c r="P268" s="95">
        <f t="shared" ref="P268:P274" si="444">C268-O268</f>
      </c>
      <c r="Q268" s="85">
        <f t="shared" ref="Q268:Q274" si="616">IFERROR(O268/C268,0)</f>
      </c>
      <c r="R268" s="85">
        <f t="shared" ref="R268:R272" si="71">IFERROR(H268/(E268*Q268),0)</f>
      </c>
      <c r="S268" s="97" t="s">
        <v>153</v>
      </c>
    </row>
    <row customHeight="true" ht="23.703703703703702" r="269">
      <c r="A269" s="93">
        <v>46057</v>
      </c>
      <c r="B269" s="79" t="s">
        <v>131</v>
      </c>
      <c r="C269" s="79">
        <v>0</v>
      </c>
      <c r="D269" s="94" cm="1">
        <f t="array" ref="D269:D269">_xlfn.XLOOKUP(B269&amp;S269,'净-价格-毛利'!A:A&amp;'净-价格-毛利'!B:B,'净-价格-毛利'!D:D,0)</f>
      </c>
      <c r="E269" s="81">
        <f t="shared" si="501"/>
      </c>
      <c r="F269" s="80" cm="1">
        <f t="array" ref="F269:F269">_xlfn.XLOOKUP(B269&amp;S269,'净-价格-毛利'!A:A&amp;'净-价格-毛利'!B:B,'净-价格-毛利'!C:C,0)</f>
      </c>
      <c r="G269" s="81">
        <f t="shared" si="14"/>
      </c>
      <c r="H269" s="81">
        <v>33.93</v>
      </c>
      <c r="I269" s="81">
        <f t="shared" si="130"/>
      </c>
      <c r="J269" s="81">
        <f t="shared" si="188"/>
      </c>
      <c r="K269" s="83">
        <f t="shared" si="257"/>
      </c>
      <c r="L269" s="81">
        <f t="shared" si="326"/>
      </c>
      <c r="M269" s="81">
        <f t="shared" si="385"/>
      </c>
      <c r="N269" s="83">
        <f t="shared" si="558"/>
      </c>
      <c r="O269" s="95">
        <v>0</v>
      </c>
      <c r="P269" s="95">
        <f t="shared" si="444"/>
      </c>
      <c r="Q269" s="85">
        <f t="shared" si="616"/>
      </c>
      <c r="R269" s="85">
        <f t="shared" si="71"/>
      </c>
      <c r="S269" s="97" t="s">
        <v>141</v>
      </c>
    </row>
    <row customHeight="true" ht="23.703703703703702" r="270">
      <c r="A270" s="93">
        <v>46057</v>
      </c>
      <c r="B270" s="79" t="s">
        <v>133</v>
      </c>
      <c r="C270" s="79">
        <v>0</v>
      </c>
      <c r="D270" s="94" cm="1">
        <f t="array" ref="D270:D270">_xlfn.XLOOKUP(B270&amp;S270,'净-价格-毛利'!A:A&amp;'净-价格-毛利'!B:B,'净-价格-毛利'!D:D,0)</f>
      </c>
      <c r="E270" s="81">
        <f t="shared" si="501"/>
      </c>
      <c r="F270" s="80" cm="1">
        <f t="array" ref="F270:F270">_xlfn.XLOOKUP(B270&amp;S270,'净-价格-毛利'!A:A&amp;'净-价格-毛利'!B:B,'净-价格-毛利'!C:C,0)</f>
      </c>
      <c r="G270" s="81">
        <f t="shared" si="14"/>
      </c>
      <c r="H270" s="81">
        <v>11.6</v>
      </c>
      <c r="I270" s="81">
        <f t="shared" si="130"/>
      </c>
      <c r="J270" s="81">
        <f t="shared" si="188"/>
      </c>
      <c r="K270" s="83">
        <f t="shared" si="257"/>
      </c>
      <c r="L270" s="81">
        <f t="shared" si="326"/>
      </c>
      <c r="M270" s="81">
        <f t="shared" si="385"/>
      </c>
      <c r="N270" s="83">
        <f t="shared" si="558"/>
      </c>
      <c r="O270" s="95">
        <v>0</v>
      </c>
      <c r="P270" s="95">
        <f t="shared" si="444"/>
      </c>
      <c r="Q270" s="85">
        <f t="shared" si="616"/>
      </c>
      <c r="R270" s="85">
        <f t="shared" si="71"/>
      </c>
      <c r="S270" s="97" t="s">
        <v>145</v>
      </c>
    </row>
    <row customHeight="true" ht="23.703703703703702" r="271">
      <c r="A271" s="93">
        <v>46057</v>
      </c>
      <c r="B271" s="79" t="s">
        <v>134</v>
      </c>
      <c r="C271" s="79">
        <v>5</v>
      </c>
      <c r="D271" s="94" cm="1">
        <f t="array" ref="D271:D271">_xlfn.XLOOKUP(B271&amp;S271,'净-价格-毛利'!A:A&amp;'净-价格-毛利'!B:B,'净-价格-毛利'!D:D,0)</f>
      </c>
      <c r="E271" s="81">
        <f t="shared" si="501"/>
      </c>
      <c r="F271" s="80" cm="1">
        <f t="array" ref="F271:F271">_xlfn.XLOOKUP(B271&amp;S271,'净-价格-毛利'!A:A&amp;'净-价格-毛利'!B:B,'净-价格-毛利'!C:C,0)</f>
      </c>
      <c r="G271" s="81">
        <f t="shared" si="14"/>
      </c>
      <c r="H271" s="81">
        <v>51.77</v>
      </c>
      <c r="I271" s="81">
        <f t="shared" si="130"/>
      </c>
      <c r="J271" s="81">
        <f t="shared" si="188"/>
      </c>
      <c r="K271" s="83">
        <f t="shared" si="257"/>
      </c>
      <c r="L271" s="81">
        <f t="shared" si="326"/>
      </c>
      <c r="M271" s="81">
        <f t="shared" si="385"/>
      </c>
      <c r="N271" s="83">
        <f t="shared" si="558"/>
      </c>
      <c r="O271" s="95">
        <v>2</v>
      </c>
      <c r="P271" s="95">
        <f t="shared" si="444"/>
      </c>
      <c r="Q271" s="85">
        <f t="shared" si="616"/>
      </c>
      <c r="R271" s="85">
        <f t="shared" si="71"/>
      </c>
      <c r="S271" s="97" t="s">
        <v>145</v>
      </c>
    </row>
    <row customHeight="true" ht="23.703703703703702" r="272">
      <c r="A272" s="93">
        <v>46057</v>
      </c>
      <c r="B272" s="79" t="s">
        <v>136</v>
      </c>
      <c r="C272" s="79">
        <v>0</v>
      </c>
      <c r="D272" s="94" cm="1">
        <f t="array" ref="D272:D272">_xlfn.XLOOKUP(B272&amp;S272,'净-价格-毛利'!A:A&amp;'净-价格-毛利'!B:B,'净-价格-毛利'!D:D,0)</f>
      </c>
      <c r="E272" s="81">
        <f t="shared" si="501"/>
      </c>
      <c r="F272" s="80" cm="1">
        <f t="array" ref="F272:F272">_xlfn.XLOOKUP(B272&amp;S272,'净-价格-毛利'!A:A&amp;'净-价格-毛利'!B:B,'净-价格-毛利'!C:C,0)</f>
      </c>
      <c r="G272" s="81">
        <f t="shared" si="14"/>
      </c>
      <c r="H272" s="81">
        <v>21.82</v>
      </c>
      <c r="I272" s="81">
        <f t="shared" si="130"/>
      </c>
      <c r="J272" s="81">
        <f t="shared" si="188"/>
      </c>
      <c r="K272" s="83">
        <f t="shared" si="257"/>
      </c>
      <c r="L272" s="81">
        <f>J272*9</f>
      </c>
      <c r="M272" s="81">
        <f>E272*9</f>
      </c>
      <c r="N272" s="83">
        <f t="shared" si="558"/>
      </c>
      <c r="O272" s="95">
        <v>0</v>
      </c>
      <c r="P272" s="95">
        <f t="shared" si="444"/>
      </c>
      <c r="Q272" s="85">
        <f t="shared" si="616"/>
      </c>
      <c r="R272" s="85">
        <f t="shared" si="71"/>
      </c>
      <c r="S272" s="97" t="s">
        <v>145</v>
      </c>
    </row>
    <row customHeight="true" ht="23.703703703703702" r="273">
      <c r="A273" s="93">
        <v>46057</v>
      </c>
      <c r="B273" s="79" t="s">
        <v>137</v>
      </c>
      <c r="C273" s="79"/>
      <c r="D273" s="94" cm="1">
        <f t="array" ref="D273:D273">_xlfn.XLOOKUP(B273&amp;S273,'净-价格-毛利'!A:A&amp;'净-价格-毛利'!B:B,'净-价格-毛利'!D:D,0)</f>
      </c>
      <c r="E273" s="81">
        <f t="shared" si="501"/>
      </c>
      <c r="F273" s="80" cm="1">
        <f t="array" ref="F273:F273">_xlfn.XLOOKUP(B273&amp;S273,'净-价格-毛利'!A:A&amp;'净-价格-毛利'!B:B,'净-价格-毛利'!C:C,0)</f>
      </c>
      <c r="G273" s="81"/>
      <c r="H273" s="81"/>
      <c r="I273" s="81">
        <f t="shared" si="130"/>
      </c>
      <c r="J273" s="81">
        <f>C273*F273-H273-I273</f>
      </c>
      <c r="K273" s="83">
        <f t="shared" si="257"/>
      </c>
      <c r="L273" s="81">
        <f>J273*7</f>
      </c>
      <c r="M273" s="81">
        <f>E273*7</f>
      </c>
      <c r="N273" s="83">
        <f t="shared" si="558"/>
      </c>
      <c r="O273" s="84"/>
      <c r="P273" s="84">
        <f t="shared" si="444"/>
      </c>
      <c r="Q273" s="85">
        <f t="shared" si="616"/>
      </c>
      <c r="R273" s="85"/>
      <c r="S273" s="96"/>
    </row>
    <row customHeight="true" ht="23.703703703703702" r="274">
      <c r="A274" s="93">
        <v>46057</v>
      </c>
      <c r="B274" s="79" t="s">
        <v>111</v>
      </c>
      <c r="C274" s="79">
        <f>SUM(C268:C273)</f>
      </c>
      <c r="D274" s="89"/>
      <c r="E274" s="81">
        <f>SUM(E268:E273)</f>
      </c>
      <c r="F274" s="82">
        <f>SUM(F268:F272)</f>
      </c>
      <c r="G274" s="81"/>
      <c r="H274" s="81"/>
      <c r="I274" s="81"/>
      <c r="J274" s="81">
        <f>SUM(J268:J273)</f>
      </c>
      <c r="K274" s="83">
        <f t="shared" si="257"/>
      </c>
      <c r="L274" s="81">
        <f>SUM(L268:L273)</f>
      </c>
      <c r="M274" s="81">
        <f>SUM(M268:M273)</f>
      </c>
      <c r="N274" s="83"/>
      <c r="O274" s="95">
        <f>SUM(O268:O272)</f>
      </c>
      <c r="P274" s="95">
        <f t="shared" si="444"/>
      </c>
      <c r="Q274" s="85">
        <f t="shared" si="616"/>
      </c>
      <c r="R274" s="85"/>
      <c r="S274" s="89"/>
    </row>
    <row customHeight="true" ht="23.703703703703702" r="275">
      <c r="B275" s="77" t="s">
        <v>138</v>
      </c>
    </row>
    <row customHeight="true" ht="23.703703703703702" r="276">
      <c r="A276" s="71" t="s">
        <v>152</v>
      </c>
      <c r="B276" s="72" t="s">
        <v>112</v>
      </c>
      <c r="C276" s="90" t="s">
        <v>113</v>
      </c>
      <c r="D276" s="72" t="s">
        <v>114</v>
      </c>
      <c r="E276" s="73" t="s">
        <v>115</v>
      </c>
      <c r="F276" s="74" t="s">
        <v>116</v>
      </c>
      <c r="G276" s="73" t="s">
        <v>117</v>
      </c>
      <c r="H276" s="91" t="s">
        <v>118</v>
      </c>
      <c r="I276" s="73" t="s">
        <v>119</v>
      </c>
      <c r="J276" s="73" t="s">
        <v>116</v>
      </c>
      <c r="K276" s="75" t="s">
        <v>120</v>
      </c>
      <c r="L276" s="73" t="s">
        <v>121</v>
      </c>
      <c r="M276" s="73" t="s">
        <v>122</v>
      </c>
      <c r="N276" s="72" t="s">
        <v>123</v>
      </c>
      <c r="O276" s="92" t="s">
        <v>124</v>
      </c>
      <c r="P276" s="76" t="s">
        <v>125</v>
      </c>
      <c r="Q276" s="75" t="s">
        <v>126</v>
      </c>
      <c r="R276" s="75" t="s">
        <v>127</v>
      </c>
      <c r="S276" s="75" t="s">
        <v>140</v>
      </c>
    </row>
    <row customHeight="true" ht="23.703703703703702" r="277">
      <c r="A277" s="93">
        <v>46058</v>
      </c>
      <c r="B277" s="79" t="s">
        <v>130</v>
      </c>
      <c r="C277" s="79">
        <v>9</v>
      </c>
      <c r="D277" s="94" cm="1">
        <f t="array" ref="D277:D277">_xlfn.XLOOKUP(B277&amp;S277,'净-价格-毛利'!A:A&amp;'净-价格-毛利'!B:B,'净-价格-毛利'!D:D,0)</f>
      </c>
      <c r="E277" s="81">
        <f t="shared" ref="E277:E282" si="502">C277*D277</f>
      </c>
      <c r="F277" s="80" cm="1">
        <f t="array" ref="F277:F277">_xlfn.XLOOKUP(B277&amp;S277,'净-价格-毛利'!A:A&amp;'净-价格-毛利'!B:B,'净-价格-毛利'!C:C,0)</f>
      </c>
      <c r="G277" s="81">
        <f t="shared" ref="G277:G281" si="15">C277*5</f>
      </c>
      <c r="H277" s="81">
        <v>54.26</v>
      </c>
      <c r="I277" s="81">
        <f t="shared" ref="I277:I282" si="131">E277*0.025</f>
      </c>
      <c r="J277" s="81">
        <f t="shared" ref="J277:J281" si="189">F277*C277+G277-H277-I277</f>
      </c>
      <c r="K277" s="83">
        <f t="shared" ref="K277:K283" si="258">IFERROR(J277/E277,0)</f>
      </c>
      <c r="L277" s="81">
        <f t="shared" ref="L277:L280" si="327">J277*8</f>
      </c>
      <c r="M277" s="81">
        <f t="shared" ref="M277:M280" si="386">E277*8</f>
      </c>
      <c r="N277" s="83">
        <f t="shared" ref="N277:N282" si="559">IFERROR(H277/E277,0)</f>
      </c>
      <c r="O277" s="95">
        <v>8</v>
      </c>
      <c r="P277" s="95">
        <f t="shared" ref="P277:P283" si="445">C277-O277</f>
      </c>
      <c r="Q277" s="85">
        <f t="shared" ref="Q277:Q283" si="617">IFERROR(O277/C277,0)</f>
      </c>
      <c r="R277" s="85">
        <f t="shared" ref="R277:R281" si="72">IFERROR(H277/(E277*Q277),0)</f>
      </c>
      <c r="S277" s="97" t="s">
        <v>153</v>
      </c>
    </row>
    <row customHeight="true" ht="23.703703703703702" r="278">
      <c r="A278" s="93">
        <v>46058</v>
      </c>
      <c r="B278" s="79" t="s">
        <v>131</v>
      </c>
      <c r="C278" s="79">
        <v>1</v>
      </c>
      <c r="D278" s="94" cm="1">
        <f t="array" ref="D278:D278">_xlfn.XLOOKUP(B278&amp;S278,'净-价格-毛利'!A:A&amp;'净-价格-毛利'!B:B,'净-价格-毛利'!D:D,0)</f>
      </c>
      <c r="E278" s="81">
        <f t="shared" si="502"/>
      </c>
      <c r="F278" s="80" cm="1">
        <f t="array" ref="F278:F278">_xlfn.XLOOKUP(B278&amp;S278,'净-价格-毛利'!A:A&amp;'净-价格-毛利'!B:B,'净-价格-毛利'!C:C,0)</f>
      </c>
      <c r="G278" s="81">
        <f t="shared" si="15"/>
      </c>
      <c r="H278" s="81">
        <v>13.17</v>
      </c>
      <c r="I278" s="81">
        <f t="shared" si="131"/>
      </c>
      <c r="J278" s="81">
        <f t="shared" si="189"/>
      </c>
      <c r="K278" s="83">
        <f t="shared" si="258"/>
      </c>
      <c r="L278" s="81">
        <f t="shared" si="327"/>
      </c>
      <c r="M278" s="81">
        <f t="shared" si="386"/>
      </c>
      <c r="N278" s="83">
        <f t="shared" si="559"/>
      </c>
      <c r="O278" s="95">
        <v>0</v>
      </c>
      <c r="P278" s="95">
        <f t="shared" si="445"/>
      </c>
      <c r="Q278" s="85">
        <f t="shared" si="617"/>
      </c>
      <c r="R278" s="85">
        <f t="shared" si="72"/>
      </c>
      <c r="S278" s="97" t="s">
        <v>141</v>
      </c>
    </row>
    <row customHeight="true" ht="23.703703703703702" r="279">
      <c r="A279" s="93">
        <v>46058</v>
      </c>
      <c r="B279" s="79" t="s">
        <v>133</v>
      </c>
      <c r="C279" s="79">
        <v>2</v>
      </c>
      <c r="D279" s="94" cm="1">
        <f t="array" ref="D279:D279">_xlfn.XLOOKUP(B279&amp;S279,'净-价格-毛利'!A:A&amp;'净-价格-毛利'!B:B,'净-价格-毛利'!D:D,0)</f>
      </c>
      <c r="E279" s="81">
        <f t="shared" si="502"/>
      </c>
      <c r="F279" s="80" cm="1">
        <f t="array" ref="F279:F279">_xlfn.XLOOKUP(B279&amp;S279,'净-价格-毛利'!A:A&amp;'净-价格-毛利'!B:B,'净-价格-毛利'!C:C,0)</f>
      </c>
      <c r="G279" s="81">
        <f t="shared" si="15"/>
      </c>
      <c r="H279" s="81">
        <v>8.26</v>
      </c>
      <c r="I279" s="81">
        <f t="shared" si="131"/>
      </c>
      <c r="J279" s="81">
        <f t="shared" si="189"/>
      </c>
      <c r="K279" s="83">
        <f t="shared" si="258"/>
      </c>
      <c r="L279" s="81">
        <f t="shared" si="327"/>
      </c>
      <c r="M279" s="81">
        <f t="shared" si="386"/>
      </c>
      <c r="N279" s="83">
        <f t="shared" si="559"/>
      </c>
      <c r="O279" s="95">
        <v>2</v>
      </c>
      <c r="P279" s="95">
        <f t="shared" si="445"/>
      </c>
      <c r="Q279" s="85">
        <f t="shared" si="617"/>
      </c>
      <c r="R279" s="85">
        <f t="shared" si="72"/>
      </c>
      <c r="S279" s="97" t="s">
        <v>145</v>
      </c>
    </row>
    <row customHeight="true" ht="23.703703703703702" r="280">
      <c r="A280" s="93">
        <v>46058</v>
      </c>
      <c r="B280" s="79" t="s">
        <v>134</v>
      </c>
      <c r="C280" s="79">
        <v>1</v>
      </c>
      <c r="D280" s="94" cm="1">
        <f t="array" ref="D280:D280">_xlfn.XLOOKUP(B280&amp;S280,'净-价格-毛利'!A:A&amp;'净-价格-毛利'!B:B,'净-价格-毛利'!D:D,0)</f>
      </c>
      <c r="E280" s="81">
        <f t="shared" si="502"/>
      </c>
      <c r="F280" s="80" cm="1">
        <f t="array" ref="F280:F280">_xlfn.XLOOKUP(B280&amp;S280,'净-价格-毛利'!A:A&amp;'净-价格-毛利'!B:B,'净-价格-毛利'!C:C,0)</f>
      </c>
      <c r="G280" s="81">
        <f t="shared" si="15"/>
      </c>
      <c r="H280" s="81">
        <v>41.1</v>
      </c>
      <c r="I280" s="81">
        <f t="shared" si="131"/>
      </c>
      <c r="J280" s="81">
        <f t="shared" si="189"/>
      </c>
      <c r="K280" s="83">
        <f t="shared" si="258"/>
      </c>
      <c r="L280" s="81">
        <f t="shared" si="327"/>
      </c>
      <c r="M280" s="81">
        <f t="shared" si="386"/>
      </c>
      <c r="N280" s="83">
        <f t="shared" si="559"/>
      </c>
      <c r="O280" s="95">
        <v>1</v>
      </c>
      <c r="P280" s="95">
        <f t="shared" si="445"/>
      </c>
      <c r="Q280" s="85">
        <f t="shared" si="617"/>
      </c>
      <c r="R280" s="85">
        <f t="shared" si="72"/>
      </c>
      <c r="S280" s="97" t="s">
        <v>145</v>
      </c>
    </row>
    <row customHeight="true" ht="23.703703703703702" r="281">
      <c r="A281" s="93">
        <v>46058</v>
      </c>
      <c r="B281" s="79" t="s">
        <v>136</v>
      </c>
      <c r="C281" s="79">
        <v>2</v>
      </c>
      <c r="D281" s="94" cm="1">
        <f t="array" ref="D281:D281">_xlfn.XLOOKUP(B281&amp;S281,'净-价格-毛利'!A:A&amp;'净-价格-毛利'!B:B,'净-价格-毛利'!D:D,0)</f>
      </c>
      <c r="E281" s="81">
        <f t="shared" si="502"/>
      </c>
      <c r="F281" s="80" cm="1">
        <f t="array" ref="F281:F281">_xlfn.XLOOKUP(B281&amp;S281,'净-价格-毛利'!A:A&amp;'净-价格-毛利'!B:B,'净-价格-毛利'!C:C,0)</f>
      </c>
      <c r="G281" s="81">
        <f t="shared" si="15"/>
      </c>
      <c r="H281" s="81">
        <v>22.41</v>
      </c>
      <c r="I281" s="81">
        <f t="shared" si="131"/>
      </c>
      <c r="J281" s="81">
        <f t="shared" si="189"/>
      </c>
      <c r="K281" s="83">
        <f t="shared" si="258"/>
      </c>
      <c r="L281" s="81">
        <f>J281*9</f>
      </c>
      <c r="M281" s="81">
        <f>E281*9</f>
      </c>
      <c r="N281" s="83">
        <f t="shared" si="559"/>
      </c>
      <c r="O281" s="95">
        <v>1</v>
      </c>
      <c r="P281" s="95">
        <f t="shared" si="445"/>
      </c>
      <c r="Q281" s="85">
        <f t="shared" si="617"/>
      </c>
      <c r="R281" s="85">
        <f t="shared" si="72"/>
      </c>
      <c r="S281" s="97" t="s">
        <v>145</v>
      </c>
    </row>
    <row customHeight="true" ht="23.703703703703702" r="282">
      <c r="A282" s="93">
        <v>46058</v>
      </c>
      <c r="B282" s="79" t="s">
        <v>137</v>
      </c>
      <c r="C282" s="79"/>
      <c r="D282" s="94" cm="1">
        <f t="array" ref="D282:D282">_xlfn.XLOOKUP(B282&amp;S282,'净-价格-毛利'!A:A&amp;'净-价格-毛利'!B:B,'净-价格-毛利'!D:D,0)</f>
      </c>
      <c r="E282" s="81">
        <f t="shared" si="502"/>
      </c>
      <c r="F282" s="80" cm="1">
        <f t="array" ref="F282:F282">_xlfn.XLOOKUP(B282&amp;S282,'净-价格-毛利'!A:A&amp;'净-价格-毛利'!B:B,'净-价格-毛利'!C:C,0)</f>
      </c>
      <c r="G282" s="81"/>
      <c r="H282" s="81"/>
      <c r="I282" s="81">
        <f t="shared" si="131"/>
      </c>
      <c r="J282" s="81">
        <f>C282*F282-H282-I282</f>
      </c>
      <c r="K282" s="83">
        <f t="shared" si="258"/>
      </c>
      <c r="L282" s="81">
        <f>J282*7</f>
      </c>
      <c r="M282" s="81">
        <f>E282*7</f>
      </c>
      <c r="N282" s="83">
        <f t="shared" si="559"/>
      </c>
      <c r="O282" s="84"/>
      <c r="P282" s="84">
        <f t="shared" si="445"/>
      </c>
      <c r="Q282" s="85">
        <f t="shared" si="617"/>
      </c>
      <c r="R282" s="85"/>
      <c r="S282" s="96"/>
    </row>
    <row customHeight="true" ht="23.703703703703702" r="283">
      <c r="A283" s="93">
        <v>46058</v>
      </c>
      <c r="B283" s="79" t="s">
        <v>111</v>
      </c>
      <c r="C283" s="79">
        <f>SUM(C277:C282)</f>
      </c>
      <c r="D283" s="89"/>
      <c r="E283" s="81">
        <f>SUM(E277:E282)</f>
      </c>
      <c r="F283" s="82">
        <f>SUM(F277:F281)</f>
      </c>
      <c r="G283" s="81"/>
      <c r="H283" s="81"/>
      <c r="I283" s="81"/>
      <c r="J283" s="81">
        <f>SUM(J277:J282)</f>
      </c>
      <c r="K283" s="83">
        <f t="shared" si="258"/>
      </c>
      <c r="L283" s="81">
        <f>SUM(L277:L282)</f>
      </c>
      <c r="M283" s="81">
        <f>SUM(M277:M282)</f>
      </c>
      <c r="N283" s="83"/>
      <c r="O283" s="95">
        <f>SUM(O277:O281)</f>
      </c>
      <c r="P283" s="95">
        <f t="shared" si="445"/>
      </c>
      <c r="Q283" s="85">
        <f t="shared" si="617"/>
      </c>
      <c r="R283" s="85"/>
      <c r="S283" s="89"/>
    </row>
    <row customHeight="true" ht="23.703703703703702" r="284">
      <c r="B284" s="77" t="s">
        <v>138</v>
      </c>
    </row>
    <row customHeight="true" ht="23.703703703703702" r="285">
      <c r="A285" s="71" t="s">
        <v>152</v>
      </c>
      <c r="B285" s="72" t="s">
        <v>112</v>
      </c>
      <c r="C285" s="90" t="s">
        <v>113</v>
      </c>
      <c r="D285" s="72" t="s">
        <v>114</v>
      </c>
      <c r="E285" s="73" t="s">
        <v>115</v>
      </c>
      <c r="F285" s="74" t="s">
        <v>116</v>
      </c>
      <c r="G285" s="73" t="s">
        <v>117</v>
      </c>
      <c r="H285" s="91" t="s">
        <v>118</v>
      </c>
      <c r="I285" s="73" t="s">
        <v>119</v>
      </c>
      <c r="J285" s="73" t="s">
        <v>116</v>
      </c>
      <c r="K285" s="75" t="s">
        <v>120</v>
      </c>
      <c r="L285" s="73" t="s">
        <v>121</v>
      </c>
      <c r="M285" s="73" t="s">
        <v>122</v>
      </c>
      <c r="N285" s="72" t="s">
        <v>123</v>
      </c>
      <c r="O285" s="92" t="s">
        <v>124</v>
      </c>
      <c r="P285" s="76" t="s">
        <v>125</v>
      </c>
      <c r="Q285" s="75" t="s">
        <v>126</v>
      </c>
      <c r="R285" s="75" t="s">
        <v>127</v>
      </c>
      <c r="S285" s="75" t="s">
        <v>140</v>
      </c>
    </row>
    <row customHeight="true" ht="23.703703703703702" r="286">
      <c r="A286" s="93">
        <v>46059</v>
      </c>
      <c r="B286" s="79" t="s">
        <v>130</v>
      </c>
      <c r="C286" s="79">
        <v>7</v>
      </c>
      <c r="D286" s="94" cm="1">
        <f t="array" ref="D286:D286">_xlfn.XLOOKUP(B286&amp;S286,'净-价格-毛利'!A:A&amp;'净-价格-毛利'!B:B,'净-价格-毛利'!D:D,0)</f>
      </c>
      <c r="E286" s="81">
        <f t="shared" ref="E286:E291" si="503">C286*D286</f>
      </c>
      <c r="F286" s="80" cm="1">
        <f t="array" ref="F286:F286">_xlfn.XLOOKUP(B286&amp;S286,'净-价格-毛利'!A:A&amp;'净-价格-毛利'!B:B,'净-价格-毛利'!C:C,0)</f>
      </c>
      <c r="G286" s="81">
        <f t="shared" ref="G286:G290" si="16">C286*5</f>
      </c>
      <c r="H286" s="81">
        <v>54.57</v>
      </c>
      <c r="I286" s="81">
        <f t="shared" ref="I286:I291" si="132">E286*0.025</f>
      </c>
      <c r="J286" s="81">
        <f t="shared" ref="J286:J290" si="190">F286*C286+G286-H286-I286</f>
      </c>
      <c r="K286" s="83">
        <f t="shared" ref="K286:K292" si="259">IFERROR(J286/E286,0)</f>
      </c>
      <c r="L286" s="81">
        <f t="shared" ref="L286:L289" si="328">J286*8</f>
      </c>
      <c r="M286" s="81">
        <f t="shared" ref="M286:M289" si="387">E286*8</f>
      </c>
      <c r="N286" s="83">
        <f t="shared" ref="N286:N291" si="560">IFERROR(H286/E286,0)</f>
      </c>
      <c r="O286" s="95">
        <v>4</v>
      </c>
      <c r="P286" s="95">
        <f t="shared" ref="P286:P292" si="446">C286-O286</f>
      </c>
      <c r="Q286" s="85">
        <f t="shared" ref="Q286:Q292" si="618">IFERROR(O286/C286,0)</f>
      </c>
      <c r="R286" s="85">
        <f t="shared" ref="R286:R290" si="73">IFERROR(H286/(E286*Q286),0)</f>
      </c>
      <c r="S286" s="97" t="s">
        <v>153</v>
      </c>
    </row>
    <row customHeight="true" ht="23.703703703703702" r="287">
      <c r="A287" s="93">
        <v>46059</v>
      </c>
      <c r="B287" s="79" t="s">
        <v>131</v>
      </c>
      <c r="C287" s="79">
        <v>1</v>
      </c>
      <c r="D287" s="94" cm="1">
        <f t="array" ref="D287:D287">_xlfn.XLOOKUP(B287&amp;S287,'净-价格-毛利'!A:A&amp;'净-价格-毛利'!B:B,'净-价格-毛利'!D:D,0)</f>
      </c>
      <c r="E287" s="81">
        <f t="shared" si="503"/>
      </c>
      <c r="F287" s="80" cm="1">
        <f t="array" ref="F287:F287">_xlfn.XLOOKUP(B287&amp;S287,'净-价格-毛利'!A:A&amp;'净-价格-毛利'!B:B,'净-价格-毛利'!C:C,0)</f>
      </c>
      <c r="G287" s="81">
        <f t="shared" si="16"/>
      </c>
      <c r="H287" s="81">
        <v>9.63</v>
      </c>
      <c r="I287" s="81">
        <f t="shared" si="132"/>
      </c>
      <c r="J287" s="81">
        <f t="shared" si="190"/>
      </c>
      <c r="K287" s="83">
        <f t="shared" si="259"/>
      </c>
      <c r="L287" s="81">
        <f t="shared" si="328"/>
      </c>
      <c r="M287" s="81">
        <f t="shared" si="387"/>
      </c>
      <c r="N287" s="83">
        <f t="shared" si="560"/>
      </c>
      <c r="O287" s="95">
        <v>1</v>
      </c>
      <c r="P287" s="95">
        <f t="shared" si="446"/>
      </c>
      <c r="Q287" s="85">
        <f t="shared" si="618"/>
      </c>
      <c r="R287" s="85">
        <f t="shared" si="73"/>
      </c>
      <c r="S287" s="97" t="s">
        <v>154</v>
      </c>
    </row>
    <row customHeight="true" ht="23.703703703703702" r="288">
      <c r="A288" s="93">
        <v>46059</v>
      </c>
      <c r="B288" s="79" t="s">
        <v>133</v>
      </c>
      <c r="C288" s="79">
        <v>9</v>
      </c>
      <c r="D288" s="94" cm="1">
        <f t="array" ref="D288:D288">_xlfn.XLOOKUP(B288&amp;S288,'净-价格-毛利'!A:A&amp;'净-价格-毛利'!B:B,'净-价格-毛利'!D:D,0)</f>
      </c>
      <c r="E288" s="81">
        <f t="shared" si="503"/>
      </c>
      <c r="F288" s="80" cm="1">
        <f t="array" ref="F288:F288">_xlfn.XLOOKUP(B288&amp;S288,'净-价格-毛利'!A:A&amp;'净-价格-毛利'!B:B,'净-价格-毛利'!C:C,0)</f>
      </c>
      <c r="G288" s="81">
        <f t="shared" si="16"/>
      </c>
      <c r="H288" s="81">
        <v>21.75</v>
      </c>
      <c r="I288" s="81">
        <f t="shared" si="132"/>
      </c>
      <c r="J288" s="81">
        <f t="shared" si="190"/>
      </c>
      <c r="K288" s="83">
        <f t="shared" si="259"/>
      </c>
      <c r="L288" s="81">
        <f t="shared" si="328"/>
      </c>
      <c r="M288" s="81">
        <f t="shared" si="387"/>
      </c>
      <c r="N288" s="83">
        <f t="shared" si="560"/>
      </c>
      <c r="O288" s="95">
        <v>2</v>
      </c>
      <c r="P288" s="95">
        <f t="shared" si="446"/>
      </c>
      <c r="Q288" s="85">
        <f t="shared" si="618"/>
      </c>
      <c r="R288" s="85">
        <f t="shared" si="73"/>
      </c>
      <c r="S288" s="97" t="s">
        <v>155</v>
      </c>
    </row>
    <row customHeight="true" ht="23.703703703703702" r="289">
      <c r="A289" s="93">
        <v>46059</v>
      </c>
      <c r="B289" s="79" t="s">
        <v>134</v>
      </c>
      <c r="C289" s="79">
        <v>14</v>
      </c>
      <c r="D289" s="94" cm="1">
        <f t="array" ref="D289:D289">_xlfn.XLOOKUP(B289&amp;S289,'净-价格-毛利'!A:A&amp;'净-价格-毛利'!B:B,'净-价格-毛利'!D:D,0)</f>
      </c>
      <c r="E289" s="81">
        <f t="shared" si="503"/>
      </c>
      <c r="F289" s="80" cm="1">
        <f t="array" ref="F289:F289">_xlfn.XLOOKUP(B289&amp;S289,'净-价格-毛利'!A:A&amp;'净-价格-毛利'!B:B,'净-价格-毛利'!C:C,0)</f>
      </c>
      <c r="G289" s="81">
        <f t="shared" si="16"/>
      </c>
      <c r="H289" s="81">
        <v>77.47</v>
      </c>
      <c r="I289" s="81">
        <f t="shared" si="132"/>
      </c>
      <c r="J289" s="81">
        <f t="shared" si="190"/>
      </c>
      <c r="K289" s="83">
        <f t="shared" si="259"/>
      </c>
      <c r="L289" s="81">
        <f t="shared" si="328"/>
      </c>
      <c r="M289" s="81">
        <f t="shared" si="387"/>
      </c>
      <c r="N289" s="83">
        <f t="shared" si="560"/>
      </c>
      <c r="O289" s="95">
        <v>8</v>
      </c>
      <c r="P289" s="95">
        <f t="shared" si="446"/>
      </c>
      <c r="Q289" s="85">
        <f t="shared" si="618"/>
      </c>
      <c r="R289" s="85">
        <f t="shared" si="73"/>
      </c>
      <c r="S289" s="97" t="s">
        <v>156</v>
      </c>
    </row>
    <row customHeight="true" ht="23.703703703703702" r="290">
      <c r="A290" s="93">
        <v>46059</v>
      </c>
      <c r="B290" s="79" t="s">
        <v>136</v>
      </c>
      <c r="C290" s="79">
        <v>3</v>
      </c>
      <c r="D290" s="94" cm="1">
        <f t="array" ref="D290:D290">_xlfn.XLOOKUP(B290&amp;S290,'净-价格-毛利'!A:A&amp;'净-价格-毛利'!B:B,'净-价格-毛利'!D:D,0)</f>
      </c>
      <c r="E290" s="81">
        <f t="shared" si="503"/>
      </c>
      <c r="F290" s="80" cm="1">
        <f t="array" ref="F290:F290">_xlfn.XLOOKUP(B290&amp;S290,'净-价格-毛利'!A:A&amp;'净-价格-毛利'!B:B,'净-价格-毛利'!C:C,0)</f>
      </c>
      <c r="G290" s="81">
        <f t="shared" si="16"/>
      </c>
      <c r="H290" s="81">
        <v>20.19</v>
      </c>
      <c r="I290" s="81">
        <f t="shared" si="132"/>
      </c>
      <c r="J290" s="81">
        <f t="shared" si="190"/>
      </c>
      <c r="K290" s="83">
        <f t="shared" si="259"/>
      </c>
      <c r="L290" s="81">
        <f>J290*9</f>
      </c>
      <c r="M290" s="81">
        <f>E290*9</f>
      </c>
      <c r="N290" s="83">
        <f t="shared" si="560"/>
      </c>
      <c r="O290" s="95">
        <v>2</v>
      </c>
      <c r="P290" s="95">
        <f t="shared" si="446"/>
      </c>
      <c r="Q290" s="85">
        <f t="shared" si="618"/>
      </c>
      <c r="R290" s="85">
        <f t="shared" si="73"/>
      </c>
      <c r="S290" s="97" t="s">
        <v>157</v>
      </c>
    </row>
    <row customHeight="true" ht="23.703703703703702" r="291">
      <c r="A291" s="93">
        <v>46059</v>
      </c>
      <c r="B291" s="79" t="s">
        <v>137</v>
      </c>
      <c r="C291" s="79"/>
      <c r="D291" s="94" cm="1">
        <f t="array" ref="D291:D291">_xlfn.XLOOKUP(B291&amp;S291,'净-价格-毛利'!A:A&amp;'净-价格-毛利'!B:B,'净-价格-毛利'!D:D,0)</f>
      </c>
      <c r="E291" s="81">
        <f t="shared" si="503"/>
      </c>
      <c r="F291" s="80" cm="1">
        <f t="array" ref="F291:F291">_xlfn.XLOOKUP(B291&amp;S291,'净-价格-毛利'!A:A&amp;'净-价格-毛利'!B:B,'净-价格-毛利'!C:C,0)</f>
      </c>
      <c r="G291" s="81"/>
      <c r="H291" s="81"/>
      <c r="I291" s="81">
        <f t="shared" si="132"/>
      </c>
      <c r="J291" s="81">
        <f>C291*F291-H291-I291</f>
      </c>
      <c r="K291" s="83">
        <f t="shared" si="259"/>
      </c>
      <c r="L291" s="81">
        <f>J291*7</f>
      </c>
      <c r="M291" s="81">
        <f>E291*7</f>
      </c>
      <c r="N291" s="83">
        <f t="shared" si="560"/>
      </c>
      <c r="O291" s="84"/>
      <c r="P291" s="84">
        <f t="shared" si="446"/>
      </c>
      <c r="Q291" s="85">
        <f t="shared" si="618"/>
      </c>
      <c r="R291" s="85"/>
      <c r="S291" s="96"/>
    </row>
    <row customHeight="true" ht="23.703703703703702" r="292">
      <c r="A292" s="93">
        <v>46059</v>
      </c>
      <c r="B292" s="79" t="s">
        <v>111</v>
      </c>
      <c r="C292" s="79">
        <f>SUM(C286:C291)</f>
      </c>
      <c r="D292" s="89"/>
      <c r="E292" s="81">
        <f>SUM(E286:E291)</f>
      </c>
      <c r="F292" s="82">
        <f>SUM(F286:F290)</f>
      </c>
      <c r="G292" s="81"/>
      <c r="H292" s="81"/>
      <c r="I292" s="81"/>
      <c r="J292" s="81">
        <f>SUM(J286:J291)</f>
      </c>
      <c r="K292" s="83">
        <f t="shared" si="259"/>
      </c>
      <c r="L292" s="81">
        <f>SUM(L286:L291)</f>
      </c>
      <c r="M292" s="81">
        <f>SUM(M286:M291)</f>
      </c>
      <c r="N292" s="83"/>
      <c r="O292" s="95">
        <f>SUM(O286:O290)</f>
      </c>
      <c r="P292" s="95">
        <f t="shared" si="446"/>
      </c>
      <c r="Q292" s="85">
        <f t="shared" si="618"/>
      </c>
      <c r="R292" s="85"/>
      <c r="S292" s="89"/>
    </row>
    <row customHeight="true" ht="23.703703703703702" r="293">
      <c r="B293" s="77" t="s">
        <v>138</v>
      </c>
    </row>
    <row customHeight="true" ht="23.703703703703702" r="294">
      <c r="A294" s="71" t="s">
        <v>152</v>
      </c>
      <c r="B294" s="72" t="s">
        <v>112</v>
      </c>
      <c r="C294" s="90" t="s">
        <v>113</v>
      </c>
      <c r="D294" s="72" t="s">
        <v>114</v>
      </c>
      <c r="E294" s="73" t="s">
        <v>115</v>
      </c>
      <c r="F294" s="74" t="s">
        <v>116</v>
      </c>
      <c r="G294" s="73" t="s">
        <v>117</v>
      </c>
      <c r="H294" s="91" t="s">
        <v>118</v>
      </c>
      <c r="I294" s="73" t="s">
        <v>119</v>
      </c>
      <c r="J294" s="73" t="s">
        <v>116</v>
      </c>
      <c r="K294" s="75" t="s">
        <v>120</v>
      </c>
      <c r="L294" s="73" t="s">
        <v>121</v>
      </c>
      <c r="M294" s="73" t="s">
        <v>122</v>
      </c>
      <c r="N294" s="72" t="s">
        <v>123</v>
      </c>
      <c r="O294" s="92" t="s">
        <v>124</v>
      </c>
      <c r="P294" s="76" t="s">
        <v>125</v>
      </c>
      <c r="Q294" s="75" t="s">
        <v>126</v>
      </c>
      <c r="R294" s="75" t="s">
        <v>127</v>
      </c>
      <c r="S294" s="75" t="s">
        <v>140</v>
      </c>
    </row>
    <row customHeight="true" ht="23.703703703703702" r="295">
      <c r="A295" s="93">
        <v>46060</v>
      </c>
      <c r="B295" s="79" t="s">
        <v>130</v>
      </c>
      <c r="C295" s="79">
        <v>8</v>
      </c>
      <c r="D295" s="94" cm="1">
        <f t="array" ref="D295:D295">_xlfn.XLOOKUP(B295&amp;S295,'净-价格-毛利'!A:A&amp;'净-价格-毛利'!B:B,'净-价格-毛利'!D:D,0)</f>
      </c>
      <c r="E295" s="81">
        <f t="shared" ref="E295:E300" si="504">C295*D295</f>
      </c>
      <c r="F295" s="80" cm="1">
        <f t="array" ref="F295:F295">_xlfn.XLOOKUP(B295&amp;S295,'净-价格-毛利'!A:A&amp;'净-价格-毛利'!B:B,'净-价格-毛利'!C:C,0)</f>
      </c>
      <c r="G295" s="81">
        <f t="shared" ref="G295:G299" si="17">C295*5</f>
      </c>
      <c r="H295" s="81">
        <v>62.75</v>
      </c>
      <c r="I295" s="81">
        <f t="shared" ref="I295:I300" si="133">E295*0.025</f>
      </c>
      <c r="J295" s="81">
        <f t="shared" ref="J295:J299" si="191">F295*C295+G295-H295-I295</f>
      </c>
      <c r="K295" s="83">
        <f t="shared" ref="K295:K301" si="260">IFERROR(J295/E295,0)</f>
      </c>
      <c r="L295" s="81">
        <f t="shared" ref="L295:L298" si="329">J295*8</f>
      </c>
      <c r="M295" s="81">
        <f t="shared" ref="M295:M298" si="388">E295*8</f>
      </c>
      <c r="N295" s="83">
        <f t="shared" ref="N295:N300" si="561">IFERROR(H295/E295,0)</f>
      </c>
      <c r="O295" s="95">
        <v>5</v>
      </c>
      <c r="P295" s="95">
        <f t="shared" ref="P295:P301" si="447">C295-O295</f>
      </c>
      <c r="Q295" s="85">
        <f t="shared" ref="Q295:Q301" si="619">IFERROR(O295/C295,0)</f>
      </c>
      <c r="R295" s="85">
        <f t="shared" ref="R295:R299" si="74">IFERROR(H295/(E295*Q295),0)</f>
      </c>
      <c r="S295" s="97" t="s">
        <v>153</v>
      </c>
    </row>
    <row customHeight="true" ht="23.703703703703702" r="296">
      <c r="A296" s="93">
        <v>46060</v>
      </c>
      <c r="B296" s="79" t="s">
        <v>131</v>
      </c>
      <c r="C296" s="79">
        <v>2</v>
      </c>
      <c r="D296" s="94" cm="1">
        <f t="array" ref="D296:D296">_xlfn.XLOOKUP(B296&amp;S296,'净-价格-毛利'!A:A&amp;'净-价格-毛利'!B:B,'净-价格-毛利'!D:D,0)</f>
      </c>
      <c r="E296" s="81">
        <f t="shared" si="504"/>
      </c>
      <c r="F296" s="80" cm="1">
        <f t="array" ref="F296:F296">_xlfn.XLOOKUP(B296&amp;S296,'净-价格-毛利'!A:A&amp;'净-价格-毛利'!B:B,'净-价格-毛利'!C:C,0)</f>
      </c>
      <c r="G296" s="81">
        <f t="shared" si="17"/>
      </c>
      <c r="H296" s="81">
        <v>17.21</v>
      </c>
      <c r="I296" s="81">
        <f t="shared" si="133"/>
      </c>
      <c r="J296" s="81">
        <f t="shared" si="191"/>
      </c>
      <c r="K296" s="83">
        <f t="shared" si="260"/>
      </c>
      <c r="L296" s="81">
        <f t="shared" si="329"/>
      </c>
      <c r="M296" s="81">
        <f t="shared" si="388"/>
      </c>
      <c r="N296" s="83">
        <f t="shared" si="561"/>
      </c>
      <c r="O296" s="95">
        <v>0</v>
      </c>
      <c r="P296" s="95">
        <f t="shared" si="447"/>
      </c>
      <c r="Q296" s="85">
        <f t="shared" si="619"/>
      </c>
      <c r="R296" s="85">
        <f t="shared" si="74"/>
      </c>
      <c r="S296" s="97" t="s">
        <v>154</v>
      </c>
    </row>
    <row customHeight="true" ht="23.703703703703702" r="297">
      <c r="A297" s="93">
        <v>46060</v>
      </c>
      <c r="B297" s="79" t="s">
        <v>133</v>
      </c>
      <c r="C297" s="79">
        <v>4</v>
      </c>
      <c r="D297" s="94" cm="1">
        <f t="array" ref="D297:D297">_xlfn.XLOOKUP(B297&amp;S297,'净-价格-毛利'!A:A&amp;'净-价格-毛利'!B:B,'净-价格-毛利'!D:D,0)</f>
      </c>
      <c r="E297" s="81">
        <f t="shared" si="504"/>
      </c>
      <c r="F297" s="80" cm="1">
        <f t="array" ref="F297:F297">_xlfn.XLOOKUP(B297&amp;S297,'净-价格-毛利'!A:A&amp;'净-价格-毛利'!B:B,'净-价格-毛利'!C:C,0)</f>
      </c>
      <c r="G297" s="81">
        <f t="shared" si="17"/>
      </c>
      <c r="H297" s="81">
        <v>23.24</v>
      </c>
      <c r="I297" s="81">
        <f t="shared" si="133"/>
      </c>
      <c r="J297" s="81">
        <f t="shared" si="191"/>
      </c>
      <c r="K297" s="83">
        <f t="shared" si="260"/>
      </c>
      <c r="L297" s="81">
        <f t="shared" si="329"/>
      </c>
      <c r="M297" s="81">
        <f t="shared" si="388"/>
      </c>
      <c r="N297" s="83">
        <f t="shared" si="561"/>
      </c>
      <c r="O297" s="95">
        <v>1</v>
      </c>
      <c r="P297" s="95">
        <f t="shared" si="447"/>
      </c>
      <c r="Q297" s="85">
        <f t="shared" si="619"/>
      </c>
      <c r="R297" s="85">
        <f t="shared" si="74"/>
      </c>
      <c r="S297" s="97" t="s">
        <v>155</v>
      </c>
    </row>
    <row customHeight="true" ht="23.703703703703702" r="298">
      <c r="A298" s="93">
        <v>46060</v>
      </c>
      <c r="B298" s="79" t="s">
        <v>134</v>
      </c>
      <c r="C298" s="79">
        <v>9</v>
      </c>
      <c r="D298" s="94" cm="1">
        <f t="array" ref="D298:D298">_xlfn.XLOOKUP(B298&amp;S298,'净-价格-毛利'!A:A&amp;'净-价格-毛利'!B:B,'净-价格-毛利'!D:D,0)</f>
      </c>
      <c r="E298" s="81">
        <f t="shared" si="504"/>
      </c>
      <c r="F298" s="80" cm="1">
        <f t="array" ref="F298:F298">_xlfn.XLOOKUP(B298&amp;S298,'净-价格-毛利'!A:A&amp;'净-价格-毛利'!B:B,'净-价格-毛利'!C:C,0)</f>
      </c>
      <c r="G298" s="81">
        <f t="shared" si="17"/>
      </c>
      <c r="H298" s="81">
        <v>97.25</v>
      </c>
      <c r="I298" s="81">
        <f t="shared" si="133"/>
      </c>
      <c r="J298" s="81">
        <f t="shared" si="191"/>
      </c>
      <c r="K298" s="83">
        <f t="shared" si="260"/>
      </c>
      <c r="L298" s="81">
        <f t="shared" si="329"/>
      </c>
      <c r="M298" s="81">
        <f t="shared" si="388"/>
      </c>
      <c r="N298" s="83">
        <f t="shared" si="561"/>
      </c>
      <c r="O298" s="95">
        <v>9</v>
      </c>
      <c r="P298" s="95">
        <f t="shared" si="447"/>
      </c>
      <c r="Q298" s="85">
        <f t="shared" si="619"/>
      </c>
      <c r="R298" s="85">
        <f t="shared" si="74"/>
      </c>
      <c r="S298" s="97" t="s">
        <v>156</v>
      </c>
    </row>
    <row customHeight="true" ht="23.703703703703702" r="299">
      <c r="A299" s="93">
        <v>46060</v>
      </c>
      <c r="B299" s="79" t="s">
        <v>136</v>
      </c>
      <c r="C299" s="79">
        <v>2</v>
      </c>
      <c r="D299" s="94" cm="1">
        <f t="array" ref="D299:D299">_xlfn.XLOOKUP(B299&amp;S299,'净-价格-毛利'!A:A&amp;'净-价格-毛利'!B:B,'净-价格-毛利'!D:D,0)</f>
      </c>
      <c r="E299" s="81">
        <f t="shared" si="504"/>
      </c>
      <c r="F299" s="80" cm="1">
        <f t="array" ref="F299:F299">_xlfn.XLOOKUP(B299&amp;S299,'净-价格-毛利'!A:A&amp;'净-价格-毛利'!B:B,'净-价格-毛利'!C:C,0)</f>
      </c>
      <c r="G299" s="81">
        <f t="shared" si="17"/>
      </c>
      <c r="H299" s="81">
        <v>37.93</v>
      </c>
      <c r="I299" s="81">
        <f t="shared" si="133"/>
      </c>
      <c r="J299" s="81">
        <f t="shared" si="191"/>
      </c>
      <c r="K299" s="83">
        <f t="shared" si="260"/>
      </c>
      <c r="L299" s="81">
        <f>J299*9</f>
      </c>
      <c r="M299" s="81">
        <f>E299*9</f>
      </c>
      <c r="N299" s="83">
        <f t="shared" si="561"/>
      </c>
      <c r="O299" s="95">
        <v>2</v>
      </c>
      <c r="P299" s="95">
        <f t="shared" si="447"/>
      </c>
      <c r="Q299" s="85">
        <f t="shared" si="619"/>
      </c>
      <c r="R299" s="85">
        <f t="shared" si="74"/>
      </c>
      <c r="S299" s="97" t="s">
        <v>157</v>
      </c>
    </row>
    <row customHeight="true" ht="23.703703703703702" r="300">
      <c r="A300" s="93">
        <v>46060</v>
      </c>
      <c r="B300" s="79" t="s">
        <v>137</v>
      </c>
      <c r="C300" s="79"/>
      <c r="D300" s="94" cm="1">
        <f t="array" ref="D300:D300">_xlfn.XLOOKUP(B300&amp;S300,'净-价格-毛利'!A:A&amp;'净-价格-毛利'!B:B,'净-价格-毛利'!D:D,0)</f>
      </c>
      <c r="E300" s="81">
        <f t="shared" si="504"/>
      </c>
      <c r="F300" s="80" cm="1">
        <f t="array" ref="F300:F300">_xlfn.XLOOKUP(B300&amp;S300,'净-价格-毛利'!A:A&amp;'净-价格-毛利'!B:B,'净-价格-毛利'!C:C,0)</f>
      </c>
      <c r="G300" s="81"/>
      <c r="H300" s="81"/>
      <c r="I300" s="81">
        <f t="shared" si="133"/>
      </c>
      <c r="J300" s="81">
        <f>C300*F300-H300-I300</f>
      </c>
      <c r="K300" s="83">
        <f t="shared" si="260"/>
      </c>
      <c r="L300" s="81">
        <f>J300*7</f>
      </c>
      <c r="M300" s="81">
        <f>E300*7</f>
      </c>
      <c r="N300" s="83">
        <f t="shared" si="561"/>
      </c>
      <c r="O300" s="84"/>
      <c r="P300" s="84">
        <f t="shared" si="447"/>
      </c>
      <c r="Q300" s="85">
        <f t="shared" si="619"/>
      </c>
      <c r="R300" s="85"/>
      <c r="S300" s="96"/>
    </row>
    <row customHeight="true" ht="23.703703703703702" r="301">
      <c r="A301" s="93">
        <v>46060</v>
      </c>
      <c r="B301" s="79" t="s">
        <v>111</v>
      </c>
      <c r="C301" s="79">
        <f>SUM(C295:C300)</f>
      </c>
      <c r="D301" s="89"/>
      <c r="E301" s="81">
        <f>SUM(E295:E300)</f>
      </c>
      <c r="F301" s="82">
        <f>SUM(F295:F299)</f>
      </c>
      <c r="G301" s="81"/>
      <c r="H301" s="81"/>
      <c r="I301" s="81"/>
      <c r="J301" s="81">
        <f>SUM(J295:J300)</f>
      </c>
      <c r="K301" s="83">
        <f t="shared" si="260"/>
      </c>
      <c r="L301" s="81">
        <f>SUM(L295:L300)</f>
      </c>
      <c r="M301" s="81">
        <f>SUM(M295:M300)</f>
      </c>
      <c r="N301" s="83"/>
      <c r="O301" s="95">
        <f>SUM(O295:O299)</f>
      </c>
      <c r="P301" s="95">
        <f t="shared" si="447"/>
      </c>
      <c r="Q301" s="85">
        <f t="shared" si="619"/>
      </c>
      <c r="R301" s="85"/>
      <c r="S301" s="89"/>
    </row>
    <row customHeight="true" ht="23.703703703703702" r="302">
      <c r="B302" s="77" t="s">
        <v>138</v>
      </c>
    </row>
    <row customHeight="true" ht="23.703703703703702" r="303">
      <c r="A303" s="71" t="s">
        <v>152</v>
      </c>
      <c r="B303" s="72" t="s">
        <v>112</v>
      </c>
      <c r="C303" s="90" t="s">
        <v>113</v>
      </c>
      <c r="D303" s="72" t="s">
        <v>114</v>
      </c>
      <c r="E303" s="73" t="s">
        <v>115</v>
      </c>
      <c r="F303" s="74" t="s">
        <v>116</v>
      </c>
      <c r="G303" s="73" t="s">
        <v>117</v>
      </c>
      <c r="H303" s="91" t="s">
        <v>118</v>
      </c>
      <c r="I303" s="73" t="s">
        <v>119</v>
      </c>
      <c r="J303" s="73" t="s">
        <v>116</v>
      </c>
      <c r="K303" s="75" t="s">
        <v>120</v>
      </c>
      <c r="L303" s="73" t="s">
        <v>121</v>
      </c>
      <c r="M303" s="73" t="s">
        <v>122</v>
      </c>
      <c r="N303" s="72" t="s">
        <v>123</v>
      </c>
      <c r="O303" s="92" t="s">
        <v>124</v>
      </c>
      <c r="P303" s="76" t="s">
        <v>125</v>
      </c>
      <c r="Q303" s="75" t="s">
        <v>126</v>
      </c>
      <c r="R303" s="75" t="s">
        <v>127</v>
      </c>
      <c r="S303" s="75" t="s">
        <v>140</v>
      </c>
    </row>
    <row customHeight="true" ht="23.703703703703702" r="304">
      <c r="A304" s="93">
        <v>46061</v>
      </c>
      <c r="B304" s="79" t="s">
        <v>130</v>
      </c>
      <c r="C304" s="79">
        <v>10</v>
      </c>
      <c r="D304" s="94" cm="1">
        <f t="array" ref="D304:D304">_xlfn.XLOOKUP(B304&amp;S304,'净-价格-毛利'!A:A&amp;'净-价格-毛利'!B:B,'净-价格-毛利'!D:D,0)</f>
      </c>
      <c r="E304" s="81">
        <f t="shared" ref="E304:E309" si="505">C304*D304</f>
      </c>
      <c r="F304" s="80" cm="1">
        <f t="array" ref="F304:F304">_xlfn.XLOOKUP(B304&amp;S304,'净-价格-毛利'!A:A&amp;'净-价格-毛利'!B:B,'净-价格-毛利'!C:C,0)</f>
      </c>
      <c r="G304" s="81">
        <f t="shared" ref="G304:G308" si="18">C304*5</f>
      </c>
      <c r="H304" s="81">
        <v>105.17</v>
      </c>
      <c r="I304" s="81">
        <f t="shared" ref="I304:I309" si="134">E304*0.025</f>
      </c>
      <c r="J304" s="81">
        <f t="shared" ref="J304:J308" si="192">F304*C304+G304-H304-I304</f>
      </c>
      <c r="K304" s="83">
        <f t="shared" ref="K304:K310" si="261">IFERROR(J304/E304,0)</f>
      </c>
      <c r="L304" s="81">
        <f t="shared" ref="L304:L307" si="330">J304*8</f>
      </c>
      <c r="M304" s="81">
        <f t="shared" ref="M304:M307" si="389">E304*8</f>
      </c>
      <c r="N304" s="83">
        <f t="shared" ref="N304:N309" si="562">IFERROR(H304/E304,0)</f>
      </c>
      <c r="O304" s="95">
        <v>7</v>
      </c>
      <c r="P304" s="95">
        <f t="shared" ref="P304:P310" si="448">C304-O304</f>
      </c>
      <c r="Q304" s="85">
        <f t="shared" ref="Q304:Q310" si="620">IFERROR(O304/C304,0)</f>
      </c>
      <c r="R304" s="85">
        <f t="shared" ref="R304:R308" si="75">IFERROR(H304/(E304*Q304),0)</f>
      </c>
      <c r="S304" s="97" t="s">
        <v>153</v>
      </c>
    </row>
    <row customHeight="true" ht="23.703703703703702" r="305">
      <c r="A305" s="93">
        <v>46061</v>
      </c>
      <c r="B305" s="79" t="s">
        <v>131</v>
      </c>
      <c r="C305" s="79">
        <v>3</v>
      </c>
      <c r="D305" s="94" cm="1">
        <f t="array" ref="D305:D305">_xlfn.XLOOKUP(B305&amp;S305,'净-价格-毛利'!A:A&amp;'净-价格-毛利'!B:B,'净-价格-毛利'!D:D,0)</f>
      </c>
      <c r="E305" s="81">
        <f t="shared" si="505"/>
      </c>
      <c r="F305" s="80" cm="1">
        <f t="array" ref="F305:F305">_xlfn.XLOOKUP(B305&amp;S305,'净-价格-毛利'!A:A&amp;'净-价格-毛利'!B:B,'净-价格-毛利'!C:C,0)</f>
      </c>
      <c r="G305" s="81">
        <f t="shared" si="18"/>
      </c>
      <c r="H305" s="81">
        <v>27.31</v>
      </c>
      <c r="I305" s="81">
        <f t="shared" si="134"/>
      </c>
      <c r="J305" s="81">
        <f t="shared" si="192"/>
      </c>
      <c r="K305" s="83">
        <f t="shared" si="261"/>
      </c>
      <c r="L305" s="81">
        <f t="shared" si="330"/>
      </c>
      <c r="M305" s="81">
        <f t="shared" si="389"/>
      </c>
      <c r="N305" s="83">
        <f t="shared" si="562"/>
      </c>
      <c r="O305" s="95">
        <v>3</v>
      </c>
      <c r="P305" s="95">
        <f t="shared" si="448"/>
      </c>
      <c r="Q305" s="85">
        <f t="shared" si="620"/>
      </c>
      <c r="R305" s="85">
        <f t="shared" si="75"/>
      </c>
      <c r="S305" s="97" t="s">
        <v>154</v>
      </c>
    </row>
    <row customHeight="true" ht="23.703703703703702" r="306">
      <c r="A306" s="93">
        <v>46061</v>
      </c>
      <c r="B306" s="79" t="s">
        <v>133</v>
      </c>
      <c r="C306" s="79">
        <v>8</v>
      </c>
      <c r="D306" s="94" cm="1">
        <f t="array" ref="D306:D306">_xlfn.XLOOKUP(B306&amp;S306,'净-价格-毛利'!A:A&amp;'净-价格-毛利'!B:B,'净-价格-毛利'!D:D,0)</f>
      </c>
      <c r="E306" s="81">
        <f t="shared" si="505"/>
      </c>
      <c r="F306" s="80" cm="1">
        <f t="array" ref="F306:F306">_xlfn.XLOOKUP(B306&amp;S306,'净-价格-毛利'!A:A&amp;'净-价格-毛利'!B:B,'净-价格-毛利'!C:C,0)</f>
      </c>
      <c r="G306" s="81">
        <f t="shared" si="18"/>
      </c>
      <c r="H306" s="81">
        <v>42.25</v>
      </c>
      <c r="I306" s="81">
        <f t="shared" si="134"/>
      </c>
      <c r="J306" s="81">
        <f t="shared" si="192"/>
      </c>
      <c r="K306" s="83">
        <f t="shared" si="261"/>
      </c>
      <c r="L306" s="81">
        <f t="shared" si="330"/>
      </c>
      <c r="M306" s="81">
        <f t="shared" si="389"/>
      </c>
      <c r="N306" s="83">
        <f t="shared" si="562"/>
      </c>
      <c r="O306" s="95">
        <v>3</v>
      </c>
      <c r="P306" s="95">
        <f t="shared" si="448"/>
      </c>
      <c r="Q306" s="85">
        <f t="shared" si="620"/>
      </c>
      <c r="R306" s="85">
        <f t="shared" si="75"/>
      </c>
      <c r="S306" s="97" t="s">
        <v>155</v>
      </c>
    </row>
    <row customHeight="true" ht="23.703703703703702" r="307">
      <c r="A307" s="93">
        <v>46061</v>
      </c>
      <c r="B307" s="79" t="s">
        <v>134</v>
      </c>
      <c r="C307" s="79">
        <v>16</v>
      </c>
      <c r="D307" s="94" cm="1">
        <f t="array" ref="D307:D307">_xlfn.XLOOKUP(B307&amp;S307,'净-价格-毛利'!A:A&amp;'净-价格-毛利'!B:B,'净-价格-毛利'!D:D,0)</f>
      </c>
      <c r="E307" s="81">
        <f t="shared" si="505"/>
      </c>
      <c r="F307" s="80" cm="1">
        <f t="array" ref="F307:F307">_xlfn.XLOOKUP(B307&amp;S307,'净-价格-毛利'!A:A&amp;'净-价格-毛利'!B:B,'净-价格-毛利'!C:C,0)</f>
      </c>
      <c r="G307" s="81">
        <f t="shared" si="18"/>
      </c>
      <c r="H307" s="81">
        <v>151.2</v>
      </c>
      <c r="I307" s="81">
        <f t="shared" si="134"/>
      </c>
      <c r="J307" s="81">
        <f t="shared" si="192"/>
      </c>
      <c r="K307" s="83">
        <f t="shared" si="261"/>
      </c>
      <c r="L307" s="81">
        <f t="shared" si="330"/>
      </c>
      <c r="M307" s="81">
        <f t="shared" si="389"/>
      </c>
      <c r="N307" s="83">
        <f t="shared" si="562"/>
      </c>
      <c r="O307" s="95">
        <v>7</v>
      </c>
      <c r="P307" s="95">
        <f t="shared" si="448"/>
      </c>
      <c r="Q307" s="85">
        <f t="shared" si="620"/>
      </c>
      <c r="R307" s="85">
        <f t="shared" si="75"/>
      </c>
      <c r="S307" s="97" t="s">
        <v>156</v>
      </c>
    </row>
    <row customHeight="true" ht="23.703703703703702" r="308">
      <c r="A308" s="93">
        <v>46061</v>
      </c>
      <c r="B308" s="79" t="s">
        <v>136</v>
      </c>
      <c r="C308" s="79">
        <v>2</v>
      </c>
      <c r="D308" s="94" cm="1">
        <f t="array" ref="D308:D308">_xlfn.XLOOKUP(B308&amp;S308,'净-价格-毛利'!A:A&amp;'净-价格-毛利'!B:B,'净-价格-毛利'!D:D,0)</f>
      </c>
      <c r="E308" s="81">
        <f t="shared" si="505"/>
      </c>
      <c r="F308" s="80" cm="1">
        <f t="array" ref="F308:F308">_xlfn.XLOOKUP(B308&amp;S308,'净-价格-毛利'!A:A&amp;'净-价格-毛利'!B:B,'净-价格-毛利'!C:C,0)</f>
      </c>
      <c r="G308" s="81">
        <f t="shared" si="18"/>
      </c>
      <c r="H308" s="81">
        <v>23.64</v>
      </c>
      <c r="I308" s="81">
        <f t="shared" si="134"/>
      </c>
      <c r="J308" s="81">
        <f t="shared" si="192"/>
      </c>
      <c r="K308" s="83">
        <f t="shared" si="261"/>
      </c>
      <c r="L308" s="81">
        <f>J308*9</f>
      </c>
      <c r="M308" s="81">
        <f>E308*9</f>
      </c>
      <c r="N308" s="83">
        <f t="shared" si="562"/>
      </c>
      <c r="O308" s="95">
        <v>0</v>
      </c>
      <c r="P308" s="95">
        <f t="shared" si="448"/>
      </c>
      <c r="Q308" s="85">
        <f t="shared" si="620"/>
      </c>
      <c r="R308" s="85">
        <f t="shared" si="75"/>
      </c>
      <c r="S308" s="97" t="s">
        <v>157</v>
      </c>
    </row>
    <row customHeight="true" ht="23.703703703703702" r="309">
      <c r="A309" s="93">
        <v>46061</v>
      </c>
      <c r="B309" s="79" t="s">
        <v>137</v>
      </c>
      <c r="C309" s="79"/>
      <c r="D309" s="94" cm="1">
        <f t="array" ref="D309:D309">_xlfn.XLOOKUP(B309&amp;S309,'净-价格-毛利'!A:A&amp;'净-价格-毛利'!B:B,'净-价格-毛利'!D:D,0)</f>
      </c>
      <c r="E309" s="81">
        <f t="shared" si="505"/>
      </c>
      <c r="F309" s="80" cm="1">
        <f t="array" ref="F309:F309">_xlfn.XLOOKUP(B309&amp;S309,'净-价格-毛利'!A:A&amp;'净-价格-毛利'!B:B,'净-价格-毛利'!C:C,0)</f>
      </c>
      <c r="G309" s="81"/>
      <c r="H309" s="81"/>
      <c r="I309" s="81">
        <f t="shared" si="134"/>
      </c>
      <c r="J309" s="81">
        <f>C309*F309-H309-I309</f>
      </c>
      <c r="K309" s="83">
        <f t="shared" si="261"/>
      </c>
      <c r="L309" s="81">
        <f>J309*7</f>
      </c>
      <c r="M309" s="81">
        <f>E309*7</f>
      </c>
      <c r="N309" s="83">
        <f t="shared" si="562"/>
      </c>
      <c r="O309" s="84"/>
      <c r="P309" s="84">
        <f t="shared" si="448"/>
      </c>
      <c r="Q309" s="85">
        <f t="shared" si="620"/>
      </c>
      <c r="R309" s="85"/>
      <c r="S309" s="96"/>
    </row>
    <row customHeight="true" ht="23.703703703703702" r="310">
      <c r="A310" s="93">
        <v>46061</v>
      </c>
      <c r="B310" s="79" t="s">
        <v>111</v>
      </c>
      <c r="C310" s="79">
        <f>SUM(C304:C309)</f>
      </c>
      <c r="D310" s="89"/>
      <c r="E310" s="81">
        <f>SUM(E304:E309)</f>
      </c>
      <c r="F310" s="82">
        <f>SUM(F304:F308)</f>
      </c>
      <c r="G310" s="81"/>
      <c r="H310" s="81"/>
      <c r="I310" s="81"/>
      <c r="J310" s="81">
        <f>SUM(J304:J309)</f>
      </c>
      <c r="K310" s="83">
        <f t="shared" si="261"/>
      </c>
      <c r="L310" s="81">
        <f>SUM(L304:L309)</f>
      </c>
      <c r="M310" s="81">
        <f>SUM(M304:M309)</f>
      </c>
      <c r="N310" s="83"/>
      <c r="O310" s="95">
        <f>SUM(O304:O308)</f>
      </c>
      <c r="P310" s="95">
        <f t="shared" si="448"/>
      </c>
      <c r="Q310" s="85">
        <f t="shared" si="620"/>
      </c>
      <c r="R310" s="85"/>
      <c r="S310" s="89"/>
    </row>
    <row customHeight="true" ht="23.703703703703702" r="311">
      <c r="B311" s="77" t="s">
        <v>138</v>
      </c>
    </row>
    <row customHeight="true" ht="23.703703703703702" r="312">
      <c r="A312" s="71" t="s">
        <v>152</v>
      </c>
      <c r="B312" s="72" t="s">
        <v>112</v>
      </c>
      <c r="C312" s="90" t="s">
        <v>113</v>
      </c>
      <c r="D312" s="72" t="s">
        <v>114</v>
      </c>
      <c r="E312" s="73" t="s">
        <v>115</v>
      </c>
      <c r="F312" s="74" t="s">
        <v>116</v>
      </c>
      <c r="G312" s="73" t="s">
        <v>117</v>
      </c>
      <c r="H312" s="91" t="s">
        <v>118</v>
      </c>
      <c r="I312" s="73" t="s">
        <v>119</v>
      </c>
      <c r="J312" s="73" t="s">
        <v>116</v>
      </c>
      <c r="K312" s="75" t="s">
        <v>120</v>
      </c>
      <c r="L312" s="73" t="s">
        <v>121</v>
      </c>
      <c r="M312" s="73" t="s">
        <v>122</v>
      </c>
      <c r="N312" s="72" t="s">
        <v>123</v>
      </c>
      <c r="O312" s="92" t="s">
        <v>124</v>
      </c>
      <c r="P312" s="76" t="s">
        <v>125</v>
      </c>
      <c r="Q312" s="75" t="s">
        <v>126</v>
      </c>
      <c r="R312" s="75" t="s">
        <v>127</v>
      </c>
      <c r="S312" s="75" t="s">
        <v>140</v>
      </c>
    </row>
    <row customHeight="true" ht="23.703703703703702" r="313">
      <c r="A313" s="93">
        <v>46062</v>
      </c>
      <c r="B313" s="79" t="s">
        <v>130</v>
      </c>
      <c r="C313" s="79">
        <v>3</v>
      </c>
      <c r="D313" s="94" cm="1">
        <f t="array" ref="D313:D313">_xlfn.XLOOKUP(B313&amp;S313,'净-价格-毛利'!A:A&amp;'净-价格-毛利'!B:B,'净-价格-毛利'!D:D,0)</f>
      </c>
      <c r="E313" s="81">
        <f t="shared" ref="E313:E318" si="506">C313*D313</f>
      </c>
      <c r="F313" s="80" cm="1">
        <f t="array" ref="F313:F313">_xlfn.XLOOKUP(B313&amp;S313,'净-价格-毛利'!A:A&amp;'净-价格-毛利'!B:B,'净-价格-毛利'!C:C,0)</f>
      </c>
      <c r="G313" s="81">
        <f t="shared" ref="G313:G317" si="19">C313*5</f>
      </c>
      <c r="H313" s="81">
        <v>70.64</v>
      </c>
      <c r="I313" s="81">
        <f t="shared" ref="I313:I318" si="135">E313*0.025</f>
      </c>
      <c r="J313" s="81">
        <f t="shared" ref="J313:J317" si="193">F313*C313+G313-H313-I313</f>
      </c>
      <c r="K313" s="83">
        <f t="shared" ref="K313:K319" si="262">IFERROR(J313/E313,0)</f>
      </c>
      <c r="L313" s="81">
        <f t="shared" ref="L313:L316" si="331">J313*8</f>
      </c>
      <c r="M313" s="81">
        <f t="shared" ref="M313:M316" si="390">E313*8</f>
      </c>
      <c r="N313" s="83">
        <f t="shared" ref="N313:N318" si="563">IFERROR(H313/E313,0)</f>
      </c>
      <c r="O313" s="95">
        <v>3</v>
      </c>
      <c r="P313" s="95">
        <f t="shared" ref="P313:P319" si="449">C313-O313</f>
      </c>
      <c r="Q313" s="85">
        <f t="shared" ref="Q313:Q319" si="621">IFERROR(O313/C313,0)</f>
      </c>
      <c r="R313" s="85">
        <f t="shared" ref="R313:R317" si="76">IFERROR(H313/(E313*Q313),0)</f>
      </c>
      <c r="S313" s="97" t="s">
        <v>153</v>
      </c>
    </row>
    <row customHeight="true" ht="23.703703703703702" r="314">
      <c r="A314" s="93">
        <v>46062</v>
      </c>
      <c r="B314" s="79" t="s">
        <v>131</v>
      </c>
      <c r="C314" s="79">
        <v>2</v>
      </c>
      <c r="D314" s="94" cm="1">
        <f t="array" ref="D314:D314">_xlfn.XLOOKUP(B314&amp;S314,'净-价格-毛利'!A:A&amp;'净-价格-毛利'!B:B,'净-价格-毛利'!D:D,0)</f>
      </c>
      <c r="E314" s="81">
        <f t="shared" si="506"/>
      </c>
      <c r="F314" s="80" cm="1">
        <f t="array" ref="F314:F314">_xlfn.XLOOKUP(B314&amp;S314,'净-价格-毛利'!A:A&amp;'净-价格-毛利'!B:B,'净-价格-毛利'!C:C,0)</f>
      </c>
      <c r="G314" s="81">
        <f t="shared" si="19"/>
      </c>
      <c r="H314" s="81">
        <v>20.53</v>
      </c>
      <c r="I314" s="81">
        <f t="shared" si="135"/>
      </c>
      <c r="J314" s="81">
        <f t="shared" si="193"/>
      </c>
      <c r="K314" s="83">
        <f t="shared" si="262"/>
      </c>
      <c r="L314" s="81">
        <f t="shared" si="331"/>
      </c>
      <c r="M314" s="81">
        <f t="shared" si="390"/>
      </c>
      <c r="N314" s="83">
        <f t="shared" si="563"/>
      </c>
      <c r="O314" s="95">
        <v>1</v>
      </c>
      <c r="P314" s="95">
        <f t="shared" si="449"/>
      </c>
      <c r="Q314" s="85">
        <f t="shared" si="621"/>
      </c>
      <c r="R314" s="85">
        <f t="shared" si="76"/>
      </c>
      <c r="S314" s="97" t="s">
        <v>154</v>
      </c>
    </row>
    <row customHeight="true" ht="23.703703703703702" r="315">
      <c r="A315" s="93">
        <v>46062</v>
      </c>
      <c r="B315" s="79" t="s">
        <v>133</v>
      </c>
      <c r="C315" s="79">
        <v>10</v>
      </c>
      <c r="D315" s="94" cm="1">
        <f t="array" ref="D315:D315">_xlfn.XLOOKUP(B315&amp;S315,'净-价格-毛利'!A:A&amp;'净-价格-毛利'!B:B,'净-价格-毛利'!D:D,0)</f>
      </c>
      <c r="E315" s="81">
        <f t="shared" si="506"/>
      </c>
      <c r="F315" s="80" cm="1">
        <f t="array" ref="F315:F315">_xlfn.XLOOKUP(B315&amp;S315,'净-价格-毛利'!A:A&amp;'净-价格-毛利'!B:B,'净-价格-毛利'!C:C,0)</f>
      </c>
      <c r="G315" s="81">
        <f t="shared" si="19"/>
      </c>
      <c r="H315" s="81">
        <v>32.29</v>
      </c>
      <c r="I315" s="81">
        <f t="shared" si="135"/>
      </c>
      <c r="J315" s="81">
        <f t="shared" si="193"/>
      </c>
      <c r="K315" s="83">
        <f t="shared" si="262"/>
      </c>
      <c r="L315" s="81">
        <f t="shared" si="331"/>
      </c>
      <c r="M315" s="81">
        <f t="shared" si="390"/>
      </c>
      <c r="N315" s="83">
        <f t="shared" si="563"/>
      </c>
      <c r="O315" s="95">
        <v>3</v>
      </c>
      <c r="P315" s="95">
        <f t="shared" si="449"/>
      </c>
      <c r="Q315" s="85">
        <f t="shared" si="621"/>
      </c>
      <c r="R315" s="85">
        <f t="shared" si="76"/>
      </c>
      <c r="S315" s="97" t="s">
        <v>155</v>
      </c>
    </row>
    <row customHeight="true" ht="23.703703703703702" r="316">
      <c r="A316" s="93">
        <v>46062</v>
      </c>
      <c r="B316" s="79" t="s">
        <v>134</v>
      </c>
      <c r="C316" s="79">
        <v>12</v>
      </c>
      <c r="D316" s="94" cm="1">
        <f t="array" ref="D316:D316">_xlfn.XLOOKUP(B316&amp;S316,'净-价格-毛利'!A:A&amp;'净-价格-毛利'!B:B,'净-价格-毛利'!D:D,0)</f>
      </c>
      <c r="E316" s="81">
        <f t="shared" si="506"/>
      </c>
      <c r="F316" s="80" cm="1">
        <f t="array" ref="F316:F316">_xlfn.XLOOKUP(B316&amp;S316,'净-价格-毛利'!A:A&amp;'净-价格-毛利'!B:B,'净-价格-毛利'!C:C,0)</f>
      </c>
      <c r="G316" s="81">
        <f t="shared" si="19"/>
      </c>
      <c r="H316" s="81">
        <v>115.25</v>
      </c>
      <c r="I316" s="81">
        <f t="shared" si="135"/>
      </c>
      <c r="J316" s="81">
        <f t="shared" si="193"/>
      </c>
      <c r="K316" s="83">
        <f t="shared" si="262"/>
      </c>
      <c r="L316" s="81">
        <f t="shared" si="331"/>
      </c>
      <c r="M316" s="81">
        <f t="shared" si="390"/>
      </c>
      <c r="N316" s="83">
        <f t="shared" si="563"/>
      </c>
      <c r="O316" s="95">
        <v>7</v>
      </c>
      <c r="P316" s="95">
        <f t="shared" si="449"/>
      </c>
      <c r="Q316" s="85">
        <f t="shared" si="621"/>
      </c>
      <c r="R316" s="85">
        <f t="shared" si="76"/>
      </c>
      <c r="S316" s="97" t="s">
        <v>156</v>
      </c>
    </row>
    <row customHeight="true" ht="23.703703703703702" r="317">
      <c r="A317" s="93">
        <v>46062</v>
      </c>
      <c r="B317" s="79" t="s">
        <v>136</v>
      </c>
      <c r="C317" s="79">
        <v>2</v>
      </c>
      <c r="D317" s="94" cm="1">
        <f t="array" ref="D317:D317">_xlfn.XLOOKUP(B317&amp;S317,'净-价格-毛利'!A:A&amp;'净-价格-毛利'!B:B,'净-价格-毛利'!D:D,0)</f>
      </c>
      <c r="E317" s="81">
        <f t="shared" si="506"/>
      </c>
      <c r="F317" s="80" cm="1">
        <f t="array" ref="F317:F317">_xlfn.XLOOKUP(B317&amp;S317,'净-价格-毛利'!A:A&amp;'净-价格-毛利'!B:B,'净-价格-毛利'!C:C,0)</f>
      </c>
      <c r="G317" s="81">
        <f t="shared" si="19"/>
      </c>
      <c r="H317" s="81">
        <v>23.66</v>
      </c>
      <c r="I317" s="81">
        <f t="shared" si="135"/>
      </c>
      <c r="J317" s="81">
        <f t="shared" si="193"/>
      </c>
      <c r="K317" s="83">
        <f t="shared" si="262"/>
      </c>
      <c r="L317" s="81">
        <f>J317*9</f>
      </c>
      <c r="M317" s="81">
        <f>E317*9</f>
      </c>
      <c r="N317" s="83">
        <f t="shared" si="563"/>
      </c>
      <c r="O317" s="95">
        <v>2</v>
      </c>
      <c r="P317" s="95">
        <f t="shared" si="449"/>
      </c>
      <c r="Q317" s="85">
        <f t="shared" si="621"/>
      </c>
      <c r="R317" s="85">
        <f t="shared" si="76"/>
      </c>
      <c r="S317" s="97" t="s">
        <v>157</v>
      </c>
    </row>
    <row customHeight="true" ht="23.703703703703702" r="318">
      <c r="A318" s="93">
        <v>46062</v>
      </c>
      <c r="B318" s="79" t="s">
        <v>137</v>
      </c>
      <c r="C318" s="79"/>
      <c r="D318" s="94" cm="1">
        <f t="array" ref="D318:D318">_xlfn.XLOOKUP(B318&amp;S318,'净-价格-毛利'!A:A&amp;'净-价格-毛利'!B:B,'净-价格-毛利'!D:D,0)</f>
      </c>
      <c r="E318" s="81">
        <f t="shared" si="506"/>
      </c>
      <c r="F318" s="80" cm="1">
        <f t="array" ref="F318:F318">_xlfn.XLOOKUP(B318&amp;S318,'净-价格-毛利'!A:A&amp;'净-价格-毛利'!B:B,'净-价格-毛利'!C:C,0)</f>
      </c>
      <c r="G318" s="81"/>
      <c r="H318" s="81"/>
      <c r="I318" s="81">
        <f t="shared" si="135"/>
      </c>
      <c r="J318" s="81">
        <f>C318*F318-H318-I318</f>
      </c>
      <c r="K318" s="83">
        <f t="shared" si="262"/>
      </c>
      <c r="L318" s="81">
        <f>J318*7</f>
      </c>
      <c r="M318" s="81">
        <f>E318*7</f>
      </c>
      <c r="N318" s="83">
        <f t="shared" si="563"/>
      </c>
      <c r="O318" s="84"/>
      <c r="P318" s="84">
        <f t="shared" si="449"/>
      </c>
      <c r="Q318" s="85">
        <f t="shared" si="621"/>
      </c>
      <c r="R318" s="85"/>
      <c r="S318" s="96"/>
    </row>
    <row customHeight="true" ht="23.703703703703702" r="319">
      <c r="A319" s="93">
        <v>46062</v>
      </c>
      <c r="B319" s="79" t="s">
        <v>111</v>
      </c>
      <c r="C319" s="79">
        <f>SUM(C313:C318)</f>
      </c>
      <c r="D319" s="89"/>
      <c r="E319" s="81">
        <f>SUM(E313:E318)</f>
      </c>
      <c r="F319" s="82">
        <f>SUM(F313:F317)</f>
      </c>
      <c r="G319" s="81"/>
      <c r="H319" s="81"/>
      <c r="I319" s="81"/>
      <c r="J319" s="81">
        <f>SUM(J313:J318)</f>
      </c>
      <c r="K319" s="83">
        <f t="shared" si="262"/>
      </c>
      <c r="L319" s="81">
        <f>SUM(L313:L318)</f>
      </c>
      <c r="M319" s="81">
        <f>SUM(M313:M318)</f>
      </c>
      <c r="N319" s="83"/>
      <c r="O319" s="95">
        <f>SUM(O313:O317)</f>
      </c>
      <c r="P319" s="95">
        <f t="shared" si="449"/>
      </c>
      <c r="Q319" s="85">
        <f t="shared" si="621"/>
      </c>
      <c r="R319" s="85"/>
      <c r="S319" s="89"/>
    </row>
    <row customHeight="true" ht="23.703703703703702" r="320">
      <c r="B320" s="77" t="s">
        <v>138</v>
      </c>
    </row>
    <row customHeight="true" ht="23.703703703703702" r="321">
      <c r="A321" s="71" t="s">
        <v>152</v>
      </c>
      <c r="B321" s="72" t="s">
        <v>112</v>
      </c>
      <c r="C321" s="90" t="s">
        <v>113</v>
      </c>
      <c r="D321" s="72" t="s">
        <v>114</v>
      </c>
      <c r="E321" s="73" t="s">
        <v>115</v>
      </c>
      <c r="F321" s="74" t="s">
        <v>116</v>
      </c>
      <c r="G321" s="73" t="s">
        <v>117</v>
      </c>
      <c r="H321" s="91" t="s">
        <v>118</v>
      </c>
      <c r="I321" s="73" t="s">
        <v>119</v>
      </c>
      <c r="J321" s="73" t="s">
        <v>116</v>
      </c>
      <c r="K321" s="75" t="s">
        <v>120</v>
      </c>
      <c r="L321" s="73" t="s">
        <v>121</v>
      </c>
      <c r="M321" s="73" t="s">
        <v>122</v>
      </c>
      <c r="N321" s="72" t="s">
        <v>123</v>
      </c>
      <c r="O321" s="92" t="s">
        <v>124</v>
      </c>
      <c r="P321" s="76" t="s">
        <v>125</v>
      </c>
      <c r="Q321" s="75" t="s">
        <v>126</v>
      </c>
      <c r="R321" s="75" t="s">
        <v>127</v>
      </c>
      <c r="S321" s="75" t="s">
        <v>140</v>
      </c>
    </row>
    <row customHeight="true" ht="23.703703703703702" r="322">
      <c r="A322" s="93">
        <v>46063</v>
      </c>
      <c r="B322" s="79" t="s">
        <v>130</v>
      </c>
      <c r="C322" s="79">
        <v>5</v>
      </c>
      <c r="D322" s="94" cm="1">
        <f t="array" ref="D322:D322">_xlfn.XLOOKUP(B322&amp;S322,'净-价格-毛利'!A:A&amp;'净-价格-毛利'!B:B,'净-价格-毛利'!D:D,0)</f>
      </c>
      <c r="E322" s="81">
        <f t="shared" ref="E322:E327" si="507">C322*D322</f>
      </c>
      <c r="F322" s="80" cm="1">
        <f t="array" ref="F322:F322">_xlfn.XLOOKUP(B322&amp;S322,'净-价格-毛利'!A:A&amp;'净-价格-毛利'!B:B,'净-价格-毛利'!C:C,0)</f>
      </c>
      <c r="G322" s="81">
        <f t="shared" ref="G322:G326" si="20">C322*5</f>
      </c>
      <c r="H322" s="81">
        <v>67.06</v>
      </c>
      <c r="I322" s="81">
        <f t="shared" ref="I322:I327" si="136">E322*0.025</f>
      </c>
      <c r="J322" s="81">
        <f t="shared" ref="J322:J326" si="194">F322*C322+G322-H322-I322</f>
      </c>
      <c r="K322" s="83">
        <f t="shared" ref="K322:K328" si="263">IFERROR(J322/E322,0)</f>
      </c>
      <c r="L322" s="81">
        <f t="shared" ref="L322:L325" si="332">J322*8</f>
      </c>
      <c r="M322" s="81">
        <f t="shared" ref="M322:M325" si="391">E322*8</f>
      </c>
      <c r="N322" s="83">
        <f t="shared" ref="N322:N327" si="564">IFERROR(H322/E322,0)</f>
      </c>
      <c r="O322" s="95">
        <v>2</v>
      </c>
      <c r="P322" s="95">
        <f t="shared" ref="P322:P328" si="450">C322-O322</f>
      </c>
      <c r="Q322" s="85">
        <f t="shared" ref="Q322:Q328" si="622">IFERROR(O322/C322,0)</f>
      </c>
      <c r="R322" s="85">
        <f t="shared" ref="R322:R326" si="77">IFERROR(H322/(E322*Q322),0)</f>
      </c>
      <c r="S322" s="97" t="s">
        <v>153</v>
      </c>
    </row>
    <row customHeight="true" ht="23.703703703703702" r="323">
      <c r="A323" s="93">
        <v>46063</v>
      </c>
      <c r="B323" s="79" t="s">
        <v>131</v>
      </c>
      <c r="C323" s="79">
        <v>0</v>
      </c>
      <c r="D323" s="94" cm="1">
        <f t="array" ref="D323:D323">_xlfn.XLOOKUP(B323&amp;S323,'净-价格-毛利'!A:A&amp;'净-价格-毛利'!B:B,'净-价格-毛利'!D:D,0)</f>
      </c>
      <c r="E323" s="81">
        <f t="shared" si="507"/>
      </c>
      <c r="F323" s="80" cm="1">
        <f t="array" ref="F323:F323">_xlfn.XLOOKUP(B323&amp;S323,'净-价格-毛利'!A:A&amp;'净-价格-毛利'!B:B,'净-价格-毛利'!C:C,0)</f>
      </c>
      <c r="G323" s="81">
        <f t="shared" si="20"/>
      </c>
      <c r="H323" s="81">
        <v>18.34</v>
      </c>
      <c r="I323" s="81">
        <f t="shared" si="136"/>
      </c>
      <c r="J323" s="81">
        <f t="shared" si="194"/>
      </c>
      <c r="K323" s="83">
        <f t="shared" si="263"/>
      </c>
      <c r="L323" s="81">
        <f t="shared" si="332"/>
      </c>
      <c r="M323" s="81">
        <f t="shared" si="391"/>
      </c>
      <c r="N323" s="83">
        <f t="shared" si="564"/>
      </c>
      <c r="O323" s="95">
        <v>0</v>
      </c>
      <c r="P323" s="95">
        <f t="shared" si="450"/>
      </c>
      <c r="Q323" s="85">
        <f t="shared" si="622"/>
      </c>
      <c r="R323" s="85">
        <f t="shared" si="77"/>
      </c>
      <c r="S323" s="97" t="s">
        <v>154</v>
      </c>
    </row>
    <row customHeight="true" ht="23.703703703703702" r="324">
      <c r="A324" s="93">
        <v>46063</v>
      </c>
      <c r="B324" s="79" t="s">
        <v>133</v>
      </c>
      <c r="C324" s="79"/>
      <c r="D324" s="94" cm="1">
        <f t="array" ref="D324:D324">_xlfn.XLOOKUP(B324&amp;S324,'净-价格-毛利'!A:A&amp;'净-价格-毛利'!B:B,'净-价格-毛利'!D:D,0)</f>
      </c>
      <c r="E324" s="81">
        <f t="shared" si="507"/>
      </c>
      <c r="F324" s="80" cm="1">
        <f t="array" ref="F324:F324">_xlfn.XLOOKUP(B324&amp;S324,'净-价格-毛利'!A:A&amp;'净-价格-毛利'!B:B,'净-价格-毛利'!C:C,0)</f>
      </c>
      <c r="G324" s="81">
        <f t="shared" si="20"/>
      </c>
      <c r="H324" s="81">
        <v>42.6</v>
      </c>
      <c r="I324" s="81">
        <f t="shared" si="136"/>
      </c>
      <c r="J324" s="81">
        <f t="shared" si="194"/>
      </c>
      <c r="K324" s="83">
        <f t="shared" si="263"/>
      </c>
      <c r="L324" s="81">
        <f t="shared" si="332"/>
      </c>
      <c r="M324" s="81">
        <f t="shared" si="391"/>
      </c>
      <c r="N324" s="83">
        <f t="shared" si="564"/>
      </c>
      <c r="O324" s="95">
        <v>4</v>
      </c>
      <c r="P324" s="95">
        <f t="shared" si="450"/>
      </c>
      <c r="Q324" s="85">
        <f t="shared" si="622"/>
      </c>
      <c r="R324" s="85">
        <f t="shared" si="77"/>
      </c>
      <c r="S324" s="97" t="s">
        <v>155</v>
      </c>
    </row>
    <row customHeight="true" ht="23.703703703703702" r="325">
      <c r="A325" s="93">
        <v>46063</v>
      </c>
      <c r="B325" s="79" t="s">
        <v>134</v>
      </c>
      <c r="C325" s="79">
        <v>9</v>
      </c>
      <c r="D325" s="94" cm="1">
        <f t="array" ref="D325:D325">_xlfn.XLOOKUP(B325&amp;S325,'净-价格-毛利'!A:A&amp;'净-价格-毛利'!B:B,'净-价格-毛利'!D:D,0)</f>
      </c>
      <c r="E325" s="81">
        <f t="shared" si="507"/>
      </c>
      <c r="F325" s="80" cm="1">
        <f t="array" ref="F325:F325">_xlfn.XLOOKUP(B325&amp;S325,'净-价格-毛利'!A:A&amp;'净-价格-毛利'!B:B,'净-价格-毛利'!C:C,0)</f>
      </c>
      <c r="G325" s="81">
        <f t="shared" si="20"/>
      </c>
      <c r="H325" s="81">
        <v>113.33</v>
      </c>
      <c r="I325" s="81">
        <f t="shared" si="136"/>
      </c>
      <c r="J325" s="81">
        <f t="shared" si="194"/>
      </c>
      <c r="K325" s="83">
        <f t="shared" si="263"/>
      </c>
      <c r="L325" s="81">
        <f t="shared" si="332"/>
      </c>
      <c r="M325" s="81">
        <f t="shared" si="391"/>
      </c>
      <c r="N325" s="83">
        <f t="shared" si="564"/>
      </c>
      <c r="O325" s="95">
        <v>5</v>
      </c>
      <c r="P325" s="95">
        <f t="shared" si="450"/>
      </c>
      <c r="Q325" s="85">
        <f t="shared" si="622"/>
      </c>
      <c r="R325" s="85">
        <f t="shared" si="77"/>
      </c>
      <c r="S325" s="97" t="s">
        <v>156</v>
      </c>
    </row>
    <row customHeight="true" ht="23.703703703703702" r="326">
      <c r="A326" s="93">
        <v>46063</v>
      </c>
      <c r="B326" s="79" t="s">
        <v>136</v>
      </c>
      <c r="C326" s="79">
        <v>1</v>
      </c>
      <c r="D326" s="94" cm="1">
        <f t="array" ref="D326:D326">_xlfn.XLOOKUP(B326&amp;S326,'净-价格-毛利'!A:A&amp;'净-价格-毛利'!B:B,'净-价格-毛利'!D:D,0)</f>
      </c>
      <c r="E326" s="81">
        <f t="shared" si="507"/>
      </c>
      <c r="F326" s="80" cm="1">
        <f t="array" ref="F326:F326">_xlfn.XLOOKUP(B326&amp;S326,'净-价格-毛利'!A:A&amp;'净-价格-毛利'!B:B,'净-价格-毛利'!C:C,0)</f>
      </c>
      <c r="G326" s="81">
        <f t="shared" si="20"/>
      </c>
      <c r="H326" s="81">
        <v>28.2</v>
      </c>
      <c r="I326" s="81">
        <f t="shared" si="136"/>
      </c>
      <c r="J326" s="81">
        <f t="shared" si="194"/>
      </c>
      <c r="K326" s="83">
        <f t="shared" si="263"/>
      </c>
      <c r="L326" s="81">
        <f>J326*9</f>
      </c>
      <c r="M326" s="81">
        <f>E326*9</f>
      </c>
      <c r="N326" s="83">
        <f t="shared" si="564"/>
      </c>
      <c r="O326" s="95">
        <v>1</v>
      </c>
      <c r="P326" s="95">
        <f t="shared" si="450"/>
      </c>
      <c r="Q326" s="85">
        <f t="shared" si="622"/>
      </c>
      <c r="R326" s="85">
        <f t="shared" si="77"/>
      </c>
      <c r="S326" s="97" t="s">
        <v>157</v>
      </c>
    </row>
    <row customHeight="true" ht="23.703703703703702" r="327">
      <c r="A327" s="93">
        <v>46063</v>
      </c>
      <c r="B327" s="79" t="s">
        <v>137</v>
      </c>
      <c r="C327" s="79"/>
      <c r="D327" s="94" cm="1">
        <f t="array" ref="D327:D327">_xlfn.XLOOKUP(B327&amp;S327,'净-价格-毛利'!A:A&amp;'净-价格-毛利'!B:B,'净-价格-毛利'!D:D,0)</f>
      </c>
      <c r="E327" s="81">
        <f t="shared" si="507"/>
      </c>
      <c r="F327" s="80" cm="1">
        <f t="array" ref="F327:F327">_xlfn.XLOOKUP(B327&amp;S327,'净-价格-毛利'!A:A&amp;'净-价格-毛利'!B:B,'净-价格-毛利'!C:C,0)</f>
      </c>
      <c r="G327" s="81"/>
      <c r="H327" s="81"/>
      <c r="I327" s="81">
        <f t="shared" si="136"/>
      </c>
      <c r="J327" s="81">
        <f>C327*F327-H327-I327</f>
      </c>
      <c r="K327" s="83">
        <f t="shared" si="263"/>
      </c>
      <c r="L327" s="81">
        <f>J327*7</f>
      </c>
      <c r="M327" s="81">
        <f>E327*7</f>
      </c>
      <c r="N327" s="83">
        <f t="shared" si="564"/>
      </c>
      <c r="O327" s="84"/>
      <c r="P327" s="84">
        <f t="shared" si="450"/>
      </c>
      <c r="Q327" s="85">
        <f t="shared" si="622"/>
      </c>
      <c r="R327" s="85"/>
      <c r="S327" s="96"/>
    </row>
    <row customHeight="true" ht="23.703703703703702" r="328">
      <c r="A328" s="93">
        <v>46063</v>
      </c>
      <c r="B328" s="79" t="s">
        <v>111</v>
      </c>
      <c r="C328" s="79">
        <f>SUM(C322:C327)</f>
      </c>
      <c r="D328" s="89"/>
      <c r="E328" s="81">
        <f>SUM(E322:E327)</f>
      </c>
      <c r="F328" s="82">
        <f>SUM(F322:F326)</f>
      </c>
      <c r="G328" s="81"/>
      <c r="H328" s="81"/>
      <c r="I328" s="81"/>
      <c r="J328" s="81">
        <f>SUM(J322:J327)</f>
      </c>
      <c r="K328" s="83">
        <f t="shared" si="263"/>
      </c>
      <c r="L328" s="81">
        <f>SUM(L322:L327)</f>
      </c>
      <c r="M328" s="81">
        <f>SUM(M322:M327)</f>
      </c>
      <c r="N328" s="83"/>
      <c r="O328" s="95">
        <f>SUM(O322:O326)</f>
      </c>
      <c r="P328" s="95">
        <f t="shared" si="450"/>
      </c>
      <c r="Q328" s="85">
        <f t="shared" si="622"/>
      </c>
      <c r="R328" s="85"/>
      <c r="S328" s="89"/>
    </row>
    <row customHeight="true" ht="23.703703703703702" r="329">
      <c r="B329" s="77" t="s">
        <v>138</v>
      </c>
    </row>
    <row customHeight="true" ht="23.703703703703702" r="330">
      <c r="A330" s="71" t="s">
        <v>152</v>
      </c>
      <c r="B330" s="72" t="s">
        <v>112</v>
      </c>
      <c r="C330" s="90" t="s">
        <v>113</v>
      </c>
      <c r="D330" s="72" t="s">
        <v>114</v>
      </c>
      <c r="E330" s="73" t="s">
        <v>115</v>
      </c>
      <c r="F330" s="74" t="s">
        <v>116</v>
      </c>
      <c r="G330" s="73" t="s">
        <v>117</v>
      </c>
      <c r="H330" s="91" t="s">
        <v>118</v>
      </c>
      <c r="I330" s="73" t="s">
        <v>119</v>
      </c>
      <c r="J330" s="73" t="s">
        <v>116</v>
      </c>
      <c r="K330" s="75" t="s">
        <v>120</v>
      </c>
      <c r="L330" s="73" t="s">
        <v>121</v>
      </c>
      <c r="M330" s="73" t="s">
        <v>122</v>
      </c>
      <c r="N330" s="72" t="s">
        <v>123</v>
      </c>
      <c r="O330" s="92" t="s">
        <v>124</v>
      </c>
      <c r="P330" s="76" t="s">
        <v>125</v>
      </c>
      <c r="Q330" s="75" t="s">
        <v>126</v>
      </c>
      <c r="R330" s="75" t="s">
        <v>127</v>
      </c>
      <c r="S330" s="75" t="s">
        <v>140</v>
      </c>
    </row>
    <row customHeight="true" ht="23.703703703703702" r="331">
      <c r="A331" s="93">
        <v>46064</v>
      </c>
      <c r="B331" s="79" t="s">
        <v>130</v>
      </c>
      <c r="C331" s="79">
        <v>4</v>
      </c>
      <c r="D331" s="94" cm="1">
        <f t="array" ref="D331:D331">_xlfn.XLOOKUP(B331&amp;S331,'净-价格-毛利'!A:A&amp;'净-价格-毛利'!B:B,'净-价格-毛利'!D:D,0)</f>
      </c>
      <c r="E331" s="81">
        <f t="shared" ref="E331:E336" si="508">C331*D331</f>
      </c>
      <c r="F331" s="80" cm="1">
        <f t="array" ref="F331:F331">_xlfn.XLOOKUP(B331&amp;S331,'净-价格-毛利'!A:A&amp;'净-价格-毛利'!B:B,'净-价格-毛利'!C:C,0)</f>
      </c>
      <c r="G331" s="81">
        <f t="shared" ref="G331:G335" si="21">C331*5</f>
      </c>
      <c r="H331" s="81">
        <v>61.93</v>
      </c>
      <c r="I331" s="81">
        <f t="shared" ref="I331:I336" si="137">E331*0.025</f>
      </c>
      <c r="J331" s="81">
        <f t="shared" ref="J331:J335" si="195">F331*C331+G331-H331-I331</f>
      </c>
      <c r="K331" s="83">
        <f t="shared" ref="K331:K337" si="264">IFERROR(J331/E331,0)</f>
      </c>
      <c r="L331" s="81">
        <f t="shared" ref="L331:L334" si="333">J331*8</f>
      </c>
      <c r="M331" s="81">
        <f t="shared" ref="M331:M334" si="392">E331*8</f>
      </c>
      <c r="N331" s="83">
        <f t="shared" ref="N331:N336" si="565">IFERROR(H331/E331,0)</f>
      </c>
      <c r="O331" s="95">
        <v>2</v>
      </c>
      <c r="P331" s="95">
        <f t="shared" ref="P331:P337" si="451">C331-O331</f>
      </c>
      <c r="Q331" s="85">
        <f t="shared" ref="Q331:Q337" si="623">IFERROR(O331/C331,0)</f>
      </c>
      <c r="R331" s="85">
        <f t="shared" ref="R331:R335" si="78">IFERROR(H331/(E331*Q331),0)</f>
      </c>
      <c r="S331" s="97" t="s">
        <v>158</v>
      </c>
    </row>
    <row customHeight="true" ht="23.703703703703702" r="332">
      <c r="A332" s="93">
        <v>46064</v>
      </c>
      <c r="B332" s="79" t="s">
        <v>131</v>
      </c>
      <c r="C332" s="79">
        <v>5</v>
      </c>
      <c r="D332" s="94" cm="1">
        <f t="array" ref="D332:D332">_xlfn.XLOOKUP(B332&amp;S332,'净-价格-毛利'!A:A&amp;'净-价格-毛利'!B:B,'净-价格-毛利'!D:D,0)</f>
      </c>
      <c r="E332" s="81">
        <f t="shared" si="508"/>
      </c>
      <c r="F332" s="80" cm="1">
        <f t="array" ref="F332:F332">_xlfn.XLOOKUP(B332&amp;S332,'净-价格-毛利'!A:A&amp;'净-价格-毛利'!B:B,'净-价格-毛利'!C:C,0)</f>
      </c>
      <c r="G332" s="81">
        <f t="shared" si="21"/>
      </c>
      <c r="H332" s="81">
        <v>14.74</v>
      </c>
      <c r="I332" s="81">
        <f t="shared" si="137"/>
      </c>
      <c r="J332" s="81">
        <f t="shared" si="195"/>
      </c>
      <c r="K332" s="83">
        <f t="shared" si="264"/>
      </c>
      <c r="L332" s="81">
        <f t="shared" si="333"/>
      </c>
      <c r="M332" s="81">
        <f t="shared" si="392"/>
      </c>
      <c r="N332" s="83">
        <f t="shared" si="565"/>
      </c>
      <c r="O332" s="95">
        <v>3</v>
      </c>
      <c r="P332" s="95">
        <f t="shared" si="451"/>
      </c>
      <c r="Q332" s="85">
        <f t="shared" si="623"/>
      </c>
      <c r="R332" s="85">
        <f t="shared" si="78"/>
      </c>
      <c r="S332" s="97" t="s">
        <v>154</v>
      </c>
    </row>
    <row customHeight="true" ht="23.703703703703702" r="333">
      <c r="A333" s="93">
        <v>46064</v>
      </c>
      <c r="B333" s="79" t="s">
        <v>133</v>
      </c>
      <c r="C333" s="79">
        <v>11</v>
      </c>
      <c r="D333" s="94" cm="1">
        <f t="array" ref="D333:D333">_xlfn.XLOOKUP(B333&amp;S333,'净-价格-毛利'!A:A&amp;'净-价格-毛利'!B:B,'净-价格-毛利'!D:D,0)</f>
      </c>
      <c r="E333" s="81">
        <f t="shared" si="508"/>
      </c>
      <c r="F333" s="80" cm="1">
        <f t="array" ref="F333:F333">_xlfn.XLOOKUP(B333&amp;S333,'净-价格-毛利'!A:A&amp;'净-价格-毛利'!B:B,'净-价格-毛利'!C:C,0)</f>
      </c>
      <c r="G333" s="81">
        <f t="shared" si="21"/>
      </c>
      <c r="H333" s="81">
        <v>46.06</v>
      </c>
      <c r="I333" s="81">
        <f t="shared" si="137"/>
      </c>
      <c r="J333" s="81">
        <f t="shared" si="195"/>
      </c>
      <c r="K333" s="83">
        <f t="shared" si="264"/>
      </c>
      <c r="L333" s="81">
        <f t="shared" si="333"/>
      </c>
      <c r="M333" s="81">
        <f t="shared" si="392"/>
      </c>
      <c r="N333" s="83">
        <f t="shared" si="565"/>
      </c>
      <c r="O333" s="95">
        <v>5</v>
      </c>
      <c r="P333" s="95">
        <f t="shared" si="451"/>
      </c>
      <c r="Q333" s="85">
        <f t="shared" si="623"/>
      </c>
      <c r="R333" s="85">
        <f t="shared" si="78"/>
      </c>
      <c r="S333" s="97" t="s">
        <v>155</v>
      </c>
    </row>
    <row customHeight="true" ht="23.703703703703702" r="334">
      <c r="A334" s="93">
        <v>46064</v>
      </c>
      <c r="B334" s="79" t="s">
        <v>134</v>
      </c>
      <c r="C334" s="79">
        <v>10</v>
      </c>
      <c r="D334" s="94" cm="1">
        <f t="array" ref="D334:D334">_xlfn.XLOOKUP(B334&amp;S334,'净-价格-毛利'!A:A&amp;'净-价格-毛利'!B:B,'净-价格-毛利'!D:D,0)</f>
      </c>
      <c r="E334" s="81">
        <f t="shared" si="508"/>
      </c>
      <c r="F334" s="80" cm="1">
        <f t="array" ref="F334:F334">_xlfn.XLOOKUP(B334&amp;S334,'净-价格-毛利'!A:A&amp;'净-价格-毛利'!B:B,'净-价格-毛利'!C:C,0)</f>
      </c>
      <c r="G334" s="81">
        <f t="shared" si="21"/>
      </c>
      <c r="H334" s="81">
        <v>117.12</v>
      </c>
      <c r="I334" s="81">
        <f t="shared" si="137"/>
      </c>
      <c r="J334" s="81">
        <f t="shared" si="195"/>
      </c>
      <c r="K334" s="83">
        <f t="shared" si="264"/>
      </c>
      <c r="L334" s="81">
        <f t="shared" si="333"/>
      </c>
      <c r="M334" s="81">
        <f t="shared" si="392"/>
      </c>
      <c r="N334" s="83">
        <f t="shared" si="565"/>
      </c>
      <c r="O334" s="95">
        <v>6</v>
      </c>
      <c r="P334" s="95">
        <f t="shared" si="451"/>
      </c>
      <c r="Q334" s="85">
        <f t="shared" si="623"/>
      </c>
      <c r="R334" s="85">
        <f t="shared" si="78"/>
      </c>
      <c r="S334" s="97" t="s">
        <v>156</v>
      </c>
    </row>
    <row customHeight="true" ht="23.703703703703702" r="335">
      <c r="A335" s="93">
        <v>46064</v>
      </c>
      <c r="B335" s="79" t="s">
        <v>136</v>
      </c>
      <c r="C335" s="79">
        <v>0</v>
      </c>
      <c r="D335" s="94" cm="1">
        <f t="array" ref="D335:D335">_xlfn.XLOOKUP(B335&amp;S335,'净-价格-毛利'!A:A&amp;'净-价格-毛利'!B:B,'净-价格-毛利'!D:D,0)</f>
      </c>
      <c r="E335" s="81">
        <f t="shared" si="508"/>
      </c>
      <c r="F335" s="80" cm="1">
        <f t="array" ref="F335:F335">_xlfn.XLOOKUP(B335&amp;S335,'净-价格-毛利'!A:A&amp;'净-价格-毛利'!B:B,'净-价格-毛利'!C:C,0)</f>
      </c>
      <c r="G335" s="81">
        <f t="shared" si="21"/>
      </c>
      <c r="H335" s="81">
        <v>16.79</v>
      </c>
      <c r="I335" s="81">
        <f t="shared" si="137"/>
      </c>
      <c r="J335" s="81">
        <f t="shared" si="195"/>
      </c>
      <c r="K335" s="83">
        <f t="shared" si="264"/>
      </c>
      <c r="L335" s="81">
        <f>J335*9</f>
      </c>
      <c r="M335" s="81">
        <f>E335*9</f>
      </c>
      <c r="N335" s="83">
        <f t="shared" si="565"/>
      </c>
      <c r="O335" s="95">
        <v>0</v>
      </c>
      <c r="P335" s="95">
        <f t="shared" si="451"/>
      </c>
      <c r="Q335" s="85">
        <f t="shared" si="623"/>
      </c>
      <c r="R335" s="85">
        <f t="shared" si="78"/>
      </c>
      <c r="S335" s="97" t="s">
        <v>157</v>
      </c>
    </row>
    <row customHeight="true" ht="23.703703703703702" r="336">
      <c r="A336" s="93">
        <v>46064</v>
      </c>
      <c r="B336" s="79" t="s">
        <v>137</v>
      </c>
      <c r="C336" s="79"/>
      <c r="D336" s="94" cm="1">
        <f t="array" ref="D336:D336">_xlfn.XLOOKUP(B336&amp;S336,'净-价格-毛利'!A:A&amp;'净-价格-毛利'!B:B,'净-价格-毛利'!D:D,0)</f>
      </c>
      <c r="E336" s="81">
        <f t="shared" si="508"/>
      </c>
      <c r="F336" s="80" cm="1">
        <f t="array" ref="F336:F336">_xlfn.XLOOKUP(B336&amp;S336,'净-价格-毛利'!A:A&amp;'净-价格-毛利'!B:B,'净-价格-毛利'!C:C,0)</f>
      </c>
      <c r="G336" s="81"/>
      <c r="H336" s="81"/>
      <c r="I336" s="81">
        <f t="shared" si="137"/>
      </c>
      <c r="J336" s="81">
        <f>C336*F336-H336-I336</f>
      </c>
      <c r="K336" s="83">
        <f t="shared" si="264"/>
      </c>
      <c r="L336" s="81">
        <f>J336*7</f>
      </c>
      <c r="M336" s="81">
        <f>E336*7</f>
      </c>
      <c r="N336" s="83">
        <f t="shared" si="565"/>
      </c>
      <c r="O336" s="84"/>
      <c r="P336" s="84">
        <f t="shared" si="451"/>
      </c>
      <c r="Q336" s="85">
        <f t="shared" si="623"/>
      </c>
      <c r="R336" s="85"/>
      <c r="S336" s="96"/>
    </row>
    <row customHeight="true" ht="23.703703703703702" r="337">
      <c r="A337" s="93">
        <v>46064</v>
      </c>
      <c r="B337" s="79" t="s">
        <v>111</v>
      </c>
      <c r="C337" s="79">
        <f>SUM(C331:C336)</f>
      </c>
      <c r="D337" s="89"/>
      <c r="E337" s="81">
        <f>SUM(E331:E336)</f>
      </c>
      <c r="F337" s="82">
        <f>SUM(F331:F335)</f>
      </c>
      <c r="G337" s="81"/>
      <c r="H337" s="81"/>
      <c r="I337" s="81"/>
      <c r="J337" s="81">
        <f>SUM(J331:J336)</f>
      </c>
      <c r="K337" s="83">
        <f t="shared" si="264"/>
      </c>
      <c r="L337" s="81">
        <f>SUM(L331:L336)</f>
      </c>
      <c r="M337" s="81">
        <f>SUM(M331:M336)</f>
      </c>
      <c r="N337" s="83"/>
      <c r="O337" s="95">
        <f>SUM(O331:O335)</f>
      </c>
      <c r="P337" s="95">
        <f t="shared" si="451"/>
      </c>
      <c r="Q337" s="85">
        <f t="shared" si="623"/>
      </c>
      <c r="R337" s="85"/>
      <c r="S337" s="89"/>
    </row>
    <row customHeight="true" ht="23.703703703703702" r="338">
      <c r="B338" s="77" t="s">
        <v>138</v>
      </c>
    </row>
    <row customHeight="true" ht="23.703703703703702" r="339">
      <c r="A339" s="71" t="s">
        <v>152</v>
      </c>
      <c r="B339" s="72" t="s">
        <v>112</v>
      </c>
      <c r="C339" s="90" t="s">
        <v>113</v>
      </c>
      <c r="D339" s="72" t="s">
        <v>114</v>
      </c>
      <c r="E339" s="73" t="s">
        <v>115</v>
      </c>
      <c r="F339" s="74" t="s">
        <v>116</v>
      </c>
      <c r="G339" s="73" t="s">
        <v>117</v>
      </c>
      <c r="H339" s="91" t="s">
        <v>118</v>
      </c>
      <c r="I339" s="73" t="s">
        <v>119</v>
      </c>
      <c r="J339" s="73" t="s">
        <v>116</v>
      </c>
      <c r="K339" s="75" t="s">
        <v>120</v>
      </c>
      <c r="L339" s="73" t="s">
        <v>121</v>
      </c>
      <c r="M339" s="73" t="s">
        <v>122</v>
      </c>
      <c r="N339" s="72" t="s">
        <v>123</v>
      </c>
      <c r="O339" s="92" t="s">
        <v>124</v>
      </c>
      <c r="P339" s="76" t="s">
        <v>125</v>
      </c>
      <c r="Q339" s="75" t="s">
        <v>126</v>
      </c>
      <c r="R339" s="75" t="s">
        <v>127</v>
      </c>
      <c r="S339" s="75" t="s">
        <v>140</v>
      </c>
    </row>
    <row customHeight="true" ht="23.703703703703702" r="340">
      <c r="A340" s="93">
        <v>46065</v>
      </c>
      <c r="B340" s="79" t="s">
        <v>130</v>
      </c>
      <c r="C340" s="79">
        <v>7</v>
      </c>
      <c r="D340" s="94" cm="1">
        <f t="array" ref="D340:D340">_xlfn.XLOOKUP(B340&amp;S340,'净-价格-毛利'!A:A&amp;'净-价格-毛利'!B:B,'净-价格-毛利'!D:D,0)</f>
      </c>
      <c r="E340" s="81">
        <f t="shared" ref="E340:E345" si="509">C340*D340</f>
      </c>
      <c r="F340" s="80" cm="1">
        <f t="array" ref="F340:F340">_xlfn.XLOOKUP(B340&amp;S340,'净-价格-毛利'!A:A&amp;'净-价格-毛利'!B:B,'净-价格-毛利'!C:C,0)</f>
      </c>
      <c r="G340" s="81">
        <f t="shared" ref="G340:G344" si="22">C340*5</f>
      </c>
      <c r="H340" s="81">
        <v>75.09</v>
      </c>
      <c r="I340" s="81">
        <f t="shared" ref="I340:I345" si="138">E340*0.025</f>
      </c>
      <c r="J340" s="81">
        <f t="shared" ref="J340:J344" si="196">F340*C340+G340-H340-I340</f>
      </c>
      <c r="K340" s="83">
        <f t="shared" ref="K340:K346" si="265">IFERROR(J340/E340,0)</f>
      </c>
      <c r="L340" s="81">
        <f t="shared" ref="L340:L343" si="334">J340*8</f>
      </c>
      <c r="M340" s="81">
        <f t="shared" ref="M340:M343" si="393">E340*8</f>
      </c>
      <c r="N340" s="83">
        <f t="shared" ref="N340:N345" si="566">IFERROR(H340/E340,0)</f>
      </c>
      <c r="O340" s="95">
        <v>4</v>
      </c>
      <c r="P340" s="95">
        <f t="shared" ref="P340:P346" si="452">C340-O340</f>
      </c>
      <c r="Q340" s="85">
        <f t="shared" ref="Q340:Q346" si="624">IFERROR(O340/C340,0)</f>
      </c>
      <c r="R340" s="85">
        <f t="shared" ref="R340:R344" si="79">IFERROR(H340/(E340*Q340),0)</f>
      </c>
      <c r="S340" s="97" t="s">
        <v>158</v>
      </c>
    </row>
    <row customHeight="true" ht="23.703703703703702" r="341">
      <c r="A341" s="93">
        <v>46065</v>
      </c>
      <c r="B341" s="79" t="s">
        <v>131</v>
      </c>
      <c r="C341" s="79">
        <v>6</v>
      </c>
      <c r="D341" s="94" cm="1">
        <f t="array" ref="D341:D341">_xlfn.XLOOKUP(B341&amp;S341,'净-价格-毛利'!A:A&amp;'净-价格-毛利'!B:B,'净-价格-毛利'!D:D,0)</f>
      </c>
      <c r="E341" s="81">
        <f t="shared" si="509"/>
      </c>
      <c r="F341" s="80" cm="1">
        <f t="array" ref="F341:F341">_xlfn.XLOOKUP(B341&amp;S341,'净-价格-毛利'!A:A&amp;'净-价格-毛利'!B:B,'净-价格-毛利'!C:C,0)</f>
      </c>
      <c r="G341" s="81">
        <f t="shared" si="22"/>
      </c>
      <c r="H341" s="81">
        <v>13.23</v>
      </c>
      <c r="I341" s="81">
        <f t="shared" si="138"/>
      </c>
      <c r="J341" s="81">
        <f t="shared" si="196"/>
      </c>
      <c r="K341" s="83">
        <f t="shared" si="265"/>
      </c>
      <c r="L341" s="81">
        <f t="shared" si="334"/>
      </c>
      <c r="M341" s="81">
        <f t="shared" si="393"/>
      </c>
      <c r="N341" s="83">
        <f t="shared" si="566"/>
      </c>
      <c r="O341" s="95">
        <v>2</v>
      </c>
      <c r="P341" s="95">
        <f t="shared" si="452"/>
      </c>
      <c r="Q341" s="85">
        <f t="shared" si="624"/>
      </c>
      <c r="R341" s="85">
        <f t="shared" si="79"/>
      </c>
      <c r="S341" s="97" t="s">
        <v>154</v>
      </c>
    </row>
    <row customHeight="true" ht="23.703703703703702" r="342">
      <c r="A342" s="93">
        <v>46065</v>
      </c>
      <c r="B342" s="79" t="s">
        <v>133</v>
      </c>
      <c r="C342" s="79">
        <v>2</v>
      </c>
      <c r="D342" s="94" cm="1">
        <f t="array" ref="D342:D342">_xlfn.XLOOKUP(B342&amp;S342,'净-价格-毛利'!A:A&amp;'净-价格-毛利'!B:B,'净-价格-毛利'!D:D,0)</f>
      </c>
      <c r="E342" s="81">
        <f t="shared" si="509"/>
      </c>
      <c r="F342" s="80" cm="1">
        <f t="array" ref="F342:F342">_xlfn.XLOOKUP(B342&amp;S342,'净-价格-毛利'!A:A&amp;'净-价格-毛利'!B:B,'净-价格-毛利'!C:C,0)</f>
      </c>
      <c r="G342" s="81">
        <f t="shared" si="22"/>
      </c>
      <c r="H342" s="81">
        <v>34.01</v>
      </c>
      <c r="I342" s="81">
        <f t="shared" si="138"/>
      </c>
      <c r="J342" s="81">
        <f t="shared" si="196"/>
      </c>
      <c r="K342" s="83">
        <f t="shared" si="265"/>
      </c>
      <c r="L342" s="81">
        <f t="shared" si="334"/>
      </c>
      <c r="M342" s="81">
        <f t="shared" si="393"/>
      </c>
      <c r="N342" s="83">
        <f t="shared" si="566"/>
      </c>
      <c r="O342" s="95">
        <v>1</v>
      </c>
      <c r="P342" s="95">
        <f t="shared" si="452"/>
      </c>
      <c r="Q342" s="85">
        <f t="shared" si="624"/>
      </c>
      <c r="R342" s="85">
        <f t="shared" si="79"/>
      </c>
      <c r="S342" s="97" t="s">
        <v>155</v>
      </c>
    </row>
    <row customHeight="true" ht="23.703703703703702" r="343">
      <c r="A343" s="93">
        <v>46065</v>
      </c>
      <c r="B343" s="79" t="s">
        <v>134</v>
      </c>
      <c r="C343" s="79">
        <v>4</v>
      </c>
      <c r="D343" s="94" cm="1">
        <f t="array" ref="D343:D343">_xlfn.XLOOKUP(B343&amp;S343,'净-价格-毛利'!A:A&amp;'净-价格-毛利'!B:B,'净-价格-毛利'!D:D,0)</f>
      </c>
      <c r="E343" s="81">
        <f t="shared" si="509"/>
      </c>
      <c r="F343" s="80" cm="1">
        <f t="array" ref="F343:F343">_xlfn.XLOOKUP(B343&amp;S343,'净-价格-毛利'!A:A&amp;'净-价格-毛利'!B:B,'净-价格-毛利'!C:C,0)</f>
      </c>
      <c r="G343" s="81">
        <f t="shared" si="22"/>
      </c>
      <c r="H343" s="81">
        <v>59.68</v>
      </c>
      <c r="I343" s="81">
        <f t="shared" si="138"/>
      </c>
      <c r="J343" s="81">
        <f t="shared" si="196"/>
      </c>
      <c r="K343" s="83">
        <f t="shared" si="265"/>
      </c>
      <c r="L343" s="81">
        <f t="shared" si="334"/>
      </c>
      <c r="M343" s="81">
        <f t="shared" si="393"/>
      </c>
      <c r="N343" s="83">
        <f t="shared" si="566"/>
      </c>
      <c r="O343" s="95">
        <v>2</v>
      </c>
      <c r="P343" s="95">
        <f t="shared" si="452"/>
      </c>
      <c r="Q343" s="85">
        <f t="shared" si="624"/>
      </c>
      <c r="R343" s="85">
        <f t="shared" si="79"/>
      </c>
      <c r="S343" s="97" t="s">
        <v>156</v>
      </c>
    </row>
    <row customHeight="true" ht="23.703703703703702" r="344">
      <c r="A344" s="93">
        <v>46065</v>
      </c>
      <c r="B344" s="79" t="s">
        <v>136</v>
      </c>
      <c r="C344" s="79">
        <v>4</v>
      </c>
      <c r="D344" s="94" cm="1">
        <f t="array" ref="D344:D344">_xlfn.XLOOKUP(B344&amp;S344,'净-价格-毛利'!A:A&amp;'净-价格-毛利'!B:B,'净-价格-毛利'!D:D,0)</f>
      </c>
      <c r="E344" s="81">
        <f t="shared" si="509"/>
      </c>
      <c r="F344" s="80" cm="1">
        <f t="array" ref="F344:F344">_xlfn.XLOOKUP(B344&amp;S344,'净-价格-毛利'!A:A&amp;'净-价格-毛利'!B:B,'净-价格-毛利'!C:C,0)</f>
      </c>
      <c r="G344" s="81">
        <f t="shared" si="22"/>
      </c>
      <c r="H344" s="81">
        <v>24.46</v>
      </c>
      <c r="I344" s="81">
        <f t="shared" si="138"/>
      </c>
      <c r="J344" s="81">
        <f t="shared" si="196"/>
      </c>
      <c r="K344" s="83">
        <f t="shared" si="265"/>
      </c>
      <c r="L344" s="81">
        <f>J344*9</f>
      </c>
      <c r="M344" s="81">
        <f>E344*9</f>
      </c>
      <c r="N344" s="83">
        <f t="shared" si="566"/>
      </c>
      <c r="O344" s="95">
        <v>5</v>
      </c>
      <c r="P344" s="95">
        <f t="shared" si="452"/>
      </c>
      <c r="Q344" s="85">
        <f t="shared" si="624"/>
      </c>
      <c r="R344" s="85">
        <f t="shared" si="79"/>
      </c>
      <c r="S344" s="97" t="s">
        <v>157</v>
      </c>
    </row>
    <row customHeight="true" ht="23.703703703703702" r="345">
      <c r="A345" s="93">
        <v>46065</v>
      </c>
      <c r="B345" s="79" t="s">
        <v>137</v>
      </c>
      <c r="C345" s="79"/>
      <c r="D345" s="94" cm="1">
        <f t="array" ref="D345:D345">_xlfn.XLOOKUP(B345&amp;S345,'净-价格-毛利'!A:A&amp;'净-价格-毛利'!B:B,'净-价格-毛利'!D:D,0)</f>
      </c>
      <c r="E345" s="81">
        <f t="shared" si="509"/>
      </c>
      <c r="F345" s="80" cm="1">
        <f t="array" ref="F345:F345">_xlfn.XLOOKUP(B345&amp;S345,'净-价格-毛利'!A:A&amp;'净-价格-毛利'!B:B,'净-价格-毛利'!C:C,0)</f>
      </c>
      <c r="G345" s="81"/>
      <c r="H345" s="81"/>
      <c r="I345" s="81">
        <f t="shared" si="138"/>
      </c>
      <c r="J345" s="81">
        <f>C345*F345-H345-I345</f>
      </c>
      <c r="K345" s="83">
        <f t="shared" si="265"/>
      </c>
      <c r="L345" s="81">
        <f>J345*7</f>
      </c>
      <c r="M345" s="81">
        <f>E345*7</f>
      </c>
      <c r="N345" s="83">
        <f t="shared" si="566"/>
      </c>
      <c r="O345" s="84"/>
      <c r="P345" s="84">
        <f t="shared" si="452"/>
      </c>
      <c r="Q345" s="85">
        <f t="shared" si="624"/>
      </c>
      <c r="R345" s="85"/>
      <c r="S345" s="96"/>
    </row>
    <row customHeight="true" ht="23.703703703703702" r="346">
      <c r="A346" s="93">
        <v>46065</v>
      </c>
      <c r="B346" s="79" t="s">
        <v>111</v>
      </c>
      <c r="C346" s="79">
        <f>SUM(C340:C345)</f>
      </c>
      <c r="D346" s="89"/>
      <c r="E346" s="81">
        <f>SUM(E340:E345)</f>
      </c>
      <c r="F346" s="82">
        <f>SUM(F340:F344)</f>
      </c>
      <c r="G346" s="81"/>
      <c r="H346" s="81"/>
      <c r="I346" s="81"/>
      <c r="J346" s="81">
        <f>SUM(J340:J345)</f>
      </c>
      <c r="K346" s="83">
        <f t="shared" si="265"/>
      </c>
      <c r="L346" s="81">
        <f>SUM(L340:L345)</f>
      </c>
      <c r="M346" s="81">
        <f>SUM(M340:M345)</f>
      </c>
      <c r="N346" s="83"/>
      <c r="O346" s="95">
        <f>SUM(O340:O344)</f>
      </c>
      <c r="P346" s="95">
        <f t="shared" si="452"/>
      </c>
      <c r="Q346" s="85">
        <f t="shared" si="624"/>
      </c>
      <c r="R346" s="85"/>
      <c r="S346" s="89"/>
    </row>
    <row customHeight="true" ht="23.703703703703702" r="347">
      <c r="B347" s="77" t="s">
        <v>138</v>
      </c>
    </row>
    <row customHeight="true" ht="23.703703703703702" r="348">
      <c r="A348" s="71" t="s">
        <v>152</v>
      </c>
      <c r="B348" s="72" t="s">
        <v>112</v>
      </c>
      <c r="C348" s="90" t="s">
        <v>113</v>
      </c>
      <c r="D348" s="72" t="s">
        <v>114</v>
      </c>
      <c r="E348" s="73" t="s">
        <v>115</v>
      </c>
      <c r="F348" s="74" t="s">
        <v>116</v>
      </c>
      <c r="G348" s="73" t="s">
        <v>117</v>
      </c>
      <c r="H348" s="91" t="s">
        <v>118</v>
      </c>
      <c r="I348" s="73" t="s">
        <v>119</v>
      </c>
      <c r="J348" s="73" t="s">
        <v>116</v>
      </c>
      <c r="K348" s="75" t="s">
        <v>120</v>
      </c>
      <c r="L348" s="73" t="s">
        <v>121</v>
      </c>
      <c r="M348" s="73" t="s">
        <v>122</v>
      </c>
      <c r="N348" s="72" t="s">
        <v>123</v>
      </c>
      <c r="O348" s="92" t="s">
        <v>124</v>
      </c>
      <c r="P348" s="76" t="s">
        <v>125</v>
      </c>
      <c r="Q348" s="75" t="s">
        <v>126</v>
      </c>
      <c r="R348" s="75" t="s">
        <v>127</v>
      </c>
      <c r="S348" s="75" t="s">
        <v>140</v>
      </c>
    </row>
    <row customHeight="true" ht="23.703703703703702" r="349">
      <c r="A349" s="93">
        <v>46076</v>
      </c>
      <c r="B349" s="79" t="s">
        <v>130</v>
      </c>
      <c r="C349" s="79">
        <v>36</v>
      </c>
      <c r="D349" s="94" cm="1">
        <f t="array" ref="D349:D349">_xlfn.XLOOKUP(B349&amp;S349,'净-价格-毛利'!A:A&amp;'净-价格-毛利'!B:B,'净-价格-毛利'!D:D,0)</f>
      </c>
      <c r="E349" s="81">
        <f t="shared" ref="E349:E354" si="510">C349*D349</f>
      </c>
      <c r="F349" s="80" cm="1">
        <f t="array" ref="F349:F349">_xlfn.XLOOKUP(B349&amp;S349,'净-价格-毛利'!A:A&amp;'净-价格-毛利'!B:B,'净-价格-毛利'!C:C,0)</f>
      </c>
      <c r="G349" s="81">
        <f t="shared" ref="G349:G353" si="23">C349*5</f>
      </c>
      <c r="H349" s="81">
        <v>605.36</v>
      </c>
      <c r="I349" s="81">
        <f t="shared" ref="I349:I354" si="139">E349*0.025</f>
      </c>
      <c r="J349" s="81">
        <f t="shared" ref="J349:J353" si="197">F349*C349+G349-H349-I349</f>
      </c>
      <c r="K349" s="83">
        <f t="shared" ref="K349:K355" si="266">IFERROR(J349/E349,0)</f>
      </c>
      <c r="L349" s="81">
        <f t="shared" ref="L349:L352" si="335">J349*8</f>
      </c>
      <c r="M349" s="81">
        <f t="shared" ref="M349:M352" si="394">E349*8</f>
      </c>
      <c r="N349" s="83">
        <f t="shared" ref="N349:N354" si="567">IFERROR(H349/E349,0)</f>
      </c>
      <c r="O349" s="95">
        <v>28</v>
      </c>
      <c r="P349" s="95">
        <f t="shared" ref="P349:P355" si="453">C349-O349</f>
      </c>
      <c r="Q349" s="85">
        <f t="shared" ref="Q349:Q355" si="625">IFERROR(O349/C349,0)</f>
      </c>
      <c r="R349" s="85">
        <f t="shared" ref="R349:R353" si="80">IFERROR(H349/(E349*Q349),0)</f>
      </c>
      <c r="S349" s="97" t="s">
        <v>158</v>
      </c>
    </row>
    <row customHeight="true" ht="23.703703703703702" r="350">
      <c r="A350" s="93">
        <v>46076</v>
      </c>
      <c r="B350" s="79" t="s">
        <v>131</v>
      </c>
      <c r="C350" s="79">
        <v>11</v>
      </c>
      <c r="D350" s="94" cm="1">
        <f t="array" ref="D350:D350">_xlfn.XLOOKUP(B350&amp;S350,'净-价格-毛利'!A:A&amp;'净-价格-毛利'!B:B,'净-价格-毛利'!D:D,0)</f>
      </c>
      <c r="E350" s="81">
        <f t="shared" si="510"/>
      </c>
      <c r="F350" s="80" cm="1">
        <f t="array" ref="F350:F350">_xlfn.XLOOKUP(B350&amp;S350,'净-价格-毛利'!A:A&amp;'净-价格-毛利'!B:B,'净-价格-毛利'!C:C,0)</f>
      </c>
      <c r="G350" s="81">
        <f t="shared" si="23"/>
      </c>
      <c r="H350" s="81">
        <v>77.8</v>
      </c>
      <c r="I350" s="81">
        <f t="shared" si="139"/>
      </c>
      <c r="J350" s="81">
        <f t="shared" si="197"/>
      </c>
      <c r="K350" s="83">
        <f t="shared" si="266"/>
      </c>
      <c r="L350" s="81">
        <f t="shared" si="335"/>
      </c>
      <c r="M350" s="81">
        <f t="shared" si="394"/>
      </c>
      <c r="N350" s="83">
        <f t="shared" si="567"/>
      </c>
      <c r="O350" s="95">
        <v>6</v>
      </c>
      <c r="P350" s="95">
        <f t="shared" si="453"/>
      </c>
      <c r="Q350" s="85">
        <f t="shared" si="625"/>
      </c>
      <c r="R350" s="85">
        <f t="shared" si="80"/>
      </c>
      <c r="S350" s="97" t="s">
        <v>141</v>
      </c>
    </row>
    <row customHeight="true" ht="23.703703703703702" r="351">
      <c r="A351" s="93">
        <v>46076</v>
      </c>
      <c r="B351" s="79" t="s">
        <v>133</v>
      </c>
      <c r="C351" s="79">
        <v>35</v>
      </c>
      <c r="D351" s="94" cm="1">
        <f t="array" ref="D351:D351">_xlfn.XLOOKUP(B351&amp;S351,'净-价格-毛利'!A:A&amp;'净-价格-毛利'!B:B,'净-价格-毛利'!D:D,0)</f>
      </c>
      <c r="E351" s="81">
        <f t="shared" si="510"/>
      </c>
      <c r="F351" s="80" cm="1">
        <f t="array" ref="F351:F351">_xlfn.XLOOKUP(B351&amp;S351,'净-价格-毛利'!A:A&amp;'净-价格-毛利'!B:B,'净-价格-毛利'!C:C,0)</f>
      </c>
      <c r="G351" s="81">
        <f t="shared" si="23"/>
      </c>
      <c r="H351" s="81">
        <v>479.04</v>
      </c>
      <c r="I351" s="81">
        <f t="shared" si="139"/>
      </c>
      <c r="J351" s="81">
        <f t="shared" si="197"/>
      </c>
      <c r="K351" s="83">
        <f t="shared" si="266"/>
      </c>
      <c r="L351" s="81">
        <f t="shared" si="335"/>
      </c>
      <c r="M351" s="81">
        <f t="shared" si="394"/>
      </c>
      <c r="N351" s="83">
        <f t="shared" si="567"/>
      </c>
      <c r="O351" s="95">
        <v>14</v>
      </c>
      <c r="P351" s="95">
        <f t="shared" si="453"/>
      </c>
      <c r="Q351" s="85">
        <f t="shared" si="625"/>
      </c>
      <c r="R351" s="85">
        <f t="shared" si="80"/>
      </c>
      <c r="S351" s="97" t="s">
        <v>158</v>
      </c>
    </row>
    <row customHeight="true" ht="23.703703703703702" r="352">
      <c r="A352" s="93">
        <v>46076</v>
      </c>
      <c r="B352" s="79" t="s">
        <v>134</v>
      </c>
      <c r="C352" s="79">
        <v>44</v>
      </c>
      <c r="D352" s="94" cm="1">
        <f t="array" ref="D352:D352">_xlfn.XLOOKUP(B352&amp;S352,'净-价格-毛利'!A:A&amp;'净-价格-毛利'!B:B,'净-价格-毛利'!D:D,0)</f>
      </c>
      <c r="E352" s="81">
        <f t="shared" si="510"/>
      </c>
      <c r="F352" s="80" cm="1">
        <f t="array" ref="F352:F352">_xlfn.XLOOKUP(B352&amp;S352,'净-价格-毛利'!A:A&amp;'净-价格-毛利'!B:B,'净-价格-毛利'!C:C,0)</f>
      </c>
      <c r="G352" s="81">
        <f t="shared" si="23"/>
      </c>
      <c r="H352" s="81">
        <v>599.89</v>
      </c>
      <c r="I352" s="81">
        <f t="shared" si="139"/>
      </c>
      <c r="J352" s="81">
        <f t="shared" si="197"/>
      </c>
      <c r="K352" s="83">
        <f t="shared" si="266"/>
      </c>
      <c r="L352" s="81">
        <f t="shared" si="335"/>
      </c>
      <c r="M352" s="81">
        <f t="shared" si="394"/>
      </c>
      <c r="N352" s="83">
        <f t="shared" si="567"/>
      </c>
      <c r="O352" s="95">
        <v>33</v>
      </c>
      <c r="P352" s="95">
        <f t="shared" si="453"/>
      </c>
      <c r="Q352" s="85">
        <f t="shared" si="625"/>
      </c>
      <c r="R352" s="85">
        <f t="shared" si="80"/>
      </c>
      <c r="S352" s="97" t="s">
        <v>158</v>
      </c>
    </row>
    <row customHeight="true" ht="23.703703703703702" r="353">
      <c r="A353" s="93">
        <v>46076</v>
      </c>
      <c r="B353" s="79" t="s">
        <v>136</v>
      </c>
      <c r="C353" s="79">
        <v>10</v>
      </c>
      <c r="D353" s="94" cm="1">
        <f t="array" ref="D353:D353">_xlfn.XLOOKUP(B353&amp;S353,'净-价格-毛利'!A:A&amp;'净-价格-毛利'!B:B,'净-价格-毛利'!D:D,0)</f>
      </c>
      <c r="E353" s="81">
        <f t="shared" si="510"/>
      </c>
      <c r="F353" s="80" cm="1">
        <f t="array" ref="F353:F353">_xlfn.XLOOKUP(B353&amp;S353,'净-价格-毛利'!A:A&amp;'净-价格-毛利'!B:B,'净-价格-毛利'!C:C,0)</f>
      </c>
      <c r="G353" s="81">
        <f t="shared" si="23"/>
      </c>
      <c r="H353" s="81">
        <v>183.65</v>
      </c>
      <c r="I353" s="81">
        <f t="shared" si="139"/>
      </c>
      <c r="J353" s="81">
        <f t="shared" si="197"/>
      </c>
      <c r="K353" s="83">
        <f t="shared" si="266"/>
      </c>
      <c r="L353" s="81">
        <f>J353*9</f>
      </c>
      <c r="M353" s="81">
        <f>E353*9</f>
      </c>
      <c r="N353" s="83">
        <f t="shared" si="567"/>
      </c>
      <c r="O353" s="95">
        <v>9</v>
      </c>
      <c r="P353" s="95">
        <f t="shared" si="453"/>
      </c>
      <c r="Q353" s="85">
        <f t="shared" si="625"/>
      </c>
      <c r="R353" s="85">
        <f t="shared" si="80"/>
      </c>
      <c r="S353" s="97" t="s">
        <v>145</v>
      </c>
    </row>
    <row customHeight="true" ht="23.703703703703702" r="354">
      <c r="A354" s="93">
        <v>46076</v>
      </c>
      <c r="B354" s="79" t="s">
        <v>137</v>
      </c>
      <c r="C354" s="79"/>
      <c r="D354" s="94" cm="1">
        <f t="array" ref="D354:D354">_xlfn.XLOOKUP(B354&amp;S354,'净-价格-毛利'!A:A&amp;'净-价格-毛利'!B:B,'净-价格-毛利'!D:D,0)</f>
      </c>
      <c r="E354" s="81">
        <f t="shared" si="510"/>
      </c>
      <c r="F354" s="80" cm="1">
        <f t="array" ref="F354:F354">_xlfn.XLOOKUP(B354&amp;S354,'净-价格-毛利'!A:A&amp;'净-价格-毛利'!B:B,'净-价格-毛利'!C:C,0)</f>
      </c>
      <c r="G354" s="81"/>
      <c r="H354" s="81"/>
      <c r="I354" s="81">
        <f t="shared" si="139"/>
      </c>
      <c r="J354" s="81">
        <f>C354*F354-H354-I354</f>
      </c>
      <c r="K354" s="83">
        <f t="shared" si="266"/>
      </c>
      <c r="L354" s="81">
        <f>J354*7</f>
      </c>
      <c r="M354" s="81">
        <f>E354*7</f>
      </c>
      <c r="N354" s="83">
        <f t="shared" si="567"/>
      </c>
      <c r="O354" s="84"/>
      <c r="P354" s="84">
        <f t="shared" si="453"/>
      </c>
      <c r="Q354" s="85">
        <f t="shared" si="625"/>
      </c>
      <c r="R354" s="85"/>
      <c r="S354" s="96"/>
    </row>
    <row customHeight="true" ht="23.703703703703702" r="355">
      <c r="A355" s="93">
        <v>46076</v>
      </c>
      <c r="B355" s="79" t="s">
        <v>111</v>
      </c>
      <c r="C355" s="79">
        <f>SUM(C349:C354)</f>
      </c>
      <c r="D355" s="89"/>
      <c r="E355" s="81">
        <f>SUM(E349:E354)</f>
      </c>
      <c r="F355" s="82">
        <f>SUM(F349:F353)</f>
      </c>
      <c r="G355" s="81"/>
      <c r="H355" s="81"/>
      <c r="I355" s="81"/>
      <c r="J355" s="81">
        <f>SUM(J349:J354)</f>
      </c>
      <c r="K355" s="83">
        <f t="shared" si="266"/>
      </c>
      <c r="L355" s="81">
        <f>SUM(L349:L354)</f>
      </c>
      <c r="M355" s="81">
        <f>SUM(M349:M354)</f>
      </c>
      <c r="N355" s="83"/>
      <c r="O355" s="95">
        <f>SUM(O349:O353)</f>
      </c>
      <c r="P355" s="95">
        <f t="shared" si="453"/>
      </c>
      <c r="Q355" s="85">
        <f t="shared" si="625"/>
      </c>
      <c r="R355" s="85"/>
      <c r="S355" s="89"/>
    </row>
    <row customHeight="true" ht="23.703703703703702" r="356">
      <c r="B356" s="77" t="s">
        <v>138</v>
      </c>
    </row>
    <row customHeight="true" ht="23.703703703703702" r="357">
      <c r="A357" s="71" t="s">
        <v>152</v>
      </c>
      <c r="B357" s="72" t="s">
        <v>112</v>
      </c>
      <c r="C357" s="90" t="s">
        <v>113</v>
      </c>
      <c r="D357" s="72" t="s">
        <v>114</v>
      </c>
      <c r="E357" s="73" t="s">
        <v>115</v>
      </c>
      <c r="F357" s="74" t="s">
        <v>116</v>
      </c>
      <c r="G357" s="73" t="s">
        <v>117</v>
      </c>
      <c r="H357" s="91" t="s">
        <v>118</v>
      </c>
      <c r="I357" s="73" t="s">
        <v>119</v>
      </c>
      <c r="J357" s="73" t="s">
        <v>116</v>
      </c>
      <c r="K357" s="75" t="s">
        <v>120</v>
      </c>
      <c r="L357" s="73" t="s">
        <v>121</v>
      </c>
      <c r="M357" s="73" t="s">
        <v>122</v>
      </c>
      <c r="N357" s="72" t="s">
        <v>123</v>
      </c>
      <c r="O357" s="92" t="s">
        <v>124</v>
      </c>
      <c r="P357" s="76" t="s">
        <v>125</v>
      </c>
      <c r="Q357" s="75" t="s">
        <v>126</v>
      </c>
      <c r="R357" s="75" t="s">
        <v>127</v>
      </c>
      <c r="S357" s="75" t="s">
        <v>140</v>
      </c>
    </row>
    <row customHeight="true" ht="23.703703703703702" r="358">
      <c r="A358" s="93">
        <v>46077</v>
      </c>
      <c r="B358" s="79" t="s">
        <v>130</v>
      </c>
      <c r="C358" s="79">
        <v>4</v>
      </c>
      <c r="D358" s="94" cm="1">
        <f t="array" ref="D358:D358">_xlfn.XLOOKUP(B358&amp;S358,'净-价格-毛利'!A:A&amp;'净-价格-毛利'!B:B,'净-价格-毛利'!D:D,0)</f>
      </c>
      <c r="E358" s="81">
        <f t="shared" ref="E358:E363" si="511">C358*D358</f>
      </c>
      <c r="F358" s="80" cm="1">
        <f t="array" ref="F358:F358">_xlfn.XLOOKUP(B358&amp;S358,'净-价格-毛利'!A:A&amp;'净-价格-毛利'!B:B,'净-价格-毛利'!C:C,0)</f>
      </c>
      <c r="G358" s="81">
        <f t="shared" ref="G358:G362" si="24">C358*5</f>
      </c>
      <c r="H358" s="81">
        <v>49.43</v>
      </c>
      <c r="I358" s="81">
        <f t="shared" ref="I358:I363" si="140">E358*0.025</f>
      </c>
      <c r="J358" s="81">
        <f t="shared" ref="J358:J362" si="198">F358*C358+G358-H358-I358</f>
      </c>
      <c r="K358" s="83">
        <f t="shared" ref="K358:K364" si="267">IFERROR(J358/E358,0)</f>
      </c>
      <c r="L358" s="81">
        <f t="shared" ref="L358:L361" si="336">J358*8</f>
      </c>
      <c r="M358" s="81">
        <f t="shared" ref="M358:M361" si="395">E358*8</f>
      </c>
      <c r="N358" s="83">
        <f t="shared" ref="N358:N363" si="568">IFERROR(H358/E358,0)</f>
      </c>
      <c r="O358" s="95">
        <v>2</v>
      </c>
      <c r="P358" s="95">
        <f t="shared" ref="P358:P364" si="454">C358-O358</f>
      </c>
      <c r="Q358" s="85">
        <f t="shared" ref="Q358:Q364" si="626">IFERROR(O358/C358,0)</f>
      </c>
      <c r="R358" s="85">
        <f t="shared" ref="R358:R362" si="81">IFERROR(H358/(E358*Q358),0)</f>
      </c>
      <c r="S358" s="97" t="s">
        <v>158</v>
      </c>
    </row>
    <row customHeight="true" ht="23.703703703703702" r="359">
      <c r="A359" s="93">
        <v>46077</v>
      </c>
      <c r="B359" s="79" t="s">
        <v>131</v>
      </c>
      <c r="C359" s="79">
        <v>0</v>
      </c>
      <c r="D359" s="94" cm="1">
        <f t="array" ref="D359:D359">_xlfn.XLOOKUP(B359&amp;S359,'净-价格-毛利'!A:A&amp;'净-价格-毛利'!B:B,'净-价格-毛利'!D:D,0)</f>
      </c>
      <c r="E359" s="81">
        <f t="shared" si="511"/>
      </c>
      <c r="F359" s="80" cm="1">
        <f t="array" ref="F359:F359">_xlfn.XLOOKUP(B359&amp;S359,'净-价格-毛利'!A:A&amp;'净-价格-毛利'!B:B,'净-价格-毛利'!C:C,0)</f>
      </c>
      <c r="G359" s="81">
        <f t="shared" si="24"/>
      </c>
      <c r="H359" s="81">
        <v>3.79</v>
      </c>
      <c r="I359" s="81">
        <f t="shared" si="140"/>
      </c>
      <c r="J359" s="81">
        <f t="shared" si="198"/>
      </c>
      <c r="K359" s="83">
        <f t="shared" si="267"/>
      </c>
      <c r="L359" s="81">
        <f t="shared" si="336"/>
      </c>
      <c r="M359" s="81">
        <f t="shared" si="395"/>
      </c>
      <c r="N359" s="83">
        <f t="shared" si="568"/>
      </c>
      <c r="O359" s="95">
        <v>0</v>
      </c>
      <c r="P359" s="95">
        <f t="shared" si="454"/>
      </c>
      <c r="Q359" s="85">
        <f t="shared" si="626"/>
      </c>
      <c r="R359" s="85">
        <f t="shared" si="81"/>
      </c>
      <c r="S359" s="97" t="s">
        <v>141</v>
      </c>
    </row>
    <row customHeight="true" ht="23.703703703703702" r="360">
      <c r="A360" s="93">
        <v>46077</v>
      </c>
      <c r="B360" s="79" t="s">
        <v>133</v>
      </c>
      <c r="C360" s="79">
        <v>0</v>
      </c>
      <c r="D360" s="94" cm="1">
        <f t="array" ref="D360:D360">_xlfn.XLOOKUP(B360&amp;S360,'净-价格-毛利'!A:A&amp;'净-价格-毛利'!B:B,'净-价格-毛利'!D:D,0)</f>
      </c>
      <c r="E360" s="81">
        <f t="shared" si="511"/>
      </c>
      <c r="F360" s="80" cm="1">
        <f t="array" ref="F360:F360">_xlfn.XLOOKUP(B360&amp;S360,'净-价格-毛利'!A:A&amp;'净-价格-毛利'!B:B,'净-价格-毛利'!C:C,0)</f>
      </c>
      <c r="G360" s="81">
        <f t="shared" si="24"/>
      </c>
      <c r="H360" s="81">
        <v>28.14</v>
      </c>
      <c r="I360" s="81">
        <f t="shared" si="140"/>
      </c>
      <c r="J360" s="81">
        <f t="shared" si="198"/>
      </c>
      <c r="K360" s="83">
        <f t="shared" si="267"/>
      </c>
      <c r="L360" s="81">
        <f t="shared" si="336"/>
      </c>
      <c r="M360" s="81">
        <f t="shared" si="395"/>
      </c>
      <c r="N360" s="83">
        <f t="shared" si="568"/>
      </c>
      <c r="O360" s="95">
        <v>0</v>
      </c>
      <c r="P360" s="95">
        <f t="shared" si="454"/>
      </c>
      <c r="Q360" s="85">
        <f t="shared" si="626"/>
      </c>
      <c r="R360" s="85">
        <f t="shared" si="81"/>
      </c>
      <c r="S360" s="97" t="s">
        <v>158</v>
      </c>
    </row>
    <row customHeight="true" ht="23.703703703703702" r="361">
      <c r="A361" s="93">
        <v>46077</v>
      </c>
      <c r="B361" s="79" t="s">
        <v>134</v>
      </c>
      <c r="C361" s="79">
        <v>6</v>
      </c>
      <c r="D361" s="94" cm="1">
        <f t="array" ref="D361:D361">_xlfn.XLOOKUP(B361&amp;S361,'净-价格-毛利'!A:A&amp;'净-价格-毛利'!B:B,'净-价格-毛利'!D:D,0)</f>
      </c>
      <c r="E361" s="81">
        <f t="shared" si="511"/>
      </c>
      <c r="F361" s="80" cm="1">
        <f t="array" ref="F361:F361">_xlfn.XLOOKUP(B361&amp;S361,'净-价格-毛利'!A:A&amp;'净-价格-毛利'!B:B,'净-价格-毛利'!C:C,0)</f>
      </c>
      <c r="G361" s="81">
        <f t="shared" si="24"/>
      </c>
      <c r="H361" s="81">
        <v>28</v>
      </c>
      <c r="I361" s="81">
        <f t="shared" si="140"/>
      </c>
      <c r="J361" s="81">
        <f t="shared" si="198"/>
      </c>
      <c r="K361" s="83">
        <f t="shared" si="267"/>
      </c>
      <c r="L361" s="81">
        <f t="shared" si="336"/>
      </c>
      <c r="M361" s="81">
        <f t="shared" si="395"/>
      </c>
      <c r="N361" s="83">
        <f t="shared" si="568"/>
      </c>
      <c r="O361" s="95">
        <v>4</v>
      </c>
      <c r="P361" s="95">
        <f t="shared" si="454"/>
      </c>
      <c r="Q361" s="85">
        <f t="shared" si="626"/>
      </c>
      <c r="R361" s="85">
        <f t="shared" si="81"/>
      </c>
      <c r="S361" s="97" t="s">
        <v>158</v>
      </c>
    </row>
    <row customHeight="true" ht="23.703703703703702" r="362">
      <c r="A362" s="93">
        <v>46077</v>
      </c>
      <c r="B362" s="79" t="s">
        <v>136</v>
      </c>
      <c r="C362" s="79">
        <v>0</v>
      </c>
      <c r="D362" s="94" cm="1">
        <f t="array" ref="D362:D362">_xlfn.XLOOKUP(B362&amp;S362,'净-价格-毛利'!A:A&amp;'净-价格-毛利'!B:B,'净-价格-毛利'!D:D,0)</f>
      </c>
      <c r="E362" s="81">
        <f t="shared" si="511"/>
      </c>
      <c r="F362" s="80" cm="1">
        <f t="array" ref="F362:F362">_xlfn.XLOOKUP(B362&amp;S362,'净-价格-毛利'!A:A&amp;'净-价格-毛利'!B:B,'净-价格-毛利'!C:C,0)</f>
      </c>
      <c r="G362" s="81">
        <f t="shared" si="24"/>
      </c>
      <c r="H362" s="81">
        <v>17.09</v>
      </c>
      <c r="I362" s="81">
        <f t="shared" si="140"/>
      </c>
      <c r="J362" s="81">
        <f t="shared" si="198"/>
      </c>
      <c r="K362" s="83">
        <f t="shared" si="267"/>
      </c>
      <c r="L362" s="81">
        <f>J362*9</f>
      </c>
      <c r="M362" s="81">
        <f>E362*9</f>
      </c>
      <c r="N362" s="83">
        <f t="shared" si="568"/>
      </c>
      <c r="O362" s="95">
        <v>0</v>
      </c>
      <c r="P362" s="95">
        <f t="shared" si="454"/>
      </c>
      <c r="Q362" s="85">
        <f t="shared" si="626"/>
      </c>
      <c r="R362" s="85">
        <f t="shared" si="81"/>
      </c>
      <c r="S362" s="97" t="s">
        <v>145</v>
      </c>
    </row>
    <row customHeight="true" ht="23.703703703703702" r="363">
      <c r="A363" s="93">
        <v>46077</v>
      </c>
      <c r="B363" s="79" t="s">
        <v>137</v>
      </c>
      <c r="C363" s="79"/>
      <c r="D363" s="94" cm="1">
        <f t="array" ref="D363:D363">_xlfn.XLOOKUP(B363&amp;S363,'净-价格-毛利'!A:A&amp;'净-价格-毛利'!B:B,'净-价格-毛利'!D:D,0)</f>
      </c>
      <c r="E363" s="81">
        <f t="shared" si="511"/>
      </c>
      <c r="F363" s="80" cm="1">
        <f t="array" ref="F363:F363">_xlfn.XLOOKUP(B363&amp;S363,'净-价格-毛利'!A:A&amp;'净-价格-毛利'!B:B,'净-价格-毛利'!C:C,0)</f>
      </c>
      <c r="G363" s="81"/>
      <c r="H363" s="81"/>
      <c r="I363" s="81">
        <f t="shared" si="140"/>
      </c>
      <c r="J363" s="81">
        <f>C363*F363-H363-I363</f>
      </c>
      <c r="K363" s="83">
        <f t="shared" si="267"/>
      </c>
      <c r="L363" s="81">
        <f>J363*7</f>
      </c>
      <c r="M363" s="81">
        <f>E363*7</f>
      </c>
      <c r="N363" s="83">
        <f t="shared" si="568"/>
      </c>
      <c r="O363" s="84"/>
      <c r="P363" s="84">
        <f t="shared" si="454"/>
      </c>
      <c r="Q363" s="85">
        <f t="shared" si="626"/>
      </c>
      <c r="R363" s="85"/>
      <c r="S363" s="96"/>
    </row>
    <row customHeight="true" ht="23.703703703703702" r="364">
      <c r="A364" s="93">
        <v>46077</v>
      </c>
      <c r="B364" s="79" t="s">
        <v>111</v>
      </c>
      <c r="C364" s="79">
        <f>SUM(C358:C363)</f>
      </c>
      <c r="D364" s="89"/>
      <c r="E364" s="81">
        <f>SUM(E358:E363)</f>
      </c>
      <c r="F364" s="82">
        <f>SUM(F358:F362)</f>
      </c>
      <c r="G364" s="81"/>
      <c r="H364" s="81"/>
      <c r="I364" s="81"/>
      <c r="J364" s="81">
        <f>SUM(J358:J363)</f>
      </c>
      <c r="K364" s="83">
        <f t="shared" si="267"/>
      </c>
      <c r="L364" s="81">
        <f>SUM(L358:L363)</f>
      </c>
      <c r="M364" s="81">
        <f>SUM(M358:M363)</f>
      </c>
      <c r="N364" s="83"/>
      <c r="O364" s="95">
        <f>SUM(O358:O362)</f>
      </c>
      <c r="P364" s="95">
        <f t="shared" si="454"/>
      </c>
      <c r="Q364" s="85">
        <f t="shared" si="626"/>
      </c>
      <c r="R364" s="85"/>
      <c r="S364" s="89"/>
    </row>
    <row customHeight="true" ht="23.703703703703702" r="365">
      <c r="B365" s="77" t="s">
        <v>138</v>
      </c>
    </row>
    <row customHeight="true" ht="23.703703703703702" r="366">
      <c r="A366" s="71" t="s">
        <v>152</v>
      </c>
      <c r="B366" s="72" t="s">
        <v>112</v>
      </c>
      <c r="C366" s="90" t="s">
        <v>113</v>
      </c>
      <c r="D366" s="72" t="s">
        <v>114</v>
      </c>
      <c r="E366" s="73" t="s">
        <v>115</v>
      </c>
      <c r="F366" s="74" t="s">
        <v>116</v>
      </c>
      <c r="G366" s="73" t="s">
        <v>117</v>
      </c>
      <c r="H366" s="91" t="s">
        <v>118</v>
      </c>
      <c r="I366" s="73" t="s">
        <v>119</v>
      </c>
      <c r="J366" s="73" t="s">
        <v>116</v>
      </c>
      <c r="K366" s="75" t="s">
        <v>120</v>
      </c>
      <c r="L366" s="73" t="s">
        <v>121</v>
      </c>
      <c r="M366" s="73" t="s">
        <v>122</v>
      </c>
      <c r="N366" s="72" t="s">
        <v>123</v>
      </c>
      <c r="O366" s="92" t="s">
        <v>124</v>
      </c>
      <c r="P366" s="76" t="s">
        <v>125</v>
      </c>
      <c r="Q366" s="75" t="s">
        <v>126</v>
      </c>
      <c r="R366" s="75" t="s">
        <v>127</v>
      </c>
      <c r="S366" s="75" t="s">
        <v>140</v>
      </c>
    </row>
    <row customHeight="true" ht="23.703703703703702" r="367">
      <c r="A367" s="93">
        <v>46078</v>
      </c>
      <c r="B367" s="79" t="s">
        <v>130</v>
      </c>
      <c r="C367" s="79">
        <v>0</v>
      </c>
      <c r="D367" s="94" cm="1">
        <f t="array" ref="D367:D367">_xlfn.XLOOKUP(B367&amp;S367,'净-价格-毛利'!A:A&amp;'净-价格-毛利'!B:B,'净-价格-毛利'!D:D,0)</f>
      </c>
      <c r="E367" s="81">
        <f t="shared" ref="E367:E372" si="512">C367*D367</f>
      </c>
      <c r="F367" s="80" cm="1">
        <f t="array" ref="F367:F367">_xlfn.XLOOKUP(B367&amp;S367,'净-价格-毛利'!A:A&amp;'净-价格-毛利'!B:B,'净-价格-毛利'!C:C,0)</f>
      </c>
      <c r="G367" s="81">
        <f t="shared" ref="G367:G371" si="25">C367*5</f>
      </c>
      <c r="H367" s="81">
        <v>52.95</v>
      </c>
      <c r="I367" s="81">
        <f t="shared" ref="I367:I372" si="141">E367*0.025</f>
      </c>
      <c r="J367" s="81">
        <f t="shared" ref="J367:J371" si="199">F367*C367+G367-H367-I367</f>
      </c>
      <c r="K367" s="83">
        <f t="shared" ref="K367:K373" si="268">IFERROR(J367/E367,0)</f>
      </c>
      <c r="L367" s="81">
        <f t="shared" ref="L367:L370" si="337">J367*8</f>
      </c>
      <c r="M367" s="81">
        <f t="shared" ref="M367:M370" si="396">E367*8</f>
      </c>
      <c r="N367" s="83">
        <f t="shared" ref="N367:N372" si="569">IFERROR(H367/E367,0)</f>
      </c>
      <c r="O367" s="95">
        <v>0</v>
      </c>
      <c r="P367" s="95">
        <f t="shared" ref="P367:P373" si="455">C367-O367</f>
      </c>
      <c r="Q367" s="85">
        <f t="shared" ref="Q367:Q373" si="627">IFERROR(O367/C367,0)</f>
      </c>
      <c r="R367" s="85">
        <f t="shared" ref="R367:R371" si="82">IFERROR(H367/(E367*Q367),0)</f>
      </c>
      <c r="S367" s="97" t="s">
        <v>158</v>
      </c>
    </row>
    <row customHeight="true" ht="23.703703703703702" r="368">
      <c r="A368" s="93">
        <v>46078</v>
      </c>
      <c r="B368" s="79" t="s">
        <v>131</v>
      </c>
      <c r="C368" s="79">
        <v>1</v>
      </c>
      <c r="D368" s="94" cm="1">
        <f t="array" ref="D368:D368">_xlfn.XLOOKUP(B368&amp;S368,'净-价格-毛利'!A:A&amp;'净-价格-毛利'!B:B,'净-价格-毛利'!D:D,0)</f>
      </c>
      <c r="E368" s="81">
        <f t="shared" si="512"/>
      </c>
      <c r="F368" s="80" cm="1">
        <f t="array" ref="F368:F368">_xlfn.XLOOKUP(B368&amp;S368,'净-价格-毛利'!A:A&amp;'净-价格-毛利'!B:B,'净-价格-毛利'!C:C,0)</f>
      </c>
      <c r="G368" s="81">
        <f t="shared" si="25"/>
      </c>
      <c r="H368" s="81">
        <v>5.27</v>
      </c>
      <c r="I368" s="81">
        <f t="shared" si="141"/>
      </c>
      <c r="J368" s="81">
        <f t="shared" si="199"/>
      </c>
      <c r="K368" s="83">
        <f t="shared" si="268"/>
      </c>
      <c r="L368" s="81">
        <f t="shared" si="337"/>
      </c>
      <c r="M368" s="81">
        <f t="shared" si="396"/>
      </c>
      <c r="N368" s="83">
        <f t="shared" si="569"/>
      </c>
      <c r="O368" s="95">
        <v>1</v>
      </c>
      <c r="P368" s="95">
        <f t="shared" si="455"/>
      </c>
      <c r="Q368" s="85">
        <f t="shared" si="627"/>
      </c>
      <c r="R368" s="85">
        <f t="shared" si="82"/>
      </c>
      <c r="S368" s="97" t="s">
        <v>141</v>
      </c>
    </row>
    <row customHeight="true" ht="23.703703703703702" r="369">
      <c r="A369" s="93">
        <v>46078</v>
      </c>
      <c r="B369" s="79" t="s">
        <v>133</v>
      </c>
      <c r="C369" s="79">
        <v>2</v>
      </c>
      <c r="D369" s="94" cm="1">
        <f t="array" ref="D369:D369">_xlfn.XLOOKUP(B369&amp;S369,'净-价格-毛利'!A:A&amp;'净-价格-毛利'!B:B,'净-价格-毛利'!D:D,0)</f>
      </c>
      <c r="E369" s="81">
        <f t="shared" si="512"/>
      </c>
      <c r="F369" s="80" cm="1">
        <f t="array" ref="F369:F369">_xlfn.XLOOKUP(B369&amp;S369,'净-价格-毛利'!A:A&amp;'净-价格-毛利'!B:B,'净-价格-毛利'!C:C,0)</f>
      </c>
      <c r="G369" s="81">
        <f t="shared" si="25"/>
      </c>
      <c r="H369" s="81">
        <v>26</v>
      </c>
      <c r="I369" s="81">
        <f t="shared" si="141"/>
      </c>
      <c r="J369" s="81">
        <f t="shared" si="199"/>
      </c>
      <c r="K369" s="83">
        <f t="shared" si="268"/>
      </c>
      <c r="L369" s="81">
        <f t="shared" si="337"/>
      </c>
      <c r="M369" s="81">
        <f t="shared" si="396"/>
      </c>
      <c r="N369" s="83">
        <f t="shared" si="569"/>
      </c>
      <c r="O369" s="95">
        <v>1</v>
      </c>
      <c r="P369" s="95">
        <f t="shared" si="455"/>
      </c>
      <c r="Q369" s="85">
        <f t="shared" si="627"/>
      </c>
      <c r="R369" s="85">
        <f t="shared" si="82"/>
      </c>
      <c r="S369" s="97" t="s">
        <v>158</v>
      </c>
    </row>
    <row customHeight="true" ht="23.703703703703702" r="370">
      <c r="A370" s="93">
        <v>46078</v>
      </c>
      <c r="B370" s="79" t="s">
        <v>134</v>
      </c>
      <c r="C370" s="79">
        <v>4</v>
      </c>
      <c r="D370" s="94" cm="1">
        <f t="array" ref="D370:D370">_xlfn.XLOOKUP(B370&amp;S370,'净-价格-毛利'!A:A&amp;'净-价格-毛利'!B:B,'净-价格-毛利'!D:D,0)</f>
      </c>
      <c r="E370" s="81">
        <f t="shared" si="512"/>
      </c>
      <c r="F370" s="80" cm="1">
        <f t="array" ref="F370:F370">_xlfn.XLOOKUP(B370&amp;S370,'净-价格-毛利'!A:A&amp;'净-价格-毛利'!B:B,'净-价格-毛利'!C:C,0)</f>
      </c>
      <c r="G370" s="81">
        <f t="shared" si="25"/>
      </c>
      <c r="H370" s="81">
        <v>20.67</v>
      </c>
      <c r="I370" s="81">
        <f t="shared" si="141"/>
      </c>
      <c r="J370" s="81">
        <f t="shared" si="199"/>
      </c>
      <c r="K370" s="83">
        <f t="shared" si="268"/>
      </c>
      <c r="L370" s="81">
        <f t="shared" si="337"/>
      </c>
      <c r="M370" s="81">
        <f t="shared" si="396"/>
      </c>
      <c r="N370" s="83">
        <f t="shared" si="569"/>
      </c>
      <c r="O370" s="95">
        <v>2</v>
      </c>
      <c r="P370" s="95">
        <f t="shared" si="455"/>
      </c>
      <c r="Q370" s="85">
        <f t="shared" si="627"/>
      </c>
      <c r="R370" s="85">
        <f t="shared" si="82"/>
      </c>
      <c r="S370" s="97" t="s">
        <v>158</v>
      </c>
    </row>
    <row customHeight="true" ht="23.703703703703702" r="371">
      <c r="A371" s="93">
        <v>46078</v>
      </c>
      <c r="B371" s="79" t="s">
        <v>136</v>
      </c>
      <c r="C371" s="79">
        <v>2</v>
      </c>
      <c r="D371" s="94" cm="1">
        <f t="array" ref="D371:D371">_xlfn.XLOOKUP(B371&amp;S371,'净-价格-毛利'!A:A&amp;'净-价格-毛利'!B:B,'净-价格-毛利'!D:D,0)</f>
      </c>
      <c r="E371" s="81">
        <f t="shared" si="512"/>
      </c>
      <c r="F371" s="80" cm="1">
        <f t="array" ref="F371:F371">_xlfn.XLOOKUP(B371&amp;S371,'净-价格-毛利'!A:A&amp;'净-价格-毛利'!B:B,'净-价格-毛利'!C:C,0)</f>
      </c>
      <c r="G371" s="81">
        <f t="shared" si="25"/>
      </c>
      <c r="H371" s="81">
        <v>17.42</v>
      </c>
      <c r="I371" s="81">
        <f t="shared" si="141"/>
      </c>
      <c r="J371" s="81">
        <f t="shared" si="199"/>
      </c>
      <c r="K371" s="83">
        <f t="shared" si="268"/>
      </c>
      <c r="L371" s="81">
        <f>J371*9</f>
      </c>
      <c r="M371" s="81">
        <f>E371*9</f>
      </c>
      <c r="N371" s="83">
        <f t="shared" si="569"/>
      </c>
      <c r="O371" s="95">
        <v>1</v>
      </c>
      <c r="P371" s="95">
        <f t="shared" si="455"/>
      </c>
      <c r="Q371" s="85">
        <f t="shared" si="627"/>
      </c>
      <c r="R371" s="85">
        <f t="shared" si="82"/>
      </c>
      <c r="S371" s="97" t="s">
        <v>145</v>
      </c>
    </row>
    <row customHeight="true" ht="23.703703703703702" r="372">
      <c r="A372" s="93">
        <v>46078</v>
      </c>
      <c r="B372" s="79" t="s">
        <v>137</v>
      </c>
      <c r="C372" s="79"/>
      <c r="D372" s="94" cm="1">
        <f t="array" ref="D372:D372">_xlfn.XLOOKUP(B372&amp;S372,'净-价格-毛利'!A:A&amp;'净-价格-毛利'!B:B,'净-价格-毛利'!D:D,0)</f>
      </c>
      <c r="E372" s="81">
        <f t="shared" si="512"/>
      </c>
      <c r="F372" s="80" cm="1">
        <f t="array" ref="F372:F372">_xlfn.XLOOKUP(B372&amp;S372,'净-价格-毛利'!A:A&amp;'净-价格-毛利'!B:B,'净-价格-毛利'!C:C,0)</f>
      </c>
      <c r="G372" s="81"/>
      <c r="H372" s="81"/>
      <c r="I372" s="81">
        <f t="shared" si="141"/>
      </c>
      <c r="J372" s="81">
        <f>C372*F372-H372-I372</f>
      </c>
      <c r="K372" s="83">
        <f t="shared" si="268"/>
      </c>
      <c r="L372" s="81">
        <f>J372*7</f>
      </c>
      <c r="M372" s="81">
        <f>E372*7</f>
      </c>
      <c r="N372" s="83">
        <f t="shared" si="569"/>
      </c>
      <c r="O372" s="84"/>
      <c r="P372" s="84">
        <f t="shared" si="455"/>
      </c>
      <c r="Q372" s="85">
        <f t="shared" si="627"/>
      </c>
      <c r="R372" s="85"/>
      <c r="S372" s="96"/>
    </row>
    <row customHeight="true" ht="23.703703703703702" r="373">
      <c r="A373" s="93">
        <v>46078</v>
      </c>
      <c r="B373" s="79" t="s">
        <v>111</v>
      </c>
      <c r="C373" s="79">
        <f>SUM(C367:C372)</f>
      </c>
      <c r="D373" s="89"/>
      <c r="E373" s="81">
        <f>SUM(E367:E372)</f>
      </c>
      <c r="F373" s="82">
        <f>SUM(F367:F371)</f>
      </c>
      <c r="G373" s="81"/>
      <c r="H373" s="81"/>
      <c r="I373" s="81"/>
      <c r="J373" s="81">
        <f>SUM(J367:J372)</f>
      </c>
      <c r="K373" s="83">
        <f t="shared" si="268"/>
      </c>
      <c r="L373" s="81">
        <f>SUM(L367:L372)</f>
      </c>
      <c r="M373" s="81">
        <f>SUM(M367:M372)</f>
      </c>
      <c r="N373" s="83"/>
      <c r="O373" s="95">
        <f>SUM(O367:O371)</f>
      </c>
      <c r="P373" s="95">
        <f t="shared" si="455"/>
      </c>
      <c r="Q373" s="85">
        <f t="shared" si="627"/>
      </c>
      <c r="R373" s="85"/>
      <c r="S373" s="89"/>
    </row>
    <row customHeight="true" ht="23.703703703703702" r="374">
      <c r="B374" s="77" t="s">
        <v>138</v>
      </c>
    </row>
    <row customHeight="true" ht="23.703703703703702" r="375">
      <c r="A375" s="71" t="s">
        <v>152</v>
      </c>
      <c r="B375" s="72" t="s">
        <v>112</v>
      </c>
      <c r="C375" s="90" t="s">
        <v>113</v>
      </c>
      <c r="D375" s="72" t="s">
        <v>114</v>
      </c>
      <c r="E375" s="73" t="s">
        <v>115</v>
      </c>
      <c r="F375" s="74" t="s">
        <v>116</v>
      </c>
      <c r="G375" s="73" t="s">
        <v>117</v>
      </c>
      <c r="H375" s="91" t="s">
        <v>118</v>
      </c>
      <c r="I375" s="73" t="s">
        <v>119</v>
      </c>
      <c r="J375" s="73" t="s">
        <v>116</v>
      </c>
      <c r="K375" s="75" t="s">
        <v>120</v>
      </c>
      <c r="L375" s="73" t="s">
        <v>121</v>
      </c>
      <c r="M375" s="73" t="s">
        <v>122</v>
      </c>
      <c r="N375" s="72" t="s">
        <v>123</v>
      </c>
      <c r="O375" s="92" t="s">
        <v>124</v>
      </c>
      <c r="P375" s="76" t="s">
        <v>125</v>
      </c>
      <c r="Q375" s="75" t="s">
        <v>126</v>
      </c>
      <c r="R375" s="75" t="s">
        <v>127</v>
      </c>
      <c r="S375" s="75" t="s">
        <v>140</v>
      </c>
    </row>
    <row customHeight="true" ht="23.703703703703702" r="376">
      <c r="A376" s="93">
        <v>46079</v>
      </c>
      <c r="B376" s="79" t="s">
        <v>130</v>
      </c>
      <c r="C376" s="79">
        <v>1</v>
      </c>
      <c r="D376" s="94" cm="1">
        <f t="array" ref="D376:D376">_xlfn.XLOOKUP(B376&amp;S376,'净-价格-毛利'!A:A&amp;'净-价格-毛利'!B:B,'净-价格-毛利'!D:D,0)</f>
      </c>
      <c r="E376" s="81">
        <f t="shared" ref="E376:E381" si="513">C376*D376</f>
      </c>
      <c r="F376" s="80" cm="1">
        <f t="array" ref="F376:F376">_xlfn.XLOOKUP(B376&amp;S376,'净-价格-毛利'!A:A&amp;'净-价格-毛利'!B:B,'净-价格-毛利'!C:C,0)</f>
      </c>
      <c r="G376" s="81">
        <f t="shared" ref="G376:G380" si="26">C376*5</f>
      </c>
      <c r="H376" s="81">
        <v>50.96</v>
      </c>
      <c r="I376" s="81">
        <f t="shared" ref="I376:I381" si="142">E376*0.025</f>
      </c>
      <c r="J376" s="81">
        <f t="shared" ref="J376:J380" si="200">F376*C376+G376-H376-I376</f>
      </c>
      <c r="K376" s="83">
        <f t="shared" ref="K376:K382" si="269">IFERROR(J376/E376,0)</f>
      </c>
      <c r="L376" s="81">
        <f t="shared" ref="L376:L379" si="338">J376*8</f>
      </c>
      <c r="M376" s="81">
        <f t="shared" ref="M376:M379" si="397">E376*8</f>
      </c>
      <c r="N376" s="83">
        <f t="shared" ref="N376:N381" si="570">IFERROR(H376/E376,0)</f>
      </c>
      <c r="O376" s="95">
        <v>1</v>
      </c>
      <c r="P376" s="95">
        <f t="shared" ref="P376:P382" si="456">C376-O376</f>
      </c>
      <c r="Q376" s="85">
        <f t="shared" ref="Q376:Q382" si="628">IFERROR(O376/C376,0)</f>
      </c>
      <c r="R376" s="85">
        <f t="shared" ref="R376:R380" si="83">IFERROR(H376/(E376*Q376),0)</f>
      </c>
      <c r="S376" s="97" t="s">
        <v>141</v>
      </c>
    </row>
    <row customHeight="true" ht="23.703703703703702" r="377">
      <c r="A377" s="93">
        <v>46079</v>
      </c>
      <c r="B377" s="79" t="s">
        <v>131</v>
      </c>
      <c r="C377" s="79">
        <v>1</v>
      </c>
      <c r="D377" s="94" cm="1">
        <f t="array" ref="D377:D377">_xlfn.XLOOKUP(B377&amp;S377,'净-价格-毛利'!A:A&amp;'净-价格-毛利'!B:B,'净-价格-毛利'!D:D,0)</f>
      </c>
      <c r="E377" s="81">
        <f t="shared" si="513"/>
      </c>
      <c r="F377" s="80" cm="1">
        <f t="array" ref="F377:F377">_xlfn.XLOOKUP(B377&amp;S377,'净-价格-毛利'!A:A&amp;'净-价格-毛利'!B:B,'净-价格-毛利'!C:C,0)</f>
      </c>
      <c r="G377" s="81">
        <f t="shared" si="26"/>
      </c>
      <c r="H377" s="81">
        <v>5.93</v>
      </c>
      <c r="I377" s="81">
        <f t="shared" si="142"/>
      </c>
      <c r="J377" s="81">
        <f t="shared" si="200"/>
      </c>
      <c r="K377" s="83">
        <f t="shared" si="269"/>
      </c>
      <c r="L377" s="81">
        <f t="shared" si="338"/>
      </c>
      <c r="M377" s="81">
        <f t="shared" si="397"/>
      </c>
      <c r="N377" s="83">
        <f t="shared" si="570"/>
      </c>
      <c r="O377" s="95">
        <v>0</v>
      </c>
      <c r="P377" s="95">
        <f t="shared" si="456"/>
      </c>
      <c r="Q377" s="85">
        <f t="shared" si="628"/>
      </c>
      <c r="R377" s="85">
        <f t="shared" si="83"/>
      </c>
      <c r="S377" s="97" t="s">
        <v>141</v>
      </c>
    </row>
    <row customHeight="true" ht="23.703703703703702" r="378">
      <c r="A378" s="93">
        <v>46079</v>
      </c>
      <c r="B378" s="79" t="s">
        <v>133</v>
      </c>
      <c r="C378" s="79">
        <v>0</v>
      </c>
      <c r="D378" s="94" cm="1">
        <f t="array" ref="D378:D378">_xlfn.XLOOKUP(B378&amp;S378,'净-价格-毛利'!A:A&amp;'净-价格-毛利'!B:B,'净-价格-毛利'!D:D,0)</f>
      </c>
      <c r="E378" s="81">
        <f t="shared" si="513"/>
      </c>
      <c r="F378" s="80" cm="1">
        <f t="array" ref="F378:F378">_xlfn.XLOOKUP(B378&amp;S378,'净-价格-毛利'!A:A&amp;'净-价格-毛利'!B:B,'净-价格-毛利'!C:C,0)</f>
      </c>
      <c r="G378" s="81">
        <f t="shared" si="26"/>
      </c>
      <c r="H378" s="81">
        <v>32.33</v>
      </c>
      <c r="I378" s="81">
        <f t="shared" si="142"/>
      </c>
      <c r="J378" s="81">
        <f t="shared" si="200"/>
      </c>
      <c r="K378" s="83">
        <f t="shared" si="269"/>
      </c>
      <c r="L378" s="81">
        <f t="shared" si="338"/>
      </c>
      <c r="M378" s="81">
        <f t="shared" si="397"/>
      </c>
      <c r="N378" s="83">
        <f t="shared" si="570"/>
      </c>
      <c r="O378" s="95">
        <v>0</v>
      </c>
      <c r="P378" s="95">
        <f t="shared" si="456"/>
      </c>
      <c r="Q378" s="85">
        <f t="shared" si="628"/>
      </c>
      <c r="R378" s="85">
        <f t="shared" si="83"/>
      </c>
      <c r="S378" s="97" t="s">
        <v>141</v>
      </c>
    </row>
    <row customHeight="true" ht="23.703703703703702" r="379">
      <c r="A379" s="93">
        <v>46079</v>
      </c>
      <c r="B379" s="79" t="s">
        <v>134</v>
      </c>
      <c r="C379" s="79">
        <v>0</v>
      </c>
      <c r="D379" s="94" cm="1">
        <f t="array" ref="D379:D379">_xlfn.XLOOKUP(B379&amp;S379,'净-价格-毛利'!A:A&amp;'净-价格-毛利'!B:B,'净-价格-毛利'!D:D,0)</f>
      </c>
      <c r="E379" s="81">
        <f t="shared" si="513"/>
      </c>
      <c r="F379" s="80" cm="1">
        <f t="array" ref="F379:F379">_xlfn.XLOOKUP(B379&amp;S379,'净-价格-毛利'!A:A&amp;'净-价格-毛利'!B:B,'净-价格-毛利'!C:C,0)</f>
      </c>
      <c r="G379" s="81">
        <f t="shared" si="26"/>
      </c>
      <c r="H379" s="81">
        <v>13.97</v>
      </c>
      <c r="I379" s="81">
        <f t="shared" si="142"/>
      </c>
      <c r="J379" s="81">
        <f t="shared" si="200"/>
      </c>
      <c r="K379" s="83">
        <f t="shared" si="269"/>
      </c>
      <c r="L379" s="81">
        <f t="shared" si="338"/>
      </c>
      <c r="M379" s="81">
        <f t="shared" si="397"/>
      </c>
      <c r="N379" s="83">
        <f t="shared" si="570"/>
      </c>
      <c r="O379" s="95">
        <v>1</v>
      </c>
      <c r="P379" s="95">
        <f t="shared" si="456"/>
      </c>
      <c r="Q379" s="85">
        <f t="shared" si="628"/>
      </c>
      <c r="R379" s="85">
        <f t="shared" si="83"/>
      </c>
      <c r="S379" s="97" t="s">
        <v>141</v>
      </c>
    </row>
    <row customHeight="true" ht="23.703703703703702" r="380">
      <c r="A380" s="93">
        <v>46079</v>
      </c>
      <c r="B380" s="79" t="s">
        <v>136</v>
      </c>
      <c r="C380" s="79">
        <v>1</v>
      </c>
      <c r="D380" s="94" cm="1">
        <f t="array" ref="D380:D380">_xlfn.XLOOKUP(B380&amp;S380,'净-价格-毛利'!A:A&amp;'净-价格-毛利'!B:B,'净-价格-毛利'!D:D,0)</f>
      </c>
      <c r="E380" s="81">
        <f t="shared" si="513"/>
      </c>
      <c r="F380" s="80" cm="1">
        <f t="array" ref="F380:F380">_xlfn.XLOOKUP(B380&amp;S380,'净-价格-毛利'!A:A&amp;'净-价格-毛利'!B:B,'净-价格-毛利'!C:C,0)</f>
      </c>
      <c r="G380" s="81">
        <f t="shared" si="26"/>
      </c>
      <c r="H380" s="81">
        <v>19.33</v>
      </c>
      <c r="I380" s="81">
        <f t="shared" si="142"/>
      </c>
      <c r="J380" s="81">
        <f t="shared" si="200"/>
      </c>
      <c r="K380" s="83">
        <f t="shared" si="269"/>
      </c>
      <c r="L380" s="81">
        <f>J380*9</f>
      </c>
      <c r="M380" s="81">
        <f>E380*9</f>
      </c>
      <c r="N380" s="83">
        <f t="shared" si="570"/>
      </c>
      <c r="O380" s="95">
        <v>1</v>
      </c>
      <c r="P380" s="95">
        <f t="shared" si="456"/>
      </c>
      <c r="Q380" s="85">
        <f t="shared" si="628"/>
      </c>
      <c r="R380" s="85">
        <f t="shared" si="83"/>
      </c>
      <c r="S380" s="97" t="s">
        <v>141</v>
      </c>
    </row>
    <row customHeight="true" ht="23.703703703703702" r="381">
      <c r="A381" s="93">
        <v>46079</v>
      </c>
      <c r="B381" s="79" t="s">
        <v>137</v>
      </c>
      <c r="C381" s="79"/>
      <c r="D381" s="94" cm="1">
        <f t="array" ref="D381:D381">_xlfn.XLOOKUP(B381&amp;S381,'净-价格-毛利'!A:A&amp;'净-价格-毛利'!B:B,'净-价格-毛利'!D:D,0)</f>
      </c>
      <c r="E381" s="81">
        <f t="shared" si="513"/>
      </c>
      <c r="F381" s="80" cm="1">
        <f t="array" ref="F381:F381">_xlfn.XLOOKUP(B381&amp;S381,'净-价格-毛利'!A:A&amp;'净-价格-毛利'!B:B,'净-价格-毛利'!C:C,0)</f>
      </c>
      <c r="G381" s="81"/>
      <c r="H381" s="81"/>
      <c r="I381" s="81">
        <f t="shared" si="142"/>
      </c>
      <c r="J381" s="81">
        <f>C381*F381-H381-I381</f>
      </c>
      <c r="K381" s="83">
        <f t="shared" si="269"/>
      </c>
      <c r="L381" s="81">
        <f>J381*7</f>
      </c>
      <c r="M381" s="81">
        <f>E381*7</f>
      </c>
      <c r="N381" s="83">
        <f t="shared" si="570"/>
      </c>
      <c r="O381" s="84"/>
      <c r="P381" s="84">
        <f t="shared" si="456"/>
      </c>
      <c r="Q381" s="85">
        <f t="shared" si="628"/>
      </c>
      <c r="R381" s="85"/>
      <c r="S381" s="96"/>
    </row>
    <row customHeight="true" ht="23.703703703703702" r="382">
      <c r="A382" s="93">
        <v>46079</v>
      </c>
      <c r="B382" s="79" t="s">
        <v>111</v>
      </c>
      <c r="C382" s="79">
        <f>SUM(C376:C381)</f>
      </c>
      <c r="D382" s="89"/>
      <c r="E382" s="81">
        <f>SUM(E376:E381)</f>
      </c>
      <c r="F382" s="82">
        <f>SUM(F376:F380)</f>
      </c>
      <c r="G382" s="81"/>
      <c r="H382" s="81"/>
      <c r="I382" s="81"/>
      <c r="J382" s="81">
        <f>SUM(J376:J381)</f>
      </c>
      <c r="K382" s="83">
        <f t="shared" si="269"/>
      </c>
      <c r="L382" s="81">
        <f>SUM(L376:L381)</f>
      </c>
      <c r="M382" s="81">
        <f>SUM(M376:M381)</f>
      </c>
      <c r="N382" s="83"/>
      <c r="O382" s="95">
        <f>SUM(O376:O380)</f>
      </c>
      <c r="P382" s="95">
        <f t="shared" si="456"/>
      </c>
      <c r="Q382" s="85">
        <f t="shared" si="628"/>
      </c>
      <c r="R382" s="85"/>
      <c r="S382" s="89"/>
    </row>
    <row customHeight="true" ht="23.703703703703702" r="383">
      <c r="B383" s="77" t="s">
        <v>138</v>
      </c>
    </row>
    <row customHeight="true" ht="23.703703703703702" r="384">
      <c r="A384" s="71" t="s">
        <v>152</v>
      </c>
      <c r="B384" s="72" t="s">
        <v>112</v>
      </c>
      <c r="C384" s="90" t="s">
        <v>113</v>
      </c>
      <c r="D384" s="72" t="s">
        <v>114</v>
      </c>
      <c r="E384" s="73" t="s">
        <v>115</v>
      </c>
      <c r="F384" s="74" t="s">
        <v>116</v>
      </c>
      <c r="G384" s="73" t="s">
        <v>117</v>
      </c>
      <c r="H384" s="91" t="s">
        <v>118</v>
      </c>
      <c r="I384" s="73" t="s">
        <v>119</v>
      </c>
      <c r="J384" s="73" t="s">
        <v>116</v>
      </c>
      <c r="K384" s="75" t="s">
        <v>120</v>
      </c>
      <c r="L384" s="73" t="s">
        <v>121</v>
      </c>
      <c r="M384" s="73" t="s">
        <v>122</v>
      </c>
      <c r="N384" s="72" t="s">
        <v>123</v>
      </c>
      <c r="O384" s="92" t="s">
        <v>124</v>
      </c>
      <c r="P384" s="76" t="s">
        <v>125</v>
      </c>
      <c r="Q384" s="75" t="s">
        <v>126</v>
      </c>
      <c r="R384" s="75" t="s">
        <v>127</v>
      </c>
      <c r="S384" s="75" t="s">
        <v>140</v>
      </c>
    </row>
    <row customHeight="true" ht="23.703703703703702" r="385">
      <c r="A385" s="93">
        <v>46080</v>
      </c>
      <c r="B385" s="79" t="s">
        <v>130</v>
      </c>
      <c r="C385" s="79">
        <v>3</v>
      </c>
      <c r="D385" s="94" cm="1">
        <f t="array" ref="D385:D385">_xlfn.XLOOKUP(B385&amp;S385,'净-价格-毛利'!A:A&amp;'净-价格-毛利'!B:B,'净-价格-毛利'!D:D,0)</f>
      </c>
      <c r="E385" s="81">
        <f t="shared" ref="E385:E390" si="514">C385*D385</f>
      </c>
      <c r="F385" s="80" cm="1">
        <f t="array" ref="F385:F385">_xlfn.XLOOKUP(B385&amp;S385,'净-价格-毛利'!A:A&amp;'净-价格-毛利'!B:B,'净-价格-毛利'!C:C,0)</f>
      </c>
      <c r="G385" s="81">
        <f t="shared" ref="G385:G389" si="27">C385*5</f>
      </c>
      <c r="H385" s="81">
        <v>51.4</v>
      </c>
      <c r="I385" s="81">
        <f t="shared" ref="I385:I390" si="143">E385*0.025</f>
      </c>
      <c r="J385" s="81">
        <f t="shared" ref="J385:J389" si="201">F385*C385+G385-H385-I385</f>
      </c>
      <c r="K385" s="83">
        <f t="shared" ref="K385:K391" si="270">IFERROR(J385/E385,0)</f>
      </c>
      <c r="L385" s="81">
        <f t="shared" ref="L385:L388" si="339">J385*8</f>
      </c>
      <c r="M385" s="81">
        <f t="shared" ref="M385:M388" si="398">E385*8</f>
      </c>
      <c r="N385" s="83">
        <f t="shared" ref="N385:N390" si="571">IFERROR(H385/E385,0)</f>
      </c>
      <c r="O385" s="95">
        <v>1</v>
      </c>
      <c r="P385" s="95">
        <f t="shared" ref="P385:P391" si="457">C385-O385</f>
      </c>
      <c r="Q385" s="85">
        <f t="shared" ref="Q385:Q391" si="629">IFERROR(O385/C385,0)</f>
      </c>
      <c r="R385" s="85">
        <f t="shared" ref="R385:R389" si="84">IFERROR(H385/(E385*Q385),0)</f>
      </c>
      <c r="S385" s="97" t="s">
        <v>141</v>
      </c>
    </row>
    <row customHeight="true" ht="23.703703703703702" r="386">
      <c r="A386" s="93">
        <v>46080</v>
      </c>
      <c r="B386" s="79" t="s">
        <v>131</v>
      </c>
      <c r="C386" s="79">
        <v>0</v>
      </c>
      <c r="D386" s="94" cm="1">
        <f t="array" ref="D386:D386">_xlfn.XLOOKUP(B386&amp;S386,'净-价格-毛利'!A:A&amp;'净-价格-毛利'!B:B,'净-价格-毛利'!D:D,0)</f>
      </c>
      <c r="E386" s="81">
        <f t="shared" si="514"/>
      </c>
      <c r="F386" s="80" cm="1">
        <f t="array" ref="F386:F386">_xlfn.XLOOKUP(B386&amp;S386,'净-价格-毛利'!A:A&amp;'净-价格-毛利'!B:B,'净-价格-毛利'!C:C,0)</f>
      </c>
      <c r="G386" s="81">
        <f t="shared" si="27"/>
      </c>
      <c r="H386" s="81">
        <v>4.52</v>
      </c>
      <c r="I386" s="81">
        <f t="shared" si="143"/>
      </c>
      <c r="J386" s="81">
        <f t="shared" si="201"/>
      </c>
      <c r="K386" s="83">
        <f t="shared" si="270"/>
      </c>
      <c r="L386" s="81">
        <f t="shared" si="339"/>
      </c>
      <c r="M386" s="81">
        <f t="shared" si="398"/>
      </c>
      <c r="N386" s="83">
        <f t="shared" si="571"/>
      </c>
      <c r="O386" s="95">
        <v>0</v>
      </c>
      <c r="P386" s="95">
        <f t="shared" si="457"/>
      </c>
      <c r="Q386" s="85">
        <f t="shared" si="629"/>
      </c>
      <c r="R386" s="85">
        <f t="shared" si="84"/>
      </c>
      <c r="S386" s="97" t="s">
        <v>141</v>
      </c>
    </row>
    <row customHeight="true" ht="23.703703703703702" r="387">
      <c r="A387" s="93">
        <v>46080</v>
      </c>
      <c r="B387" s="79" t="s">
        <v>133</v>
      </c>
      <c r="C387" s="79">
        <v>0</v>
      </c>
      <c r="D387" s="94" cm="1">
        <f t="array" ref="D387:D387">_xlfn.XLOOKUP(B387&amp;S387,'净-价格-毛利'!A:A&amp;'净-价格-毛利'!B:B,'净-价格-毛利'!D:D,0)</f>
      </c>
      <c r="E387" s="81">
        <f t="shared" si="514"/>
      </c>
      <c r="F387" s="80" cm="1">
        <f t="array" ref="F387:F387">_xlfn.XLOOKUP(B387&amp;S387,'净-价格-毛利'!A:A&amp;'净-价格-毛利'!B:B,'净-价格-毛利'!C:C,0)</f>
      </c>
      <c r="G387" s="81">
        <f t="shared" si="27"/>
      </c>
      <c r="H387" s="81">
        <v>15.2</v>
      </c>
      <c r="I387" s="81">
        <f t="shared" si="143"/>
      </c>
      <c r="J387" s="81">
        <f t="shared" si="201"/>
      </c>
      <c r="K387" s="83">
        <f t="shared" si="270"/>
      </c>
      <c r="L387" s="81">
        <f t="shared" si="339"/>
      </c>
      <c r="M387" s="81">
        <f t="shared" si="398"/>
      </c>
      <c r="N387" s="83">
        <f t="shared" si="571"/>
      </c>
      <c r="O387" s="95">
        <v>0</v>
      </c>
      <c r="P387" s="95">
        <f t="shared" si="457"/>
      </c>
      <c r="Q387" s="85">
        <f t="shared" si="629"/>
      </c>
      <c r="R387" s="85">
        <f t="shared" si="84"/>
      </c>
      <c r="S387" s="97" t="s">
        <v>141</v>
      </c>
    </row>
    <row customHeight="true" ht="23.703703703703702" r="388">
      <c r="A388" s="93">
        <v>46080</v>
      </c>
      <c r="B388" s="79" t="s">
        <v>134</v>
      </c>
      <c r="C388" s="79">
        <v>1</v>
      </c>
      <c r="D388" s="94" cm="1">
        <f t="array" ref="D388:D388">_xlfn.XLOOKUP(B388&amp;S388,'净-价格-毛利'!A:A&amp;'净-价格-毛利'!B:B,'净-价格-毛利'!D:D,0)</f>
      </c>
      <c r="E388" s="81">
        <f t="shared" si="514"/>
      </c>
      <c r="F388" s="80" cm="1">
        <f t="array" ref="F388:F388">_xlfn.XLOOKUP(B388&amp;S388,'净-价格-毛利'!A:A&amp;'净-价格-毛利'!B:B,'净-价格-毛利'!C:C,0)</f>
      </c>
      <c r="G388" s="81">
        <f t="shared" si="27"/>
      </c>
      <c r="H388" s="81">
        <v>13.38</v>
      </c>
      <c r="I388" s="81">
        <f t="shared" si="143"/>
      </c>
      <c r="J388" s="81">
        <f t="shared" si="201"/>
      </c>
      <c r="K388" s="83">
        <f t="shared" si="270"/>
      </c>
      <c r="L388" s="81">
        <f t="shared" si="339"/>
      </c>
      <c r="M388" s="81">
        <f t="shared" si="398"/>
      </c>
      <c r="N388" s="83">
        <f t="shared" si="571"/>
      </c>
      <c r="O388" s="95">
        <v>0</v>
      </c>
      <c r="P388" s="95">
        <f t="shared" si="457"/>
      </c>
      <c r="Q388" s="85">
        <f t="shared" si="629"/>
      </c>
      <c r="R388" s="85">
        <f t="shared" si="84"/>
      </c>
      <c r="S388" s="97" t="s">
        <v>141</v>
      </c>
    </row>
    <row customHeight="true" ht="23.703703703703702" r="389">
      <c r="A389" s="93">
        <v>46080</v>
      </c>
      <c r="B389" s="79" t="s">
        <v>136</v>
      </c>
      <c r="C389" s="79">
        <v>0</v>
      </c>
      <c r="D389" s="94" cm="1">
        <f t="array" ref="D389:D389">_xlfn.XLOOKUP(B389&amp;S389,'净-价格-毛利'!A:A&amp;'净-价格-毛利'!B:B,'净-价格-毛利'!D:D,0)</f>
      </c>
      <c r="E389" s="81">
        <f t="shared" si="514"/>
      </c>
      <c r="F389" s="80" cm="1">
        <f t="array" ref="F389:F389">_xlfn.XLOOKUP(B389&amp;S389,'净-价格-毛利'!A:A&amp;'净-价格-毛利'!B:B,'净-价格-毛利'!C:C,0)</f>
      </c>
      <c r="G389" s="81">
        <f t="shared" si="27"/>
      </c>
      <c r="H389" s="81">
        <v>18.75</v>
      </c>
      <c r="I389" s="81">
        <f t="shared" si="143"/>
      </c>
      <c r="J389" s="81">
        <f t="shared" si="201"/>
      </c>
      <c r="K389" s="83">
        <f t="shared" si="270"/>
      </c>
      <c r="L389" s="81">
        <f>J389*9</f>
      </c>
      <c r="M389" s="81">
        <f>E389*9</f>
      </c>
      <c r="N389" s="83">
        <f t="shared" si="571"/>
      </c>
      <c r="O389" s="95">
        <v>0</v>
      </c>
      <c r="P389" s="95">
        <f t="shared" si="457"/>
      </c>
      <c r="Q389" s="85">
        <f t="shared" si="629"/>
      </c>
      <c r="R389" s="85">
        <f t="shared" si="84"/>
      </c>
      <c r="S389" s="97" t="s">
        <v>141</v>
      </c>
    </row>
    <row customHeight="true" ht="23.703703703703702" r="390">
      <c r="A390" s="93">
        <v>46080</v>
      </c>
      <c r="B390" s="79" t="s">
        <v>137</v>
      </c>
      <c r="C390" s="79"/>
      <c r="D390" s="94" cm="1">
        <f t="array" ref="D390:D390">_xlfn.XLOOKUP(B390&amp;S390,'净-价格-毛利'!A:A&amp;'净-价格-毛利'!B:B,'净-价格-毛利'!D:D,0)</f>
      </c>
      <c r="E390" s="81">
        <f t="shared" si="514"/>
      </c>
      <c r="F390" s="80" cm="1">
        <f t="array" ref="F390:F390">_xlfn.XLOOKUP(B390&amp;S390,'净-价格-毛利'!A:A&amp;'净-价格-毛利'!B:B,'净-价格-毛利'!C:C,0)</f>
      </c>
      <c r="G390" s="81"/>
      <c r="H390" s="81"/>
      <c r="I390" s="81">
        <f t="shared" si="143"/>
      </c>
      <c r="J390" s="81">
        <f>C390*F390-H390-I390</f>
      </c>
      <c r="K390" s="83">
        <f t="shared" si="270"/>
      </c>
      <c r="L390" s="81">
        <f>J390*7</f>
      </c>
      <c r="M390" s="81">
        <f>E390*7</f>
      </c>
      <c r="N390" s="83">
        <f t="shared" si="571"/>
      </c>
      <c r="O390" s="84"/>
      <c r="P390" s="84">
        <f t="shared" si="457"/>
      </c>
      <c r="Q390" s="85">
        <f t="shared" si="629"/>
      </c>
      <c r="R390" s="85"/>
      <c r="S390" s="96"/>
    </row>
    <row customHeight="true" ht="23.703703703703702" r="391">
      <c r="A391" s="93">
        <v>46080</v>
      </c>
      <c r="B391" s="79" t="s">
        <v>111</v>
      </c>
      <c r="C391" s="79">
        <f>SUM(C385:C390)</f>
      </c>
      <c r="D391" s="89"/>
      <c r="E391" s="81">
        <f>SUM(E385:E390)</f>
      </c>
      <c r="F391" s="82">
        <f>SUM(F385:F389)</f>
      </c>
      <c r="G391" s="81"/>
      <c r="H391" s="81"/>
      <c r="I391" s="81"/>
      <c r="J391" s="81">
        <f>SUM(J385:J390)</f>
      </c>
      <c r="K391" s="83">
        <f t="shared" si="270"/>
      </c>
      <c r="L391" s="81">
        <f>SUM(L385:L390)</f>
      </c>
      <c r="M391" s="81">
        <f>SUM(M385:M390)</f>
      </c>
      <c r="N391" s="83"/>
      <c r="O391" s="95">
        <f>SUM(O385:O389)</f>
      </c>
      <c r="P391" s="95">
        <f t="shared" si="457"/>
      </c>
      <c r="Q391" s="85">
        <f t="shared" si="629"/>
      </c>
      <c r="R391" s="85"/>
      <c r="S391" s="89"/>
    </row>
    <row customHeight="true" ht="23.703703703703702" r="392">
      <c r="B392" s="77" t="s">
        <v>138</v>
      </c>
    </row>
    <row customHeight="true" ht="23.703703703703702" r="393">
      <c r="A393" s="71" t="s">
        <v>152</v>
      </c>
      <c r="B393" s="72" t="s">
        <v>112</v>
      </c>
      <c r="C393" s="90" t="s">
        <v>113</v>
      </c>
      <c r="D393" s="72" t="s">
        <v>114</v>
      </c>
      <c r="E393" s="73" t="s">
        <v>115</v>
      </c>
      <c r="F393" s="74" t="s">
        <v>116</v>
      </c>
      <c r="G393" s="73" t="s">
        <v>117</v>
      </c>
      <c r="H393" s="91" t="s">
        <v>118</v>
      </c>
      <c r="I393" s="73" t="s">
        <v>119</v>
      </c>
      <c r="J393" s="73" t="s">
        <v>116</v>
      </c>
      <c r="K393" s="75" t="s">
        <v>120</v>
      </c>
      <c r="L393" s="73" t="s">
        <v>121</v>
      </c>
      <c r="M393" s="73" t="s">
        <v>122</v>
      </c>
      <c r="N393" s="72" t="s">
        <v>123</v>
      </c>
      <c r="O393" s="92" t="s">
        <v>124</v>
      </c>
      <c r="P393" s="76" t="s">
        <v>125</v>
      </c>
      <c r="Q393" s="75" t="s">
        <v>126</v>
      </c>
      <c r="R393" s="75" t="s">
        <v>127</v>
      </c>
      <c r="S393" s="75" t="s">
        <v>140</v>
      </c>
    </row>
    <row customHeight="true" ht="23.703703703703702" r="394">
      <c r="A394" s="93">
        <v>46081</v>
      </c>
      <c r="B394" s="79" t="s">
        <v>130</v>
      </c>
      <c r="C394" s="79">
        <v>5</v>
      </c>
      <c r="D394" s="94" cm="1">
        <f t="array" ref="D394:D394">_xlfn.XLOOKUP(B394&amp;S394,'净-价格-毛利'!A:A&amp;'净-价格-毛利'!B:B,'净-价格-毛利'!D:D,0)</f>
      </c>
      <c r="E394" s="81">
        <f t="shared" ref="E394:E399" si="515">C394*D394</f>
      </c>
      <c r="F394" s="80" cm="1">
        <f t="array" ref="F394:F394">_xlfn.XLOOKUP(B394&amp;S394,'净-价格-毛利'!A:A&amp;'净-价格-毛利'!B:B,'净-价格-毛利'!C:C,0)</f>
      </c>
      <c r="G394" s="81">
        <f t="shared" ref="G394:G398" si="28">C394*5</f>
      </c>
      <c r="H394" s="81">
        <v>43.89</v>
      </c>
      <c r="I394" s="81">
        <f t="shared" ref="I394:I399" si="144">E394*0.025</f>
      </c>
      <c r="J394" s="81">
        <f t="shared" ref="J394:J398" si="202">F394*C394+G394-H394-I394</f>
      </c>
      <c r="K394" s="83">
        <f t="shared" ref="K394:K400" si="271">IFERROR(J394/E394,0)</f>
      </c>
      <c r="L394" s="81">
        <f t="shared" ref="L394:L397" si="340">J394*8</f>
      </c>
      <c r="M394" s="81">
        <f t="shared" ref="M394:M397" si="399">E394*8</f>
      </c>
      <c r="N394" s="83">
        <f t="shared" ref="N394:N399" si="572">IFERROR(H394/E394,0)</f>
      </c>
      <c r="O394" s="95">
        <v>2</v>
      </c>
      <c r="P394" s="95">
        <f t="shared" ref="P394:P400" si="458">C394-O394</f>
      </c>
      <c r="Q394" s="85">
        <f t="shared" ref="Q394:Q400" si="630">IFERROR(O394/C394,0)</f>
      </c>
      <c r="R394" s="85">
        <f t="shared" ref="R394:R398" si="85">IFERROR(H394/(E394*Q394),0)</f>
      </c>
      <c r="S394" s="97" t="s">
        <v>141</v>
      </c>
    </row>
    <row customHeight="true" ht="23.703703703703702" r="395">
      <c r="A395" s="93">
        <v>46081</v>
      </c>
      <c r="B395" s="79" t="s">
        <v>131</v>
      </c>
      <c r="C395" s="79">
        <v>0</v>
      </c>
      <c r="D395" s="94" cm="1">
        <f t="array" ref="D395:D395">_xlfn.XLOOKUP(B395&amp;S395,'净-价格-毛利'!A:A&amp;'净-价格-毛利'!B:B,'净-价格-毛利'!D:D,0)</f>
      </c>
      <c r="E395" s="81">
        <f t="shared" si="515"/>
      </c>
      <c r="F395" s="80" cm="1">
        <f t="array" ref="F395:F395">_xlfn.XLOOKUP(B395&amp;S395,'净-价格-毛利'!A:A&amp;'净-价格-毛利'!B:B,'净-价格-毛利'!C:C,0)</f>
      </c>
      <c r="G395" s="81">
        <f t="shared" si="28"/>
      </c>
      <c r="H395" s="81">
        <v>8.2</v>
      </c>
      <c r="I395" s="81">
        <f t="shared" si="144"/>
      </c>
      <c r="J395" s="81">
        <f t="shared" si="202"/>
      </c>
      <c r="K395" s="83">
        <f t="shared" si="271"/>
      </c>
      <c r="L395" s="81">
        <f t="shared" si="340"/>
      </c>
      <c r="M395" s="81">
        <f t="shared" si="399"/>
      </c>
      <c r="N395" s="83">
        <f t="shared" si="572"/>
      </c>
      <c r="O395" s="95">
        <v>1</v>
      </c>
      <c r="P395" s="95">
        <f t="shared" si="458"/>
      </c>
      <c r="Q395" s="85">
        <f t="shared" si="630"/>
      </c>
      <c r="R395" s="85">
        <f t="shared" si="85"/>
      </c>
      <c r="S395" s="97" t="s">
        <v>141</v>
      </c>
    </row>
    <row customHeight="true" ht="23.703703703703702" r="396">
      <c r="A396" s="93">
        <v>46081</v>
      </c>
      <c r="B396" s="79" t="s">
        <v>133</v>
      </c>
      <c r="C396" s="79">
        <v>1</v>
      </c>
      <c r="D396" s="94" cm="1">
        <f t="array" ref="D396:D396">_xlfn.XLOOKUP(B396&amp;S396,'净-价格-毛利'!A:A&amp;'净-价格-毛利'!B:B,'净-价格-毛利'!D:D,0)</f>
      </c>
      <c r="E396" s="81">
        <f t="shared" si="515"/>
      </c>
      <c r="F396" s="80" cm="1">
        <f t="array" ref="F396:F396">_xlfn.XLOOKUP(B396&amp;S396,'净-价格-毛利'!A:A&amp;'净-价格-毛利'!B:B,'净-价格-毛利'!C:C,0)</f>
      </c>
      <c r="G396" s="81">
        <f t="shared" si="28"/>
      </c>
      <c r="H396" s="81">
        <v>29.04</v>
      </c>
      <c r="I396" s="81">
        <f t="shared" si="144"/>
      </c>
      <c r="J396" s="81">
        <f t="shared" si="202"/>
      </c>
      <c r="K396" s="83">
        <f t="shared" si="271"/>
      </c>
      <c r="L396" s="81">
        <f t="shared" si="340"/>
      </c>
      <c r="M396" s="81">
        <f t="shared" si="399"/>
      </c>
      <c r="N396" s="83">
        <f t="shared" si="572"/>
      </c>
      <c r="O396" s="95">
        <v>1</v>
      </c>
      <c r="P396" s="95">
        <f t="shared" si="458"/>
      </c>
      <c r="Q396" s="85">
        <f t="shared" si="630"/>
      </c>
      <c r="R396" s="85">
        <f t="shared" si="85"/>
      </c>
      <c r="S396" s="97" t="s">
        <v>141</v>
      </c>
    </row>
    <row customHeight="true" ht="23.703703703703702" r="397">
      <c r="A397" s="93">
        <v>46081</v>
      </c>
      <c r="B397" s="79" t="s">
        <v>134</v>
      </c>
      <c r="C397" s="79">
        <v>2</v>
      </c>
      <c r="D397" s="94" cm="1">
        <f t="array" ref="D397:D397">_xlfn.XLOOKUP(B397&amp;S397,'净-价格-毛利'!A:A&amp;'净-价格-毛利'!B:B,'净-价格-毛利'!D:D,0)</f>
      </c>
      <c r="E397" s="81">
        <f t="shared" si="515"/>
      </c>
      <c r="F397" s="80" cm="1">
        <f t="array" ref="F397:F397">_xlfn.XLOOKUP(B397&amp;S397,'净-价格-毛利'!A:A&amp;'净-价格-毛利'!B:B,'净-价格-毛利'!C:C,0)</f>
      </c>
      <c r="G397" s="81">
        <f t="shared" si="28"/>
      </c>
      <c r="H397" s="81">
        <v>17.23</v>
      </c>
      <c r="I397" s="81">
        <f t="shared" si="144"/>
      </c>
      <c r="J397" s="81">
        <f t="shared" si="202"/>
      </c>
      <c r="K397" s="83">
        <f t="shared" si="271"/>
      </c>
      <c r="L397" s="81">
        <f t="shared" si="340"/>
      </c>
      <c r="M397" s="81">
        <f t="shared" si="399"/>
      </c>
      <c r="N397" s="83">
        <f t="shared" si="572"/>
      </c>
      <c r="O397" s="95">
        <v>1</v>
      </c>
      <c r="P397" s="95">
        <f t="shared" si="458"/>
      </c>
      <c r="Q397" s="85">
        <f t="shared" si="630"/>
      </c>
      <c r="R397" s="85">
        <f t="shared" si="85"/>
      </c>
      <c r="S397" s="97" t="s">
        <v>141</v>
      </c>
    </row>
    <row customHeight="true" ht="23.703703703703702" r="398">
      <c r="A398" s="93">
        <v>46081</v>
      </c>
      <c r="B398" s="79" t="s">
        <v>136</v>
      </c>
      <c r="C398" s="79">
        <v>2</v>
      </c>
      <c r="D398" s="94" cm="1">
        <f t="array" ref="D398:D398">_xlfn.XLOOKUP(B398&amp;S398,'净-价格-毛利'!A:A&amp;'净-价格-毛利'!B:B,'净-价格-毛利'!D:D,0)</f>
      </c>
      <c r="E398" s="81">
        <f t="shared" si="515"/>
      </c>
      <c r="F398" s="80" cm="1">
        <f t="array" ref="F398:F398">_xlfn.XLOOKUP(B398&amp;S398,'净-价格-毛利'!A:A&amp;'净-价格-毛利'!B:B,'净-价格-毛利'!C:C,0)</f>
      </c>
      <c r="G398" s="81">
        <f t="shared" si="28"/>
      </c>
      <c r="H398" s="81">
        <v>17.94</v>
      </c>
      <c r="I398" s="81">
        <f t="shared" si="144"/>
      </c>
      <c r="J398" s="81">
        <f t="shared" si="202"/>
      </c>
      <c r="K398" s="83">
        <f t="shared" si="271"/>
      </c>
      <c r="L398" s="81">
        <f>J398*9</f>
      </c>
      <c r="M398" s="81">
        <f>E398*9</f>
      </c>
      <c r="N398" s="83">
        <f t="shared" si="572"/>
      </c>
      <c r="O398" s="95">
        <v>0</v>
      </c>
      <c r="P398" s="95">
        <f t="shared" si="458"/>
      </c>
      <c r="Q398" s="85">
        <f t="shared" si="630"/>
      </c>
      <c r="R398" s="85">
        <f t="shared" si="85"/>
      </c>
      <c r="S398" s="97" t="s">
        <v>141</v>
      </c>
    </row>
    <row customHeight="true" ht="23.703703703703702" r="399">
      <c r="A399" s="93">
        <v>46081</v>
      </c>
      <c r="B399" s="79" t="s">
        <v>137</v>
      </c>
      <c r="C399" s="79"/>
      <c r="D399" s="94" cm="1">
        <f t="array" ref="D399:D399">_xlfn.XLOOKUP(B399&amp;S399,'净-价格-毛利'!A:A&amp;'净-价格-毛利'!B:B,'净-价格-毛利'!D:D,0)</f>
      </c>
      <c r="E399" s="81">
        <f t="shared" si="515"/>
      </c>
      <c r="F399" s="80" cm="1">
        <f t="array" ref="F399:F399">_xlfn.XLOOKUP(B399&amp;S399,'净-价格-毛利'!A:A&amp;'净-价格-毛利'!B:B,'净-价格-毛利'!C:C,0)</f>
      </c>
      <c r="G399" s="81"/>
      <c r="H399" s="81"/>
      <c r="I399" s="81">
        <f t="shared" si="144"/>
      </c>
      <c r="J399" s="81">
        <f>C399*F399-H399-I399</f>
      </c>
      <c r="K399" s="83">
        <f t="shared" si="271"/>
      </c>
      <c r="L399" s="81">
        <f>J399*7</f>
      </c>
      <c r="M399" s="81">
        <f>E399*7</f>
      </c>
      <c r="N399" s="83">
        <f t="shared" si="572"/>
      </c>
      <c r="O399" s="84"/>
      <c r="P399" s="84">
        <f t="shared" si="458"/>
      </c>
      <c r="Q399" s="85">
        <f t="shared" si="630"/>
      </c>
      <c r="R399" s="85"/>
      <c r="S399" s="96"/>
    </row>
    <row customHeight="true" ht="23.703703703703702" r="400">
      <c r="A400" s="93">
        <v>46081</v>
      </c>
      <c r="B400" s="79" t="s">
        <v>111</v>
      </c>
      <c r="C400" s="79">
        <f>SUM(C394:C399)</f>
      </c>
      <c r="D400" s="89"/>
      <c r="E400" s="81">
        <f>SUM(E394:E399)</f>
      </c>
      <c r="F400" s="82">
        <f>SUM(F394:F398)</f>
      </c>
      <c r="G400" s="81"/>
      <c r="H400" s="81"/>
      <c r="I400" s="81"/>
      <c r="J400" s="81">
        <f>SUM(J394:J399)</f>
      </c>
      <c r="K400" s="83">
        <f t="shared" si="271"/>
      </c>
      <c r="L400" s="81">
        <f>SUM(L394:L399)</f>
      </c>
      <c r="M400" s="81">
        <f>SUM(M394:M399)</f>
      </c>
      <c r="N400" s="83"/>
      <c r="O400" s="95">
        <f>SUM(O394:O398)</f>
      </c>
      <c r="P400" s="95">
        <f t="shared" si="458"/>
      </c>
      <c r="Q400" s="85">
        <f t="shared" si="630"/>
      </c>
      <c r="R400" s="85"/>
      <c r="S400" s="89"/>
    </row>
    <row customHeight="true" ht="23.703703703703702" r="401">
      <c r="B401" s="77" t="s">
        <v>138</v>
      </c>
    </row>
    <row customHeight="true" ht="23.703703703703702" r="402">
      <c r="A402" s="71" t="s">
        <v>152</v>
      </c>
      <c r="B402" s="72" t="s">
        <v>112</v>
      </c>
      <c r="C402" s="90" t="s">
        <v>113</v>
      </c>
      <c r="D402" s="72" t="s">
        <v>114</v>
      </c>
      <c r="E402" s="73" t="s">
        <v>115</v>
      </c>
      <c r="F402" s="74" t="s">
        <v>116</v>
      </c>
      <c r="G402" s="73" t="s">
        <v>117</v>
      </c>
      <c r="H402" s="91" t="s">
        <v>118</v>
      </c>
      <c r="I402" s="73" t="s">
        <v>119</v>
      </c>
      <c r="J402" s="73" t="s">
        <v>116</v>
      </c>
      <c r="K402" s="75" t="s">
        <v>120</v>
      </c>
      <c r="L402" s="73" t="s">
        <v>121</v>
      </c>
      <c r="M402" s="73" t="s">
        <v>122</v>
      </c>
      <c r="N402" s="72" t="s">
        <v>123</v>
      </c>
      <c r="O402" s="92" t="s">
        <v>124</v>
      </c>
      <c r="P402" s="76" t="s">
        <v>125</v>
      </c>
      <c r="Q402" s="75" t="s">
        <v>126</v>
      </c>
      <c r="R402" s="75" t="s">
        <v>127</v>
      </c>
      <c r="S402" s="75" t="s">
        <v>140</v>
      </c>
    </row>
    <row customHeight="true" ht="23.703703703703702" r="403">
      <c r="A403" s="93">
        <v>46082</v>
      </c>
      <c r="B403" s="79" t="s">
        <v>130</v>
      </c>
      <c r="C403" s="79">
        <v>0</v>
      </c>
      <c r="D403" s="94" cm="1">
        <f t="array" ref="D403:D403">_xlfn.XLOOKUP(B403&amp;S403,'净-价格-毛利'!A:A&amp;'净-价格-毛利'!B:B,'净-价格-毛利'!D:D,0)</f>
      </c>
      <c r="E403" s="81">
        <f t="shared" ref="E403:E408" si="516">C403*D403</f>
      </c>
      <c r="F403" s="80" cm="1">
        <f t="array" ref="F403:F403">_xlfn.XLOOKUP(B403&amp;S403,'净-价格-毛利'!A:A&amp;'净-价格-毛利'!B:B,'净-价格-毛利'!C:C,0)</f>
      </c>
      <c r="G403" s="81">
        <f t="shared" ref="G403:G407" si="29">C403*5</f>
      </c>
      <c r="H403" s="81">
        <v>56.31</v>
      </c>
      <c r="I403" s="81">
        <f t="shared" ref="I403:I408" si="145">E403*0.025</f>
      </c>
      <c r="J403" s="81">
        <f t="shared" ref="J403:J407" si="203">F403*C403+G403-H403-I403</f>
      </c>
      <c r="K403" s="83">
        <f t="shared" ref="K403:K409" si="272">IFERROR(J403/E403,0)</f>
      </c>
      <c r="L403" s="81">
        <f t="shared" ref="L403:L406" si="341">J403*8</f>
      </c>
      <c r="M403" s="81">
        <f t="shared" ref="M403:M406" si="400">E403*8</f>
      </c>
      <c r="N403" s="83">
        <f t="shared" ref="N403:N408" si="573">IFERROR(H403/E403,0)</f>
      </c>
      <c r="O403" s="95">
        <v>0</v>
      </c>
      <c r="P403" s="95">
        <f t="shared" ref="P403:P409" si="459">C403-O403</f>
      </c>
      <c r="Q403" s="85">
        <f t="shared" ref="Q403:Q409" si="631">IFERROR(O403/C403,0)</f>
      </c>
      <c r="R403" s="85">
        <f t="shared" ref="R403:R407" si="86">IFERROR(H403/(E403*Q403),0)</f>
      </c>
      <c r="S403" s="97" t="s">
        <v>141</v>
      </c>
    </row>
    <row customHeight="true" ht="23.703703703703702" r="404">
      <c r="A404" s="93">
        <v>46082</v>
      </c>
      <c r="B404" s="79" t="s">
        <v>131</v>
      </c>
      <c r="C404" s="79">
        <v>1</v>
      </c>
      <c r="D404" s="94" cm="1">
        <f t="array" ref="D404:D404">_xlfn.XLOOKUP(B404&amp;S404,'净-价格-毛利'!A:A&amp;'净-价格-毛利'!B:B,'净-价格-毛利'!D:D,0)</f>
      </c>
      <c r="E404" s="81">
        <f t="shared" si="516"/>
      </c>
      <c r="F404" s="80" cm="1">
        <f t="array" ref="F404:F404">_xlfn.XLOOKUP(B404&amp;S404,'净-价格-毛利'!A:A&amp;'净-价格-毛利'!B:B,'净-价格-毛利'!C:C,0)</f>
      </c>
      <c r="G404" s="81">
        <f t="shared" si="29"/>
      </c>
      <c r="H404" s="81">
        <v>7.8</v>
      </c>
      <c r="I404" s="81">
        <f t="shared" si="145"/>
      </c>
      <c r="J404" s="81">
        <f t="shared" si="203"/>
      </c>
      <c r="K404" s="83">
        <f t="shared" si="272"/>
      </c>
      <c r="L404" s="81">
        <f t="shared" si="341"/>
      </c>
      <c r="M404" s="81">
        <f t="shared" si="400"/>
      </c>
      <c r="N404" s="83">
        <f t="shared" si="573"/>
      </c>
      <c r="O404" s="95">
        <v>0</v>
      </c>
      <c r="P404" s="95">
        <f t="shared" si="459"/>
      </c>
      <c r="Q404" s="85">
        <f t="shared" si="631"/>
      </c>
      <c r="R404" s="85">
        <f t="shared" si="86"/>
      </c>
      <c r="S404" s="97" t="s">
        <v>141</v>
      </c>
    </row>
    <row customHeight="true" ht="23.703703703703702" r="405">
      <c r="A405" s="93">
        <v>46082</v>
      </c>
      <c r="B405" s="79" t="s">
        <v>133</v>
      </c>
      <c r="C405" s="79">
        <v>3</v>
      </c>
      <c r="D405" s="94" cm="1">
        <f t="array" ref="D405:D405">_xlfn.XLOOKUP(B405&amp;S405,'净-价格-毛利'!A:A&amp;'净-价格-毛利'!B:B,'净-价格-毛利'!D:D,0)</f>
      </c>
      <c r="E405" s="81">
        <f t="shared" si="516"/>
      </c>
      <c r="F405" s="80" cm="1">
        <f t="array" ref="F405:F405">_xlfn.XLOOKUP(B405&amp;S405,'净-价格-毛利'!A:A&amp;'净-价格-毛利'!B:B,'净-价格-毛利'!C:C,0)</f>
      </c>
      <c r="G405" s="81">
        <f t="shared" si="29"/>
      </c>
      <c r="H405" s="81">
        <v>24.89</v>
      </c>
      <c r="I405" s="81">
        <f t="shared" si="145"/>
      </c>
      <c r="J405" s="81">
        <f t="shared" si="203"/>
      </c>
      <c r="K405" s="83">
        <f t="shared" si="272"/>
      </c>
      <c r="L405" s="81">
        <f t="shared" si="341"/>
      </c>
      <c r="M405" s="81">
        <f t="shared" si="400"/>
      </c>
      <c r="N405" s="83">
        <f t="shared" si="573"/>
      </c>
      <c r="O405" s="95">
        <v>2</v>
      </c>
      <c r="P405" s="95">
        <f t="shared" si="459"/>
      </c>
      <c r="Q405" s="85">
        <f t="shared" si="631"/>
      </c>
      <c r="R405" s="85">
        <f t="shared" si="86"/>
      </c>
      <c r="S405" s="97" t="s">
        <v>141</v>
      </c>
    </row>
    <row customHeight="true" ht="23.703703703703702" r="406">
      <c r="A406" s="93">
        <v>46082</v>
      </c>
      <c r="B406" s="79" t="s">
        <v>134</v>
      </c>
      <c r="C406" s="79">
        <v>5</v>
      </c>
      <c r="D406" s="94" cm="1">
        <f t="array" ref="D406:D406">_xlfn.XLOOKUP(B406&amp;S406,'净-价格-毛利'!A:A&amp;'净-价格-毛利'!B:B,'净-价格-毛利'!D:D,0)</f>
      </c>
      <c r="E406" s="81">
        <f t="shared" si="516"/>
      </c>
      <c r="F406" s="80" cm="1">
        <f t="array" ref="F406:F406">_xlfn.XLOOKUP(B406&amp;S406,'净-价格-毛利'!A:A&amp;'净-价格-毛利'!B:B,'净-价格-毛利'!C:C,0)</f>
      </c>
      <c r="G406" s="81">
        <f t="shared" si="29"/>
      </c>
      <c r="H406" s="81">
        <v>33.12</v>
      </c>
      <c r="I406" s="81">
        <f t="shared" si="145"/>
      </c>
      <c r="J406" s="81">
        <f t="shared" si="203"/>
      </c>
      <c r="K406" s="83">
        <f t="shared" si="272"/>
      </c>
      <c r="L406" s="81">
        <f t="shared" si="341"/>
      </c>
      <c r="M406" s="81">
        <f t="shared" si="400"/>
      </c>
      <c r="N406" s="83">
        <f t="shared" si="573"/>
      </c>
      <c r="O406" s="95">
        <v>3</v>
      </c>
      <c r="P406" s="95">
        <f t="shared" si="459"/>
      </c>
      <c r="Q406" s="85">
        <f t="shared" si="631"/>
      </c>
      <c r="R406" s="85">
        <f t="shared" si="86"/>
      </c>
      <c r="S406" s="97" t="s">
        <v>141</v>
      </c>
    </row>
    <row customHeight="true" ht="23.703703703703702" r="407">
      <c r="A407" s="93">
        <v>46082</v>
      </c>
      <c r="B407" s="79" t="s">
        <v>136</v>
      </c>
      <c r="C407" s="79">
        <v>0</v>
      </c>
      <c r="D407" s="94" cm="1">
        <f t="array" ref="D407:D407">_xlfn.XLOOKUP(B407&amp;S407,'净-价格-毛利'!A:A&amp;'净-价格-毛利'!B:B,'净-价格-毛利'!D:D,0)</f>
      </c>
      <c r="E407" s="81">
        <f t="shared" si="516"/>
      </c>
      <c r="F407" s="80" cm="1">
        <f t="array" ref="F407:F407">_xlfn.XLOOKUP(B407&amp;S407,'净-价格-毛利'!A:A&amp;'净-价格-毛利'!B:B,'净-价格-毛利'!C:C,0)</f>
      </c>
      <c r="G407" s="81">
        <f t="shared" si="29"/>
      </c>
      <c r="H407" s="81">
        <v>24.27</v>
      </c>
      <c r="I407" s="81">
        <f t="shared" si="145"/>
      </c>
      <c r="J407" s="81">
        <f t="shared" si="203"/>
      </c>
      <c r="K407" s="83">
        <f t="shared" si="272"/>
      </c>
      <c r="L407" s="81">
        <f>J407*9</f>
      </c>
      <c r="M407" s="81">
        <f>E407*9</f>
      </c>
      <c r="N407" s="83">
        <f t="shared" si="573"/>
      </c>
      <c r="O407" s="95">
        <v>0</v>
      </c>
      <c r="P407" s="95">
        <f t="shared" si="459"/>
      </c>
      <c r="Q407" s="85">
        <f t="shared" si="631"/>
      </c>
      <c r="R407" s="85">
        <f t="shared" si="86"/>
      </c>
      <c r="S407" s="97" t="s">
        <v>141</v>
      </c>
    </row>
    <row customHeight="true" ht="23.703703703703702" r="408">
      <c r="A408" s="93">
        <v>46082</v>
      </c>
      <c r="B408" s="79" t="s">
        <v>137</v>
      </c>
      <c r="C408" s="79"/>
      <c r="D408" s="94" cm="1">
        <f t="array" ref="D408:D408">_xlfn.XLOOKUP(B408&amp;S408,'净-价格-毛利'!A:A&amp;'净-价格-毛利'!B:B,'净-价格-毛利'!D:D,0)</f>
      </c>
      <c r="E408" s="81">
        <f t="shared" si="516"/>
      </c>
      <c r="F408" s="80" cm="1">
        <f t="array" ref="F408:F408">_xlfn.XLOOKUP(B408&amp;S408,'净-价格-毛利'!A:A&amp;'净-价格-毛利'!B:B,'净-价格-毛利'!C:C,0)</f>
      </c>
      <c r="G408" s="81"/>
      <c r="H408" s="81"/>
      <c r="I408" s="81">
        <f t="shared" si="145"/>
      </c>
      <c r="J408" s="81">
        <f>C408*F408-H408-I408</f>
      </c>
      <c r="K408" s="83">
        <f t="shared" si="272"/>
      </c>
      <c r="L408" s="81">
        <f>J408*7</f>
      </c>
      <c r="M408" s="81">
        <f>E408*7</f>
      </c>
      <c r="N408" s="83">
        <f t="shared" si="573"/>
      </c>
      <c r="O408" s="84"/>
      <c r="P408" s="84">
        <f t="shared" si="459"/>
      </c>
      <c r="Q408" s="85">
        <f t="shared" si="631"/>
      </c>
      <c r="R408" s="85"/>
      <c r="S408" s="96"/>
    </row>
    <row customHeight="true" ht="23.703703703703702" r="409">
      <c r="A409" s="93">
        <v>46082</v>
      </c>
      <c r="B409" s="79" t="s">
        <v>111</v>
      </c>
      <c r="C409" s="79">
        <f>SUM(C403:C408)</f>
      </c>
      <c r="D409" s="89"/>
      <c r="E409" s="81">
        <f>SUM(E403:E408)</f>
      </c>
      <c r="F409" s="82">
        <f>SUM(F403:F407)</f>
      </c>
      <c r="G409" s="81"/>
      <c r="H409" s="81"/>
      <c r="I409" s="81"/>
      <c r="J409" s="81">
        <f>SUM(J403:J408)</f>
      </c>
      <c r="K409" s="83">
        <f t="shared" si="272"/>
      </c>
      <c r="L409" s="81">
        <f>SUM(L403:L408)</f>
      </c>
      <c r="M409" s="81">
        <f>SUM(M403:M408)</f>
      </c>
      <c r="N409" s="83"/>
      <c r="O409" s="95">
        <f>SUM(O403:O407)</f>
      </c>
      <c r="P409" s="95">
        <f t="shared" si="459"/>
      </c>
      <c r="Q409" s="85">
        <f t="shared" si="631"/>
      </c>
      <c r="R409" s="85"/>
      <c r="S409" s="89"/>
    </row>
    <row customHeight="true" ht="23.703703703703702" r="410">
      <c r="B410" s="77" t="s">
        <v>138</v>
      </c>
    </row>
    <row customHeight="true" ht="23.703703703703702" r="411">
      <c r="A411" s="71" t="s">
        <v>152</v>
      </c>
      <c r="B411" s="72" t="s">
        <v>112</v>
      </c>
      <c r="C411" s="90" t="s">
        <v>113</v>
      </c>
      <c r="D411" s="72" t="s">
        <v>114</v>
      </c>
      <c r="E411" s="73" t="s">
        <v>115</v>
      </c>
      <c r="F411" s="74" t="s">
        <v>116</v>
      </c>
      <c r="G411" s="73" t="s">
        <v>117</v>
      </c>
      <c r="H411" s="91" t="s">
        <v>118</v>
      </c>
      <c r="I411" s="73" t="s">
        <v>119</v>
      </c>
      <c r="J411" s="73" t="s">
        <v>116</v>
      </c>
      <c r="K411" s="75" t="s">
        <v>120</v>
      </c>
      <c r="L411" s="73" t="s">
        <v>121</v>
      </c>
      <c r="M411" s="73" t="s">
        <v>122</v>
      </c>
      <c r="N411" s="72" t="s">
        <v>123</v>
      </c>
      <c r="O411" s="92" t="s">
        <v>124</v>
      </c>
      <c r="P411" s="76" t="s">
        <v>125</v>
      </c>
      <c r="Q411" s="75" t="s">
        <v>126</v>
      </c>
      <c r="R411" s="75" t="s">
        <v>127</v>
      </c>
      <c r="S411" s="75" t="s">
        <v>140</v>
      </c>
    </row>
    <row customHeight="true" ht="23.703703703703702" r="412">
      <c r="A412" s="93">
        <v>46083</v>
      </c>
      <c r="B412" s="79" t="s">
        <v>130</v>
      </c>
      <c r="C412" s="79">
        <v>1</v>
      </c>
      <c r="D412" s="94" cm="1">
        <f t="array" ref="D412:D412">_xlfn.XLOOKUP(B412&amp;S412,'净-价格-毛利'!A:A&amp;'净-价格-毛利'!B:B,'净-价格-毛利'!D:D,0)</f>
      </c>
      <c r="E412" s="81">
        <f t="shared" ref="E412:E417" si="517">C412*D412</f>
      </c>
      <c r="F412" s="80" cm="1">
        <f t="array" ref="F412:F412">_xlfn.XLOOKUP(B412&amp;S412,'净-价格-毛利'!A:A&amp;'净-价格-毛利'!B:B,'净-价格-毛利'!C:C,0)</f>
      </c>
      <c r="G412" s="81">
        <f t="shared" ref="G412:G416" si="30">C412*5</f>
      </c>
      <c r="H412" s="81">
        <v>24.95</v>
      </c>
      <c r="I412" s="81">
        <f t="shared" ref="I412:I417" si="146">E412*0.025</f>
      </c>
      <c r="J412" s="81">
        <f t="shared" ref="J412:J416" si="204">F412*C412+G412-H412-I412</f>
      </c>
      <c r="K412" s="83">
        <f t="shared" ref="K412:K418" si="273">IFERROR(J412/E412,0)</f>
      </c>
      <c r="L412" s="81">
        <f t="shared" ref="L412:L415" si="342">J412*8</f>
      </c>
      <c r="M412" s="81">
        <f t="shared" ref="M412:M415" si="401">E412*8</f>
      </c>
      <c r="N412" s="83">
        <f t="shared" ref="N412:N417" si="574">IFERROR(H412/E412,0)</f>
      </c>
      <c r="O412" s="95">
        <v>0</v>
      </c>
      <c r="P412" s="95">
        <f t="shared" ref="P412:P418" si="460">C412-O412</f>
      </c>
      <c r="Q412" s="85">
        <f t="shared" ref="Q412:Q418" si="632">IFERROR(O412/C412,0)</f>
      </c>
      <c r="R412" s="85">
        <f t="shared" ref="R412:R416" si="87">IFERROR(H412/(E412*Q412),0)</f>
      </c>
      <c r="S412" s="97" t="s">
        <v>141</v>
      </c>
    </row>
    <row customHeight="true" ht="23.703703703703702" r="413">
      <c r="A413" s="93">
        <v>46083</v>
      </c>
      <c r="B413" s="79" t="s">
        <v>131</v>
      </c>
      <c r="C413" s="79">
        <v>0</v>
      </c>
      <c r="D413" s="94" cm="1">
        <f t="array" ref="D413:D413">_xlfn.XLOOKUP(B413&amp;S413,'净-价格-毛利'!A:A&amp;'净-价格-毛利'!B:B,'净-价格-毛利'!D:D,0)</f>
      </c>
      <c r="E413" s="81">
        <f t="shared" si="517"/>
      </c>
      <c r="F413" s="80" cm="1">
        <f t="array" ref="F413:F413">_xlfn.XLOOKUP(B413&amp;S413,'净-价格-毛利'!A:A&amp;'净-价格-毛利'!B:B,'净-价格-毛利'!C:C,0)</f>
      </c>
      <c r="G413" s="81">
        <f t="shared" si="30"/>
      </c>
      <c r="H413" s="81">
        <v>6.02</v>
      </c>
      <c r="I413" s="81">
        <f t="shared" si="146"/>
      </c>
      <c r="J413" s="81">
        <f t="shared" si="204"/>
      </c>
      <c r="K413" s="83">
        <f t="shared" si="273"/>
      </c>
      <c r="L413" s="81">
        <f t="shared" si="342"/>
      </c>
      <c r="M413" s="81">
        <f t="shared" si="401"/>
      </c>
      <c r="N413" s="83">
        <f t="shared" si="574"/>
      </c>
      <c r="O413" s="95">
        <v>0</v>
      </c>
      <c r="P413" s="95">
        <f t="shared" si="460"/>
      </c>
      <c r="Q413" s="85">
        <f t="shared" si="632"/>
      </c>
      <c r="R413" s="85">
        <f t="shared" si="87"/>
      </c>
      <c r="S413" s="97" t="s">
        <v>141</v>
      </c>
    </row>
    <row customHeight="true" ht="23.703703703703702" r="414">
      <c r="A414" s="93">
        <v>46083</v>
      </c>
      <c r="B414" s="79" t="s">
        <v>133</v>
      </c>
      <c r="C414" s="79">
        <v>0</v>
      </c>
      <c r="D414" s="94" cm="1">
        <f t="array" ref="D414:D414">_xlfn.XLOOKUP(B414&amp;S414,'净-价格-毛利'!A:A&amp;'净-价格-毛利'!B:B,'净-价格-毛利'!D:D,0)</f>
      </c>
      <c r="E414" s="81">
        <f t="shared" si="517"/>
      </c>
      <c r="F414" s="80" cm="1">
        <f t="array" ref="F414:F414">_xlfn.XLOOKUP(B414&amp;S414,'净-价格-毛利'!A:A&amp;'净-价格-毛利'!B:B,'净-价格-毛利'!C:C,0)</f>
      </c>
      <c r="G414" s="81">
        <f t="shared" si="30"/>
      </c>
      <c r="H414" s="81">
        <v>35.7</v>
      </c>
      <c r="I414" s="81">
        <f t="shared" si="146"/>
      </c>
      <c r="J414" s="81">
        <f t="shared" si="204"/>
      </c>
      <c r="K414" s="83">
        <f t="shared" si="273"/>
      </c>
      <c r="L414" s="81">
        <f t="shared" si="342"/>
      </c>
      <c r="M414" s="81">
        <f t="shared" si="401"/>
      </c>
      <c r="N414" s="83">
        <f t="shared" si="574"/>
      </c>
      <c r="O414" s="95">
        <v>0</v>
      </c>
      <c r="P414" s="95">
        <f t="shared" si="460"/>
      </c>
      <c r="Q414" s="85">
        <f t="shared" si="632"/>
      </c>
      <c r="R414" s="85">
        <f t="shared" si="87"/>
      </c>
      <c r="S414" s="97" t="s">
        <v>141</v>
      </c>
    </row>
    <row customHeight="true" ht="23.703703703703702" r="415">
      <c r="A415" s="93">
        <v>46083</v>
      </c>
      <c r="B415" s="79" t="s">
        <v>134</v>
      </c>
      <c r="C415" s="79">
        <v>1</v>
      </c>
      <c r="D415" s="94" cm="1">
        <f t="array" ref="D415:D415">_xlfn.XLOOKUP(B415&amp;S415,'净-价格-毛利'!A:A&amp;'净-价格-毛利'!B:B,'净-价格-毛利'!D:D,0)</f>
      </c>
      <c r="E415" s="81">
        <f t="shared" si="517"/>
      </c>
      <c r="F415" s="80" cm="1">
        <f t="array" ref="F415:F415">_xlfn.XLOOKUP(B415&amp;S415,'净-价格-毛利'!A:A&amp;'净-价格-毛利'!B:B,'净-价格-毛利'!C:C,0)</f>
      </c>
      <c r="G415" s="81">
        <f t="shared" si="30"/>
      </c>
      <c r="H415" s="81">
        <v>14.08</v>
      </c>
      <c r="I415" s="81">
        <f t="shared" si="146"/>
      </c>
      <c r="J415" s="81">
        <f t="shared" si="204"/>
      </c>
      <c r="K415" s="83">
        <f t="shared" si="273"/>
      </c>
      <c r="L415" s="81">
        <f t="shared" si="342"/>
      </c>
      <c r="M415" s="81">
        <f t="shared" si="401"/>
      </c>
      <c r="N415" s="83">
        <f t="shared" si="574"/>
      </c>
      <c r="O415" s="95">
        <v>1</v>
      </c>
      <c r="P415" s="95">
        <f t="shared" si="460"/>
      </c>
      <c r="Q415" s="85">
        <f t="shared" si="632"/>
      </c>
      <c r="R415" s="85">
        <f t="shared" si="87"/>
      </c>
      <c r="S415" s="97" t="s">
        <v>141</v>
      </c>
    </row>
    <row customHeight="true" ht="23.703703703703702" r="416">
      <c r="A416" s="93">
        <v>46083</v>
      </c>
      <c r="B416" s="79" t="s">
        <v>136</v>
      </c>
      <c r="C416" s="79">
        <v>1</v>
      </c>
      <c r="D416" s="94" cm="1">
        <f t="array" ref="D416:D416">_xlfn.XLOOKUP(B416&amp;S416,'净-价格-毛利'!A:A&amp;'净-价格-毛利'!B:B,'净-价格-毛利'!D:D,0)</f>
      </c>
      <c r="E416" s="81">
        <f t="shared" si="517"/>
      </c>
      <c r="F416" s="80" cm="1">
        <f t="array" ref="F416:F416">_xlfn.XLOOKUP(B416&amp;S416,'净-价格-毛利'!A:A&amp;'净-价格-毛利'!B:B,'净-价格-毛利'!C:C,0)</f>
      </c>
      <c r="G416" s="81">
        <f t="shared" si="30"/>
      </c>
      <c r="H416" s="81">
        <v>23.6</v>
      </c>
      <c r="I416" s="81">
        <f t="shared" si="146"/>
      </c>
      <c r="J416" s="81">
        <f t="shared" si="204"/>
      </c>
      <c r="K416" s="83">
        <f t="shared" si="273"/>
      </c>
      <c r="L416" s="81">
        <f>J416*9</f>
      </c>
      <c r="M416" s="81">
        <f>E416*9</f>
      </c>
      <c r="N416" s="83">
        <f t="shared" si="574"/>
      </c>
      <c r="O416" s="95">
        <v>1</v>
      </c>
      <c r="P416" s="95">
        <f t="shared" si="460"/>
      </c>
      <c r="Q416" s="85">
        <f t="shared" si="632"/>
      </c>
      <c r="R416" s="85">
        <f t="shared" si="87"/>
      </c>
      <c r="S416" s="97" t="s">
        <v>159</v>
      </c>
    </row>
    <row customHeight="true" ht="23.703703703703702" r="417">
      <c r="A417" s="93">
        <v>46083</v>
      </c>
      <c r="B417" s="79" t="s">
        <v>137</v>
      </c>
      <c r="C417" s="79"/>
      <c r="D417" s="94" cm="1">
        <f t="array" ref="D417:D417">_xlfn.XLOOKUP(B417&amp;S417,'净-价格-毛利'!A:A&amp;'净-价格-毛利'!B:B,'净-价格-毛利'!D:D,0)</f>
      </c>
      <c r="E417" s="81">
        <f t="shared" si="517"/>
      </c>
      <c r="F417" s="80" cm="1">
        <f t="array" ref="F417:F417">_xlfn.XLOOKUP(B417&amp;S417,'净-价格-毛利'!A:A&amp;'净-价格-毛利'!B:B,'净-价格-毛利'!C:C,0)</f>
      </c>
      <c r="G417" s="81"/>
      <c r="H417" s="81"/>
      <c r="I417" s="81">
        <f t="shared" si="146"/>
      </c>
      <c r="J417" s="81">
        <f>C417*F417-H417-I417</f>
      </c>
      <c r="K417" s="83">
        <f t="shared" si="273"/>
      </c>
      <c r="L417" s="81">
        <f>J417*7</f>
      </c>
      <c r="M417" s="81">
        <f>E417*7</f>
      </c>
      <c r="N417" s="83">
        <f t="shared" si="574"/>
      </c>
      <c r="O417" s="84"/>
      <c r="P417" s="84">
        <f t="shared" si="460"/>
      </c>
      <c r="Q417" s="85">
        <f t="shared" si="632"/>
      </c>
      <c r="R417" s="85"/>
      <c r="S417" s="96"/>
    </row>
    <row customHeight="true" ht="23.703703703703702" r="418">
      <c r="A418" s="93">
        <v>46083</v>
      </c>
      <c r="B418" s="79" t="s">
        <v>111</v>
      </c>
      <c r="C418" s="79">
        <f>SUM(C412:C417)</f>
      </c>
      <c r="D418" s="89"/>
      <c r="E418" s="81">
        <f>SUM(E412:E417)</f>
      </c>
      <c r="F418" s="82">
        <f>SUM(F412:F416)</f>
      </c>
      <c r="G418" s="81"/>
      <c r="H418" s="81"/>
      <c r="I418" s="81"/>
      <c r="J418" s="81">
        <f>SUM(J412:J417)</f>
      </c>
      <c r="K418" s="83">
        <f t="shared" si="273"/>
      </c>
      <c r="L418" s="81">
        <f>SUM(L412:L417)</f>
      </c>
      <c r="M418" s="81">
        <f>SUM(M412:M417)</f>
      </c>
      <c r="N418" s="83"/>
      <c r="O418" s="95">
        <f>SUM(O412:O416)</f>
      </c>
      <c r="P418" s="95">
        <f t="shared" si="460"/>
      </c>
      <c r="Q418" s="85">
        <f t="shared" si="632"/>
      </c>
      <c r="R418" s="85"/>
      <c r="S418" s="89"/>
    </row>
    <row customHeight="true" ht="23.703703703703702" r="419">
      <c r="B419" s="77" t="s">
        <v>138</v>
      </c>
    </row>
    <row customHeight="true" ht="23.703703703703702" r="420">
      <c r="A420" s="71" t="s">
        <v>152</v>
      </c>
      <c r="B420" s="72" t="s">
        <v>112</v>
      </c>
      <c r="C420" s="90" t="s">
        <v>113</v>
      </c>
      <c r="D420" s="72" t="s">
        <v>114</v>
      </c>
      <c r="E420" s="73" t="s">
        <v>115</v>
      </c>
      <c r="F420" s="74" t="s">
        <v>116</v>
      </c>
      <c r="G420" s="73" t="s">
        <v>117</v>
      </c>
      <c r="H420" s="91" t="s">
        <v>118</v>
      </c>
      <c r="I420" s="73" t="s">
        <v>119</v>
      </c>
      <c r="J420" s="73" t="s">
        <v>116</v>
      </c>
      <c r="K420" s="75" t="s">
        <v>120</v>
      </c>
      <c r="L420" s="73" t="s">
        <v>121</v>
      </c>
      <c r="M420" s="73" t="s">
        <v>122</v>
      </c>
      <c r="N420" s="72" t="s">
        <v>123</v>
      </c>
      <c r="O420" s="92" t="s">
        <v>124</v>
      </c>
      <c r="P420" s="76" t="s">
        <v>125</v>
      </c>
      <c r="Q420" s="75" t="s">
        <v>126</v>
      </c>
      <c r="R420" s="75" t="s">
        <v>127</v>
      </c>
      <c r="S420" s="75" t="s">
        <v>140</v>
      </c>
    </row>
    <row customHeight="true" ht="23.703703703703702" r="421">
      <c r="A421" s="93">
        <v>46084</v>
      </c>
      <c r="B421" s="79" t="s">
        <v>130</v>
      </c>
      <c r="C421" s="79">
        <v>3</v>
      </c>
      <c r="D421" s="94" cm="1">
        <f t="array" ref="D421:D421">_xlfn.XLOOKUP(B421&amp;S421,'净-价格-毛利'!A:A&amp;'净-价格-毛利'!B:B,'净-价格-毛利'!D:D,0)</f>
      </c>
      <c r="E421" s="81">
        <f t="shared" ref="E421:E426" si="518">C421*D421</f>
      </c>
      <c r="F421" s="80" cm="1">
        <f t="array" ref="F421:F421">_xlfn.XLOOKUP(B421&amp;S421,'净-价格-毛利'!A:A&amp;'净-价格-毛利'!B:B,'净-价格-毛利'!C:C,0)</f>
      </c>
      <c r="G421" s="81">
        <f t="shared" ref="G421:G425" si="31">C421*5</f>
      </c>
      <c r="H421" s="81">
        <v>21.28</v>
      </c>
      <c r="I421" s="81">
        <f t="shared" ref="I421:I426" si="147">E421*0.025</f>
      </c>
      <c r="J421" s="81">
        <f t="shared" ref="J421:J425" si="205">F421*C421+G421-H421-I421</f>
      </c>
      <c r="K421" s="83">
        <f t="shared" ref="K421:K427" si="274">IFERROR(J421/E421,0)</f>
      </c>
      <c r="L421" s="81">
        <f t="shared" ref="L421:L424" si="343">J421*8</f>
      </c>
      <c r="M421" s="81">
        <f t="shared" ref="M421:M424" si="402">E421*8</f>
      </c>
      <c r="N421" s="83">
        <f t="shared" ref="N421:N426" si="575">IFERROR(H421/E421,0)</f>
      </c>
      <c r="O421" s="95">
        <v>1</v>
      </c>
      <c r="P421" s="95">
        <f t="shared" ref="P421:P427" si="461">C421-O421</f>
      </c>
      <c r="Q421" s="85">
        <f t="shared" ref="Q421:Q427" si="633">IFERROR(O421/C421,0)</f>
      </c>
      <c r="R421" s="85">
        <f t="shared" ref="R421:R425" si="88">IFERROR(H421/(E421*Q421),0)</f>
      </c>
      <c r="S421" s="97" t="s">
        <v>141</v>
      </c>
    </row>
    <row customHeight="true" ht="23.703703703703702" r="422">
      <c r="A422" s="93">
        <v>46084</v>
      </c>
      <c r="B422" s="79" t="s">
        <v>131</v>
      </c>
      <c r="C422" s="79">
        <v>5</v>
      </c>
      <c r="D422" s="94" cm="1">
        <f t="array" ref="D422:D422">_xlfn.XLOOKUP(B422&amp;S422,'净-价格-毛利'!A:A&amp;'净-价格-毛利'!B:B,'净-价格-毛利'!D:D,0)</f>
      </c>
      <c r="E422" s="81">
        <f t="shared" si="518"/>
      </c>
      <c r="F422" s="80" cm="1">
        <f t="array" ref="F422:F422">_xlfn.XLOOKUP(B422&amp;S422,'净-价格-毛利'!A:A&amp;'净-价格-毛利'!B:B,'净-价格-毛利'!C:C,0)</f>
      </c>
      <c r="G422" s="81">
        <f t="shared" si="31"/>
      </c>
      <c r="H422" s="81">
        <v>3.73</v>
      </c>
      <c r="I422" s="81">
        <f t="shared" si="147"/>
      </c>
      <c r="J422" s="81">
        <f t="shared" si="205"/>
      </c>
      <c r="K422" s="83">
        <f t="shared" si="274"/>
      </c>
      <c r="L422" s="81">
        <f t="shared" si="343"/>
      </c>
      <c r="M422" s="81">
        <f t="shared" si="402"/>
      </c>
      <c r="N422" s="83">
        <f t="shared" si="575"/>
      </c>
      <c r="O422" s="95">
        <v>1</v>
      </c>
      <c r="P422" s="95">
        <f t="shared" si="461"/>
      </c>
      <c r="Q422" s="85">
        <f t="shared" si="633"/>
      </c>
      <c r="R422" s="85">
        <f t="shared" si="88"/>
      </c>
      <c r="S422" s="97" t="s">
        <v>141</v>
      </c>
    </row>
    <row customHeight="true" ht="23.703703703703702" r="423">
      <c r="A423" s="93">
        <v>46084</v>
      </c>
      <c r="B423" s="79" t="s">
        <v>133</v>
      </c>
      <c r="C423" s="79">
        <v>1</v>
      </c>
      <c r="D423" s="94" cm="1">
        <f t="array" ref="D423:D423">_xlfn.XLOOKUP(B423&amp;S423,'净-价格-毛利'!A:A&amp;'净-价格-毛利'!B:B,'净-价格-毛利'!D:D,0)</f>
      </c>
      <c r="E423" s="81">
        <f t="shared" si="518"/>
      </c>
      <c r="F423" s="80" cm="1">
        <f t="array" ref="F423:F423">_xlfn.XLOOKUP(B423&amp;S423,'净-价格-毛利'!A:A&amp;'净-价格-毛利'!B:B,'净-价格-毛利'!C:C,0)</f>
      </c>
      <c r="G423" s="81">
        <f t="shared" si="31"/>
      </c>
      <c r="H423" s="81">
        <v>30.71</v>
      </c>
      <c r="I423" s="81">
        <f t="shared" si="147"/>
      </c>
      <c r="J423" s="81">
        <f t="shared" si="205"/>
      </c>
      <c r="K423" s="83">
        <f t="shared" si="274"/>
      </c>
      <c r="L423" s="81">
        <f t="shared" si="343"/>
      </c>
      <c r="M423" s="81">
        <f t="shared" si="402"/>
      </c>
      <c r="N423" s="83">
        <f t="shared" si="575"/>
      </c>
      <c r="O423" s="95">
        <v>1</v>
      </c>
      <c r="P423" s="95">
        <f t="shared" si="461"/>
      </c>
      <c r="Q423" s="85">
        <f t="shared" si="633"/>
      </c>
      <c r="R423" s="85">
        <f t="shared" si="88"/>
      </c>
      <c r="S423" s="97" t="s">
        <v>145</v>
      </c>
    </row>
    <row customHeight="true" ht="23.703703703703702" r="424">
      <c r="A424" s="93">
        <v>46084</v>
      </c>
      <c r="B424" s="79" t="s">
        <v>134</v>
      </c>
      <c r="C424" s="79">
        <v>3</v>
      </c>
      <c r="D424" s="94" cm="1">
        <f t="array" ref="D424:D424">_xlfn.XLOOKUP(B424&amp;S424,'净-价格-毛利'!A:A&amp;'净-价格-毛利'!B:B,'净-价格-毛利'!D:D,0)</f>
      </c>
      <c r="E424" s="81">
        <f t="shared" si="518"/>
      </c>
      <c r="F424" s="80" cm="1">
        <f t="array" ref="F424:F424">_xlfn.XLOOKUP(B424&amp;S424,'净-价格-毛利'!A:A&amp;'净-价格-毛利'!B:B,'净-价格-毛利'!C:C,0)</f>
      </c>
      <c r="G424" s="81">
        <f t="shared" si="31"/>
      </c>
      <c r="H424" s="81">
        <v>15.3</v>
      </c>
      <c r="I424" s="81">
        <f t="shared" si="147"/>
      </c>
      <c r="J424" s="81">
        <f t="shared" si="205"/>
      </c>
      <c r="K424" s="83">
        <f t="shared" si="274"/>
      </c>
      <c r="L424" s="81">
        <f t="shared" si="343"/>
      </c>
      <c r="M424" s="81">
        <f t="shared" si="402"/>
      </c>
      <c r="N424" s="83">
        <f t="shared" si="575"/>
      </c>
      <c r="O424" s="95">
        <v>1</v>
      </c>
      <c r="P424" s="95">
        <f t="shared" si="461"/>
      </c>
      <c r="Q424" s="85">
        <f t="shared" si="633"/>
      </c>
      <c r="R424" s="85">
        <f t="shared" si="88"/>
      </c>
      <c r="S424" s="97" t="s">
        <v>145</v>
      </c>
    </row>
    <row customHeight="true" ht="23.703703703703702" r="425">
      <c r="A425" s="93">
        <v>46084</v>
      </c>
      <c r="B425" s="79" t="s">
        <v>136</v>
      </c>
      <c r="C425" s="79">
        <v>1</v>
      </c>
      <c r="D425" s="94" cm="1">
        <f t="array" ref="D425:D425">_xlfn.XLOOKUP(B425&amp;S425,'净-价格-毛利'!A:A&amp;'净-价格-毛利'!B:B,'净-价格-毛利'!D:D,0)</f>
      </c>
      <c r="E425" s="81">
        <f t="shared" si="518"/>
      </c>
      <c r="F425" s="80" cm="1">
        <f t="array" ref="F425:F425">_xlfn.XLOOKUP(B425&amp;S425,'净-价格-毛利'!A:A&amp;'净-价格-毛利'!B:B,'净-价格-毛利'!C:C,0)</f>
      </c>
      <c r="G425" s="81">
        <f t="shared" si="31"/>
      </c>
      <c r="H425" s="81">
        <v>34.95</v>
      </c>
      <c r="I425" s="81">
        <f t="shared" si="147"/>
      </c>
      <c r="J425" s="81">
        <f t="shared" si="205"/>
      </c>
      <c r="K425" s="83">
        <f t="shared" si="274"/>
      </c>
      <c r="L425" s="81">
        <f>J425*9</f>
      </c>
      <c r="M425" s="81">
        <f>E425*9</f>
      </c>
      <c r="N425" s="83">
        <f t="shared" si="575"/>
      </c>
      <c r="O425" s="95">
        <v>1</v>
      </c>
      <c r="P425" s="95">
        <f t="shared" si="461"/>
      </c>
      <c r="Q425" s="85">
        <f t="shared" si="633"/>
      </c>
      <c r="R425" s="85">
        <f t="shared" si="88"/>
      </c>
      <c r="S425" s="97" t="s">
        <v>159</v>
      </c>
    </row>
    <row customHeight="true" ht="23.703703703703702" r="426">
      <c r="A426" s="93">
        <v>46084</v>
      </c>
      <c r="B426" s="79" t="s">
        <v>137</v>
      </c>
      <c r="C426" s="79"/>
      <c r="D426" s="94" cm="1">
        <f t="array" ref="D426:D426">_xlfn.XLOOKUP(B426&amp;S426,'净-价格-毛利'!A:A&amp;'净-价格-毛利'!B:B,'净-价格-毛利'!D:D,0)</f>
      </c>
      <c r="E426" s="81">
        <f t="shared" si="518"/>
      </c>
      <c r="F426" s="80" cm="1">
        <f t="array" ref="F426:F426">_xlfn.XLOOKUP(B426&amp;S426,'净-价格-毛利'!A:A&amp;'净-价格-毛利'!B:B,'净-价格-毛利'!C:C,0)</f>
      </c>
      <c r="G426" s="81"/>
      <c r="H426" s="81"/>
      <c r="I426" s="81">
        <f t="shared" si="147"/>
      </c>
      <c r="J426" s="81">
        <f>C426*F426-H426-I426</f>
      </c>
      <c r="K426" s="83">
        <f t="shared" si="274"/>
      </c>
      <c r="L426" s="81">
        <f>J426*7</f>
      </c>
      <c r="M426" s="81">
        <f>E426*7</f>
      </c>
      <c r="N426" s="83">
        <f t="shared" si="575"/>
      </c>
      <c r="O426" s="84"/>
      <c r="P426" s="84">
        <f t="shared" si="461"/>
      </c>
      <c r="Q426" s="85">
        <f t="shared" si="633"/>
      </c>
      <c r="R426" s="85"/>
      <c r="S426" s="96"/>
    </row>
    <row customHeight="true" ht="23.703703703703702" r="427">
      <c r="A427" s="93">
        <v>46084</v>
      </c>
      <c r="B427" s="79" t="s">
        <v>111</v>
      </c>
      <c r="C427" s="79">
        <f>SUM(C421:C426)</f>
      </c>
      <c r="D427" s="89"/>
      <c r="E427" s="81">
        <f>SUM(E421:E426)</f>
      </c>
      <c r="F427" s="82">
        <f>SUM(F421:F425)</f>
      </c>
      <c r="G427" s="81"/>
      <c r="H427" s="81"/>
      <c r="I427" s="81"/>
      <c r="J427" s="81">
        <f>SUM(J421:J426)</f>
      </c>
      <c r="K427" s="83">
        <f t="shared" si="274"/>
      </c>
      <c r="L427" s="81">
        <f>SUM(L421:L426)</f>
      </c>
      <c r="M427" s="81">
        <f>SUM(M421:M426)</f>
      </c>
      <c r="N427" s="83"/>
      <c r="O427" s="95">
        <f>SUM(O421:O425)</f>
      </c>
      <c r="P427" s="95">
        <f t="shared" si="461"/>
      </c>
      <c r="Q427" s="85">
        <f t="shared" si="633"/>
      </c>
      <c r="R427" s="85"/>
      <c r="S427" s="89"/>
    </row>
    <row customHeight="true" ht="23.703703703703702" r="428">
      <c r="B428" s="77" t="s">
        <v>138</v>
      </c>
    </row>
    <row customHeight="true" ht="23.703703703703702" r="429">
      <c r="A429" s="71" t="s">
        <v>152</v>
      </c>
      <c r="B429" s="72" t="s">
        <v>112</v>
      </c>
      <c r="C429" s="90" t="s">
        <v>113</v>
      </c>
      <c r="D429" s="72" t="s">
        <v>114</v>
      </c>
      <c r="E429" s="73" t="s">
        <v>115</v>
      </c>
      <c r="F429" s="74" t="s">
        <v>116</v>
      </c>
      <c r="G429" s="73" t="s">
        <v>117</v>
      </c>
      <c r="H429" s="91" t="s">
        <v>118</v>
      </c>
      <c r="I429" s="73" t="s">
        <v>119</v>
      </c>
      <c r="J429" s="73" t="s">
        <v>116</v>
      </c>
      <c r="K429" s="75" t="s">
        <v>120</v>
      </c>
      <c r="L429" s="73" t="s">
        <v>121</v>
      </c>
      <c r="M429" s="73" t="s">
        <v>122</v>
      </c>
      <c r="N429" s="72" t="s">
        <v>123</v>
      </c>
      <c r="O429" s="92" t="s">
        <v>124</v>
      </c>
      <c r="P429" s="76" t="s">
        <v>125</v>
      </c>
      <c r="Q429" s="75" t="s">
        <v>126</v>
      </c>
      <c r="R429" s="75" t="s">
        <v>127</v>
      </c>
      <c r="S429" s="75" t="s">
        <v>140</v>
      </c>
    </row>
    <row customHeight="true" ht="23.703703703703702" r="430">
      <c r="A430" s="93">
        <v>46085</v>
      </c>
      <c r="B430" s="79" t="s">
        <v>130</v>
      </c>
      <c r="C430" s="79">
        <v>5</v>
      </c>
      <c r="D430" s="94" cm="1">
        <f t="array" ref="D430:D430">_xlfn.XLOOKUP(B430&amp;S430,'净-价格-毛利'!A:A&amp;'净-价格-毛利'!B:B,'净-价格-毛利'!D:D,0)</f>
      </c>
      <c r="E430" s="81">
        <f t="shared" ref="E430:E435" si="519">C430*D430</f>
      </c>
      <c r="F430" s="80" cm="1">
        <f t="array" ref="F430:F430">_xlfn.XLOOKUP(B430&amp;S430,'净-价格-毛利'!A:A&amp;'净-价格-毛利'!B:B,'净-价格-毛利'!C:C,0)</f>
      </c>
      <c r="G430" s="81">
        <f t="shared" ref="G430:G434" si="32">C430*5</f>
      </c>
      <c r="H430" s="81">
        <v>24.62</v>
      </c>
      <c r="I430" s="81">
        <f t="shared" ref="I430:I435" si="148">E430*0.025</f>
      </c>
      <c r="J430" s="81">
        <f t="shared" ref="J430:J434" si="206">F430*C430+G430-H430-I430</f>
      </c>
      <c r="K430" s="83">
        <f t="shared" ref="K430:K436" si="275">IFERROR(J430/E430,0)</f>
      </c>
      <c r="L430" s="81">
        <f t="shared" ref="L430:L433" si="344">J430*8</f>
      </c>
      <c r="M430" s="81">
        <f t="shared" ref="M430:M433" si="403">E430*8</f>
      </c>
      <c r="N430" s="83">
        <f t="shared" ref="N430:N435" si="576">IFERROR(H430/E430,0)</f>
      </c>
      <c r="O430" s="95">
        <v>3</v>
      </c>
      <c r="P430" s="95">
        <f t="shared" ref="P430:P436" si="462">C430-O430</f>
      </c>
      <c r="Q430" s="85">
        <f t="shared" ref="Q430:Q436" si="634">IFERROR(O430/C430,0)</f>
      </c>
      <c r="R430" s="85">
        <f t="shared" ref="R430:R434" si="89">IFERROR(H430/(E430*Q430),0)</f>
      </c>
      <c r="S430" s="97" t="s">
        <v>141</v>
      </c>
    </row>
    <row customHeight="true" ht="23.703703703703702" r="431">
      <c r="A431" s="93">
        <v>46085</v>
      </c>
      <c r="B431" s="79" t="s">
        <v>131</v>
      </c>
      <c r="C431" s="79">
        <v>0</v>
      </c>
      <c r="D431" s="94" cm="1">
        <f t="array" ref="D431:D431">_xlfn.XLOOKUP(B431&amp;S431,'净-价格-毛利'!A:A&amp;'净-价格-毛利'!B:B,'净-价格-毛利'!D:D,0)</f>
      </c>
      <c r="E431" s="81">
        <f t="shared" si="519"/>
      </c>
      <c r="F431" s="80" cm="1">
        <f t="array" ref="F431:F431">_xlfn.XLOOKUP(B431&amp;S431,'净-价格-毛利'!A:A&amp;'净-价格-毛利'!B:B,'净-价格-毛利'!C:C,0)</f>
      </c>
      <c r="G431" s="81">
        <f t="shared" si="32"/>
      </c>
      <c r="H431" s="81">
        <v>2.66</v>
      </c>
      <c r="I431" s="81">
        <f t="shared" si="148"/>
      </c>
      <c r="J431" s="81">
        <f t="shared" si="206"/>
      </c>
      <c r="K431" s="83">
        <f t="shared" si="275"/>
      </c>
      <c r="L431" s="81">
        <f t="shared" si="344"/>
      </c>
      <c r="M431" s="81">
        <f t="shared" si="403"/>
      </c>
      <c r="N431" s="83">
        <f t="shared" si="576"/>
      </c>
      <c r="O431" s="95">
        <v>0</v>
      </c>
      <c r="P431" s="95">
        <f t="shared" si="462"/>
      </c>
      <c r="Q431" s="85">
        <f t="shared" si="634"/>
      </c>
      <c r="R431" s="85">
        <f t="shared" si="89"/>
      </c>
      <c r="S431" s="97" t="s">
        <v>141</v>
      </c>
    </row>
    <row customHeight="true" ht="23.703703703703702" r="432">
      <c r="A432" s="93">
        <v>46085</v>
      </c>
      <c r="B432" s="79" t="s">
        <v>133</v>
      </c>
      <c r="C432" s="79">
        <v>3</v>
      </c>
      <c r="D432" s="94" cm="1">
        <f t="array" ref="D432:D432">_xlfn.XLOOKUP(B432&amp;S432,'净-价格-毛利'!A:A&amp;'净-价格-毛利'!B:B,'净-价格-毛利'!D:D,0)</f>
      </c>
      <c r="E432" s="81">
        <f t="shared" si="519"/>
      </c>
      <c r="F432" s="80" cm="1">
        <f t="array" ref="F432:F432">_xlfn.XLOOKUP(B432&amp;S432,'净-价格-毛利'!A:A&amp;'净-价格-毛利'!B:B,'净-价格-毛利'!C:C,0)</f>
      </c>
      <c r="G432" s="81">
        <f t="shared" si="32"/>
      </c>
      <c r="H432" s="81">
        <v>26.78</v>
      </c>
      <c r="I432" s="81">
        <f t="shared" si="148"/>
      </c>
      <c r="J432" s="81">
        <f t="shared" si="206"/>
      </c>
      <c r="K432" s="83">
        <f t="shared" si="275"/>
      </c>
      <c r="L432" s="81">
        <f t="shared" si="344"/>
      </c>
      <c r="M432" s="81">
        <f t="shared" si="403"/>
      </c>
      <c r="N432" s="83">
        <f t="shared" si="576"/>
      </c>
      <c r="O432" s="95">
        <v>2</v>
      </c>
      <c r="P432" s="95">
        <f t="shared" si="462"/>
      </c>
      <c r="Q432" s="85">
        <f t="shared" si="634"/>
      </c>
      <c r="R432" s="85">
        <f t="shared" si="89"/>
      </c>
      <c r="S432" s="97" t="s">
        <v>145</v>
      </c>
    </row>
    <row customHeight="true" ht="23.703703703703702" r="433">
      <c r="A433" s="93">
        <v>46085</v>
      </c>
      <c r="B433" s="79" t="s">
        <v>134</v>
      </c>
      <c r="C433" s="79">
        <v>0</v>
      </c>
      <c r="D433" s="94" cm="1">
        <f t="array" ref="D433:D433">_xlfn.XLOOKUP(B433&amp;S433,'净-价格-毛利'!A:A&amp;'净-价格-毛利'!B:B,'净-价格-毛利'!D:D,0)</f>
      </c>
      <c r="E433" s="81">
        <f t="shared" si="519"/>
      </c>
      <c r="F433" s="80" cm="1">
        <f t="array" ref="F433:F433">_xlfn.XLOOKUP(B433&amp;S433,'净-价格-毛利'!A:A&amp;'净-价格-毛利'!B:B,'净-价格-毛利'!C:C,0)</f>
      </c>
      <c r="G433" s="81">
        <f t="shared" si="32"/>
      </c>
      <c r="H433" s="81">
        <v>18.12</v>
      </c>
      <c r="I433" s="81">
        <f t="shared" si="148"/>
      </c>
      <c r="J433" s="81">
        <f t="shared" si="206"/>
      </c>
      <c r="K433" s="83">
        <f t="shared" si="275"/>
      </c>
      <c r="L433" s="81">
        <f t="shared" si="344"/>
      </c>
      <c r="M433" s="81">
        <f t="shared" si="403"/>
      </c>
      <c r="N433" s="83">
        <f t="shared" si="576"/>
      </c>
      <c r="O433" s="95">
        <v>1</v>
      </c>
      <c r="P433" s="95">
        <f t="shared" si="462"/>
      </c>
      <c r="Q433" s="85">
        <f t="shared" si="634"/>
      </c>
      <c r="R433" s="85">
        <f t="shared" si="89"/>
      </c>
      <c r="S433" s="97" t="s">
        <v>145</v>
      </c>
    </row>
    <row customHeight="true" ht="23.703703703703702" r="434">
      <c r="A434" s="93">
        <v>46085</v>
      </c>
      <c r="B434" s="79" t="s">
        <v>136</v>
      </c>
      <c r="C434" s="79">
        <v>2</v>
      </c>
      <c r="D434" s="94" cm="1">
        <f t="array" ref="D434:D434">_xlfn.XLOOKUP(B434&amp;S434,'净-价格-毛利'!A:A&amp;'净-价格-毛利'!B:B,'净-价格-毛利'!D:D,0)</f>
      </c>
      <c r="E434" s="81">
        <f t="shared" si="519"/>
      </c>
      <c r="F434" s="80" cm="1">
        <f t="array" ref="F434:F434">_xlfn.XLOOKUP(B434&amp;S434,'净-价格-毛利'!A:A&amp;'净-价格-毛利'!B:B,'净-价格-毛利'!C:C,0)</f>
      </c>
      <c r="G434" s="81">
        <f t="shared" si="32"/>
      </c>
      <c r="H434" s="81">
        <v>57.75</v>
      </c>
      <c r="I434" s="81">
        <f t="shared" si="148"/>
      </c>
      <c r="J434" s="81">
        <f t="shared" si="206"/>
      </c>
      <c r="K434" s="83">
        <f t="shared" si="275"/>
      </c>
      <c r="L434" s="81">
        <f>J434*9</f>
      </c>
      <c r="M434" s="81">
        <f>E434*9</f>
      </c>
      <c r="N434" s="83">
        <f t="shared" si="576"/>
      </c>
      <c r="O434" s="95">
        <v>0</v>
      </c>
      <c r="P434" s="95">
        <f t="shared" si="462"/>
      </c>
      <c r="Q434" s="85">
        <f t="shared" si="634"/>
      </c>
      <c r="R434" s="85">
        <f t="shared" si="89"/>
      </c>
      <c r="S434" s="97" t="s">
        <v>159</v>
      </c>
    </row>
    <row customHeight="true" ht="23.703703703703702" r="435">
      <c r="A435" s="93">
        <v>46085</v>
      </c>
      <c r="B435" s="79" t="s">
        <v>137</v>
      </c>
      <c r="C435" s="79"/>
      <c r="D435" s="94" cm="1">
        <f t="array" ref="D435:D435">_xlfn.XLOOKUP(B435&amp;S435,'净-价格-毛利'!A:A&amp;'净-价格-毛利'!B:B,'净-价格-毛利'!D:D,0)</f>
      </c>
      <c r="E435" s="81">
        <f t="shared" si="519"/>
      </c>
      <c r="F435" s="80" cm="1">
        <f t="array" ref="F435:F435">_xlfn.XLOOKUP(B435&amp;S435,'净-价格-毛利'!A:A&amp;'净-价格-毛利'!B:B,'净-价格-毛利'!C:C,0)</f>
      </c>
      <c r="G435" s="81"/>
      <c r="H435" s="81"/>
      <c r="I435" s="81">
        <f t="shared" si="148"/>
      </c>
      <c r="J435" s="81">
        <f>C435*F435-H435-I435</f>
      </c>
      <c r="K435" s="83">
        <f t="shared" si="275"/>
      </c>
      <c r="L435" s="81">
        <f>J435*7</f>
      </c>
      <c r="M435" s="81">
        <f>E435*7</f>
      </c>
      <c r="N435" s="83">
        <f t="shared" si="576"/>
      </c>
      <c r="O435" s="84"/>
      <c r="P435" s="84">
        <f t="shared" si="462"/>
      </c>
      <c r="Q435" s="85">
        <f t="shared" si="634"/>
      </c>
      <c r="R435" s="85"/>
      <c r="S435" s="96"/>
    </row>
    <row customHeight="true" ht="23.703703703703702" r="436">
      <c r="A436" s="93">
        <v>46085</v>
      </c>
      <c r="B436" s="79" t="s">
        <v>111</v>
      </c>
      <c r="C436" s="79">
        <f>SUM(C430:C435)</f>
      </c>
      <c r="D436" s="89"/>
      <c r="E436" s="81">
        <f>SUM(E430:E435)</f>
      </c>
      <c r="F436" s="82">
        <f>SUM(F430:F434)</f>
      </c>
      <c r="G436" s="81"/>
      <c r="H436" s="81"/>
      <c r="I436" s="81"/>
      <c r="J436" s="81">
        <f>SUM(J430:J435)</f>
      </c>
      <c r="K436" s="83">
        <f t="shared" si="275"/>
      </c>
      <c r="L436" s="81">
        <f>SUM(L430:L435)</f>
      </c>
      <c r="M436" s="81">
        <f>SUM(M430:M435)</f>
      </c>
      <c r="N436" s="83"/>
      <c r="O436" s="95">
        <f>SUM(O430:O434)</f>
      </c>
      <c r="P436" s="95">
        <f t="shared" si="462"/>
      </c>
      <c r="Q436" s="85">
        <f t="shared" si="634"/>
      </c>
      <c r="R436" s="85"/>
      <c r="S436" s="89"/>
    </row>
    <row customHeight="true" ht="23.703703703703702" r="437">
      <c r="B437" s="77" t="s">
        <v>138</v>
      </c>
    </row>
    <row customHeight="true" ht="23.703703703703702" r="438">
      <c r="A438" s="71" t="s">
        <v>152</v>
      </c>
      <c r="B438" s="72" t="s">
        <v>112</v>
      </c>
      <c r="C438" s="90" t="s">
        <v>113</v>
      </c>
      <c r="D438" s="72" t="s">
        <v>114</v>
      </c>
      <c r="E438" s="73" t="s">
        <v>115</v>
      </c>
      <c r="F438" s="74" t="s">
        <v>116</v>
      </c>
      <c r="G438" s="73" t="s">
        <v>117</v>
      </c>
      <c r="H438" s="91" t="s">
        <v>118</v>
      </c>
      <c r="I438" s="73" t="s">
        <v>119</v>
      </c>
      <c r="J438" s="73" t="s">
        <v>116</v>
      </c>
      <c r="K438" s="75" t="s">
        <v>120</v>
      </c>
      <c r="L438" s="73" t="s">
        <v>121</v>
      </c>
      <c r="M438" s="73" t="s">
        <v>122</v>
      </c>
      <c r="N438" s="72" t="s">
        <v>123</v>
      </c>
      <c r="O438" s="92" t="s">
        <v>124</v>
      </c>
      <c r="P438" s="76" t="s">
        <v>125</v>
      </c>
      <c r="Q438" s="75" t="s">
        <v>126</v>
      </c>
      <c r="R438" s="75" t="s">
        <v>127</v>
      </c>
      <c r="S438" s="75" t="s">
        <v>140</v>
      </c>
    </row>
    <row customHeight="true" ht="23.703703703703702" r="439">
      <c r="A439" s="93">
        <v>46086</v>
      </c>
      <c r="B439" s="79" t="s">
        <v>130</v>
      </c>
      <c r="C439" s="79">
        <v>4</v>
      </c>
      <c r="D439" s="94" cm="1">
        <f t="array" ref="D439:D439">_xlfn.XLOOKUP(B439&amp;S439,'净-价格-毛利'!A:A&amp;'净-价格-毛利'!B:B,'净-价格-毛利'!D:D,0)</f>
      </c>
      <c r="E439" s="81">
        <f t="shared" ref="E439:E444" si="520">C439*D439</f>
      </c>
      <c r="F439" s="80" cm="1">
        <f t="array" ref="F439:F439">_xlfn.XLOOKUP(B439&amp;S439,'净-价格-毛利'!A:A&amp;'净-价格-毛利'!B:B,'净-价格-毛利'!C:C,0)</f>
      </c>
      <c r="G439" s="81">
        <f t="shared" ref="G439:G443" si="33">C439*5</f>
      </c>
      <c r="H439" s="81">
        <v>19.64</v>
      </c>
      <c r="I439" s="81">
        <f t="shared" ref="I439:I444" si="149">E439*0.025</f>
      </c>
      <c r="J439" s="81">
        <f t="shared" ref="J439:J443" si="207">F439*C439+G439-H439-I439</f>
      </c>
      <c r="K439" s="83">
        <f t="shared" ref="K439:K445" si="276">IFERROR(J439/E439,0)</f>
      </c>
      <c r="L439" s="81">
        <f t="shared" ref="L439:L442" si="345">J439*8</f>
      </c>
      <c r="M439" s="81">
        <f t="shared" ref="M439:M442" si="404">E439*8</f>
      </c>
      <c r="N439" s="83">
        <f t="shared" ref="N439:N444" si="577">IFERROR(H439/E439,0)</f>
      </c>
      <c r="O439" s="95">
        <v>1</v>
      </c>
      <c r="P439" s="95">
        <f t="shared" ref="P439:P445" si="463">C439-O439</f>
      </c>
      <c r="Q439" s="85">
        <f t="shared" ref="Q439:Q445" si="635">IFERROR(O439/C439,0)</f>
      </c>
      <c r="R439" s="85">
        <f t="shared" ref="R439:R443" si="90">IFERROR(H439/(E439*Q439),0)</f>
      </c>
      <c r="S439" s="97" t="s">
        <v>141</v>
      </c>
    </row>
    <row customHeight="true" ht="23.703703703703702" r="440">
      <c r="A440" s="93">
        <v>46086</v>
      </c>
      <c r="B440" s="79" t="s">
        <v>131</v>
      </c>
      <c r="C440" s="79">
        <v>0</v>
      </c>
      <c r="D440" s="94" cm="1">
        <f t="array" ref="D440:D440">_xlfn.XLOOKUP(B440&amp;S440,'净-价格-毛利'!A:A&amp;'净-价格-毛利'!B:B,'净-价格-毛利'!D:D,0)</f>
      </c>
      <c r="E440" s="81">
        <f t="shared" si="520"/>
      </c>
      <c r="F440" s="80" cm="1">
        <f t="array" ref="F440:F440">_xlfn.XLOOKUP(B440&amp;S440,'净-价格-毛利'!A:A&amp;'净-价格-毛利'!B:B,'净-价格-毛利'!C:C,0)</f>
      </c>
      <c r="G440" s="81">
        <f t="shared" si="33"/>
      </c>
      <c r="H440" s="81">
        <v>6.05</v>
      </c>
      <c r="I440" s="81">
        <f t="shared" si="149"/>
      </c>
      <c r="J440" s="81">
        <f t="shared" si="207"/>
      </c>
      <c r="K440" s="83">
        <f t="shared" si="276"/>
      </c>
      <c r="L440" s="81">
        <f t="shared" si="345"/>
      </c>
      <c r="M440" s="81">
        <f t="shared" si="404"/>
      </c>
      <c r="N440" s="83">
        <f t="shared" si="577"/>
      </c>
      <c r="O440" s="95">
        <v>0</v>
      </c>
      <c r="P440" s="95">
        <f t="shared" si="463"/>
      </c>
      <c r="Q440" s="85">
        <f t="shared" si="635"/>
      </c>
      <c r="R440" s="85">
        <f t="shared" si="90"/>
      </c>
      <c r="S440" s="97" t="s">
        <v>141</v>
      </c>
    </row>
    <row customHeight="true" ht="23.703703703703702" r="441">
      <c r="A441" s="93">
        <v>46086</v>
      </c>
      <c r="B441" s="79" t="s">
        <v>133</v>
      </c>
      <c r="C441" s="79">
        <v>1</v>
      </c>
      <c r="D441" s="94" cm="1">
        <f t="array" ref="D441:D441">_xlfn.XLOOKUP(B441&amp;S441,'净-价格-毛利'!A:A&amp;'净-价格-毛利'!B:B,'净-价格-毛利'!D:D,0)</f>
      </c>
      <c r="E441" s="81">
        <f t="shared" si="520"/>
      </c>
      <c r="F441" s="80" cm="1">
        <f t="array" ref="F441:F441">_xlfn.XLOOKUP(B441&amp;S441,'净-价格-毛利'!A:A&amp;'净-价格-毛利'!B:B,'净-价格-毛利'!C:C,0)</f>
      </c>
      <c r="G441" s="81">
        <f t="shared" si="33"/>
      </c>
      <c r="H441" s="81">
        <v>28.62</v>
      </c>
      <c r="I441" s="81">
        <f t="shared" si="149"/>
      </c>
      <c r="J441" s="81">
        <f t="shared" si="207"/>
      </c>
      <c r="K441" s="83">
        <f t="shared" si="276"/>
      </c>
      <c r="L441" s="81">
        <f t="shared" si="345"/>
      </c>
      <c r="M441" s="81">
        <f t="shared" si="404"/>
      </c>
      <c r="N441" s="83">
        <f t="shared" si="577"/>
      </c>
      <c r="O441" s="95">
        <v>1</v>
      </c>
      <c r="P441" s="95">
        <f t="shared" si="463"/>
      </c>
      <c r="Q441" s="85">
        <f t="shared" si="635"/>
      </c>
      <c r="R441" s="85">
        <f t="shared" si="90"/>
      </c>
      <c r="S441" s="97" t="s">
        <v>145</v>
      </c>
    </row>
    <row customHeight="true" ht="23.703703703703702" r="442">
      <c r="A442" s="93">
        <v>46086</v>
      </c>
      <c r="B442" s="79" t="s">
        <v>134</v>
      </c>
      <c r="C442" s="79">
        <v>3</v>
      </c>
      <c r="D442" s="94" cm="1">
        <f t="array" ref="D442:D442">_xlfn.XLOOKUP(B442&amp;S442,'净-价格-毛利'!A:A&amp;'净-价格-毛利'!B:B,'净-价格-毛利'!D:D,0)</f>
      </c>
      <c r="E442" s="81">
        <f t="shared" si="520"/>
      </c>
      <c r="F442" s="80" cm="1">
        <f t="array" ref="F442:F442">_xlfn.XLOOKUP(B442&amp;S442,'净-价格-毛利'!A:A&amp;'净-价格-毛利'!B:B,'净-价格-毛利'!C:C,0)</f>
      </c>
      <c r="G442" s="81">
        <f t="shared" si="33"/>
      </c>
      <c r="H442" s="81">
        <v>43.46</v>
      </c>
      <c r="I442" s="81">
        <f t="shared" si="149"/>
      </c>
      <c r="J442" s="81">
        <f t="shared" si="207"/>
      </c>
      <c r="K442" s="83">
        <f t="shared" si="276"/>
      </c>
      <c r="L442" s="81">
        <f t="shared" si="345"/>
      </c>
      <c r="M442" s="81">
        <f t="shared" si="404"/>
      </c>
      <c r="N442" s="83">
        <f t="shared" si="577"/>
      </c>
      <c r="O442" s="95">
        <v>2</v>
      </c>
      <c r="P442" s="95">
        <f t="shared" si="463"/>
      </c>
      <c r="Q442" s="85">
        <f t="shared" si="635"/>
      </c>
      <c r="R442" s="85">
        <f t="shared" si="90"/>
      </c>
      <c r="S442" s="97" t="s">
        <v>145</v>
      </c>
    </row>
    <row customHeight="true" ht="23.703703703703702" r="443">
      <c r="A443" s="93">
        <v>46086</v>
      </c>
      <c r="B443" s="79" t="s">
        <v>136</v>
      </c>
      <c r="C443" s="79">
        <v>2</v>
      </c>
      <c r="D443" s="94" cm="1">
        <f t="array" ref="D443:D443">_xlfn.XLOOKUP(B443&amp;S443,'净-价格-毛利'!A:A&amp;'净-价格-毛利'!B:B,'净-价格-毛利'!D:D,0)</f>
      </c>
      <c r="E443" s="81">
        <f t="shared" si="520"/>
      </c>
      <c r="F443" s="80" cm="1">
        <f t="array" ref="F443:F443">_xlfn.XLOOKUP(B443&amp;S443,'净-价格-毛利'!A:A&amp;'净-价格-毛利'!B:B,'净-价格-毛利'!C:C,0)</f>
      </c>
      <c r="G443" s="81">
        <f t="shared" si="33"/>
      </c>
      <c r="H443" s="81">
        <v>53.79</v>
      </c>
      <c r="I443" s="81">
        <f t="shared" si="149"/>
      </c>
      <c r="J443" s="81">
        <f t="shared" si="207"/>
      </c>
      <c r="K443" s="83">
        <f t="shared" si="276"/>
      </c>
      <c r="L443" s="81">
        <f>J443*9</f>
      </c>
      <c r="M443" s="81">
        <f>E443*9</f>
      </c>
      <c r="N443" s="83">
        <f t="shared" si="577"/>
      </c>
      <c r="O443" s="95">
        <v>1</v>
      </c>
      <c r="P443" s="95">
        <f t="shared" si="463"/>
      </c>
      <c r="Q443" s="85">
        <f t="shared" si="635"/>
      </c>
      <c r="R443" s="85">
        <f t="shared" si="90"/>
      </c>
      <c r="S443" s="97" t="s">
        <v>159</v>
      </c>
    </row>
    <row customHeight="true" ht="23.703703703703702" r="444">
      <c r="A444" s="93">
        <v>46086</v>
      </c>
      <c r="B444" s="79" t="s">
        <v>137</v>
      </c>
      <c r="C444" s="79"/>
      <c r="D444" s="94" cm="1">
        <f t="array" ref="D444:D444">_xlfn.XLOOKUP(B444&amp;S444,'净-价格-毛利'!A:A&amp;'净-价格-毛利'!B:B,'净-价格-毛利'!D:D,0)</f>
      </c>
      <c r="E444" s="81">
        <f t="shared" si="520"/>
      </c>
      <c r="F444" s="80" cm="1">
        <f t="array" ref="F444:F444">_xlfn.XLOOKUP(B444&amp;S444,'净-价格-毛利'!A:A&amp;'净-价格-毛利'!B:B,'净-价格-毛利'!C:C,0)</f>
      </c>
      <c r="G444" s="81"/>
      <c r="H444" s="81"/>
      <c r="I444" s="81">
        <f t="shared" si="149"/>
      </c>
      <c r="J444" s="81">
        <f>C444*F444-H444-I444</f>
      </c>
      <c r="K444" s="83">
        <f t="shared" si="276"/>
      </c>
      <c r="L444" s="81">
        <f>J444*7</f>
      </c>
      <c r="M444" s="81">
        <f>E444*7</f>
      </c>
      <c r="N444" s="83">
        <f t="shared" si="577"/>
      </c>
      <c r="O444" s="84"/>
      <c r="P444" s="84">
        <f t="shared" si="463"/>
      </c>
      <c r="Q444" s="85">
        <f t="shared" si="635"/>
      </c>
      <c r="R444" s="85"/>
      <c r="S444" s="96"/>
    </row>
    <row customHeight="true" ht="23.703703703703702" r="445">
      <c r="A445" s="93">
        <v>46086</v>
      </c>
      <c r="B445" s="79" t="s">
        <v>111</v>
      </c>
      <c r="C445" s="79">
        <f>SUM(C439:C444)</f>
      </c>
      <c r="D445" s="89"/>
      <c r="E445" s="81">
        <f>SUM(E439:E444)</f>
      </c>
      <c r="F445" s="82">
        <f>SUM(F439:F443)</f>
      </c>
      <c r="G445" s="81"/>
      <c r="H445" s="81"/>
      <c r="I445" s="81"/>
      <c r="J445" s="81">
        <f>SUM(J439:J444)</f>
      </c>
      <c r="K445" s="83">
        <f t="shared" si="276"/>
      </c>
      <c r="L445" s="81">
        <f>SUM(L439:L444)</f>
      </c>
      <c r="M445" s="81">
        <f>SUM(M439:M444)</f>
      </c>
      <c r="N445" s="83"/>
      <c r="O445" s="95">
        <f>SUM(O439:O443)</f>
      </c>
      <c r="P445" s="95">
        <f t="shared" si="463"/>
      </c>
      <c r="Q445" s="85">
        <f t="shared" si="635"/>
      </c>
      <c r="R445" s="85"/>
      <c r="S445" s="89"/>
    </row>
    <row customHeight="true" ht="23.703703703703702" r="446">
      <c r="B446" s="77" t="s">
        <v>138</v>
      </c>
    </row>
    <row customHeight="true" ht="23.703703703703702" r="447">
      <c r="A447" s="71" t="s">
        <v>152</v>
      </c>
      <c r="B447" s="72" t="s">
        <v>112</v>
      </c>
      <c r="C447" s="90" t="s">
        <v>113</v>
      </c>
      <c r="D447" s="72" t="s">
        <v>114</v>
      </c>
      <c r="E447" s="73" t="s">
        <v>115</v>
      </c>
      <c r="F447" s="74" t="s">
        <v>116</v>
      </c>
      <c r="G447" s="73" t="s">
        <v>117</v>
      </c>
      <c r="H447" s="91" t="s">
        <v>118</v>
      </c>
      <c r="I447" s="73" t="s">
        <v>119</v>
      </c>
      <c r="J447" s="73" t="s">
        <v>116</v>
      </c>
      <c r="K447" s="75" t="s">
        <v>120</v>
      </c>
      <c r="L447" s="73" t="s">
        <v>121</v>
      </c>
      <c r="M447" s="73" t="s">
        <v>122</v>
      </c>
      <c r="N447" s="72" t="s">
        <v>123</v>
      </c>
      <c r="O447" s="92" t="s">
        <v>124</v>
      </c>
      <c r="P447" s="76" t="s">
        <v>125</v>
      </c>
      <c r="Q447" s="75" t="s">
        <v>126</v>
      </c>
      <c r="R447" s="75" t="s">
        <v>127</v>
      </c>
      <c r="S447" s="75" t="s">
        <v>140</v>
      </c>
    </row>
    <row customHeight="true" ht="23.703703703703702" r="448">
      <c r="A448" s="93">
        <v>46087</v>
      </c>
      <c r="B448" s="79" t="s">
        <v>130</v>
      </c>
      <c r="C448" s="79">
        <v>1</v>
      </c>
      <c r="D448" s="94" cm="1">
        <f t="array" ref="D448:D448">_xlfn.XLOOKUP(B448&amp;S448,'净-价格-毛利'!A:A&amp;'净-价格-毛利'!B:B,'净-价格-毛利'!D:D,0)</f>
      </c>
      <c r="E448" s="81">
        <f t="shared" ref="E448:E453" si="521">C448*D448</f>
      </c>
      <c r="F448" s="80" cm="1">
        <f t="array" ref="F448:F448">_xlfn.XLOOKUP(B448&amp;S448,'净-价格-毛利'!A:A&amp;'净-价格-毛利'!B:B,'净-价格-毛利'!C:C,0)</f>
      </c>
      <c r="G448" s="81">
        <f t="shared" ref="G448:G452" si="34">C448*5</f>
      </c>
      <c r="H448" s="81">
        <v>63.87</v>
      </c>
      <c r="I448" s="81">
        <f t="shared" ref="I448:I453" si="150">E448*0.025</f>
      </c>
      <c r="J448" s="81">
        <f t="shared" ref="J448:J452" si="208">F448*C448+G448-H448-I448</f>
      </c>
      <c r="K448" s="83">
        <f t="shared" ref="K448:K454" si="277">IFERROR(J448/E448,0)</f>
      </c>
      <c r="L448" s="81">
        <f t="shared" ref="L448:L451" si="346">J448*8</f>
      </c>
      <c r="M448" s="81">
        <f t="shared" ref="M448:M451" si="405">E448*8</f>
      </c>
      <c r="N448" s="83">
        <f t="shared" ref="N448:N453" si="578">IFERROR(H448/E448,0)</f>
      </c>
      <c r="O448" s="95">
        <v>1</v>
      </c>
      <c r="P448" s="95">
        <f t="shared" ref="P448:P454" si="464">C448-O448</f>
      </c>
      <c r="Q448" s="85">
        <f t="shared" ref="Q448:Q454" si="636">IFERROR(O448/C448,0)</f>
      </c>
      <c r="R448" s="85">
        <f t="shared" ref="R448:R452" si="91">IFERROR(H448/(E448*Q448),0)</f>
      </c>
      <c r="S448" s="97" t="s">
        <v>160</v>
      </c>
    </row>
    <row customHeight="true" ht="23.703703703703702" r="449">
      <c r="A449" s="93">
        <v>46087</v>
      </c>
      <c r="B449" s="79" t="s">
        <v>131</v>
      </c>
      <c r="C449" s="79">
        <v>0</v>
      </c>
      <c r="D449" s="94" cm="1">
        <f t="array" ref="D449:D449">_xlfn.XLOOKUP(B449&amp;S449,'净-价格-毛利'!A:A&amp;'净-价格-毛利'!B:B,'净-价格-毛利'!D:D,0)</f>
      </c>
      <c r="E449" s="81">
        <f t="shared" si="521"/>
      </c>
      <c r="F449" s="80" cm="1">
        <f t="array" ref="F449:F449">_xlfn.XLOOKUP(B449&amp;S449,'净-价格-毛利'!A:A&amp;'净-价格-毛利'!B:B,'净-价格-毛利'!C:C,0)</f>
      </c>
      <c r="G449" s="81">
        <f t="shared" si="34"/>
      </c>
      <c r="H449" s="81">
        <v>7.23</v>
      </c>
      <c r="I449" s="81">
        <f t="shared" si="150"/>
      </c>
      <c r="J449" s="81">
        <f t="shared" si="208"/>
      </c>
      <c r="K449" s="83">
        <f t="shared" si="277"/>
      </c>
      <c r="L449" s="81">
        <f t="shared" si="346"/>
      </c>
      <c r="M449" s="81">
        <f t="shared" si="405"/>
      </c>
      <c r="N449" s="83">
        <f t="shared" si="578"/>
      </c>
      <c r="O449" s="95">
        <v>0</v>
      </c>
      <c r="P449" s="95">
        <f t="shared" si="464"/>
      </c>
      <c r="Q449" s="85">
        <f t="shared" si="636"/>
      </c>
      <c r="R449" s="85">
        <f t="shared" si="91"/>
      </c>
      <c r="S449" s="97" t="s">
        <v>141</v>
      </c>
    </row>
    <row customHeight="true" ht="23.703703703703702" r="450">
      <c r="A450" s="93">
        <v>46087</v>
      </c>
      <c r="B450" s="79" t="s">
        <v>133</v>
      </c>
      <c r="C450" s="79">
        <v>5</v>
      </c>
      <c r="D450" s="94" cm="1">
        <f t="array" ref="D450:D450">_xlfn.XLOOKUP(B450&amp;S450,'净-价格-毛利'!A:A&amp;'净-价格-毛利'!B:B,'净-价格-毛利'!D:D,0)</f>
      </c>
      <c r="E450" s="81">
        <f t="shared" si="521"/>
      </c>
      <c r="F450" s="80" cm="1">
        <f t="array" ref="F450:F450">_xlfn.XLOOKUP(B450&amp;S450,'净-价格-毛利'!A:A&amp;'净-价格-毛利'!B:B,'净-价格-毛利'!C:C,0)</f>
      </c>
      <c r="G450" s="81">
        <f t="shared" si="34"/>
      </c>
      <c r="H450" s="81">
        <v>33.9</v>
      </c>
      <c r="I450" s="81">
        <f t="shared" si="150"/>
      </c>
      <c r="J450" s="81">
        <f t="shared" si="208"/>
      </c>
      <c r="K450" s="83">
        <f t="shared" si="277"/>
      </c>
      <c r="L450" s="81">
        <f t="shared" si="346"/>
      </c>
      <c r="M450" s="81">
        <f t="shared" si="405"/>
      </c>
      <c r="N450" s="83">
        <f t="shared" si="578"/>
      </c>
      <c r="O450" s="95">
        <v>4</v>
      </c>
      <c r="P450" s="95">
        <f t="shared" si="464"/>
      </c>
      <c r="Q450" s="85">
        <f t="shared" si="636"/>
      </c>
      <c r="R450" s="85">
        <f t="shared" si="91"/>
      </c>
      <c r="S450" s="97" t="s">
        <v>145</v>
      </c>
    </row>
    <row customHeight="true" ht="23.703703703703702" r="451">
      <c r="A451" s="93">
        <v>46087</v>
      </c>
      <c r="B451" s="79" t="s">
        <v>134</v>
      </c>
      <c r="C451" s="79">
        <v>3</v>
      </c>
      <c r="D451" s="94" cm="1">
        <f t="array" ref="D451:D451">_xlfn.XLOOKUP(B451&amp;S451,'净-价格-毛利'!A:A&amp;'净-价格-毛利'!B:B,'净-价格-毛利'!D:D,0)</f>
      </c>
      <c r="E451" s="81">
        <f t="shared" si="521"/>
      </c>
      <c r="F451" s="80" cm="1">
        <f t="array" ref="F451:F451">_xlfn.XLOOKUP(B451&amp;S451,'净-价格-毛利'!A:A&amp;'净-价格-毛利'!B:B,'净-价格-毛利'!C:C,0)</f>
      </c>
      <c r="G451" s="81">
        <f t="shared" si="34"/>
      </c>
      <c r="H451" s="81">
        <v>33.07</v>
      </c>
      <c r="I451" s="81">
        <f t="shared" si="150"/>
      </c>
      <c r="J451" s="81">
        <f t="shared" si="208"/>
      </c>
      <c r="K451" s="83">
        <f t="shared" si="277"/>
      </c>
      <c r="L451" s="81">
        <f t="shared" si="346"/>
      </c>
      <c r="M451" s="81">
        <f t="shared" si="405"/>
      </c>
      <c r="N451" s="83">
        <f t="shared" si="578"/>
      </c>
      <c r="O451" s="95">
        <v>2</v>
      </c>
      <c r="P451" s="95">
        <f t="shared" si="464"/>
      </c>
      <c r="Q451" s="85">
        <f t="shared" si="636"/>
      </c>
      <c r="R451" s="85">
        <f t="shared" si="91"/>
      </c>
      <c r="S451" s="97" t="s">
        <v>145</v>
      </c>
    </row>
    <row customHeight="true" ht="23.703703703703702" r="452">
      <c r="A452" s="93">
        <v>46087</v>
      </c>
      <c r="B452" s="79" t="s">
        <v>136</v>
      </c>
      <c r="C452" s="79">
        <v>3</v>
      </c>
      <c r="D452" s="94" cm="1">
        <f t="array" ref="D452:D452">_xlfn.XLOOKUP(B452&amp;S452,'净-价格-毛利'!A:A&amp;'净-价格-毛利'!B:B,'净-价格-毛利'!D:D,0)</f>
      </c>
      <c r="E452" s="81">
        <f t="shared" si="521"/>
      </c>
      <c r="F452" s="80" cm="1">
        <f t="array" ref="F452:F452">_xlfn.XLOOKUP(B452&amp;S452,'净-价格-毛利'!A:A&amp;'净-价格-毛利'!B:B,'净-价格-毛利'!C:C,0)</f>
      </c>
      <c r="G452" s="81">
        <f t="shared" si="34"/>
      </c>
      <c r="H452" s="81">
        <v>62.7</v>
      </c>
      <c r="I452" s="81">
        <f t="shared" si="150"/>
      </c>
      <c r="J452" s="81">
        <f t="shared" si="208"/>
      </c>
      <c r="K452" s="83">
        <f t="shared" si="277"/>
      </c>
      <c r="L452" s="81">
        <f>J452*9</f>
      </c>
      <c r="M452" s="81">
        <f>E452*9</f>
      </c>
      <c r="N452" s="83">
        <f t="shared" si="578"/>
      </c>
      <c r="O452" s="95">
        <v>3</v>
      </c>
      <c r="P452" s="95">
        <f t="shared" si="464"/>
      </c>
      <c r="Q452" s="85">
        <f t="shared" si="636"/>
      </c>
      <c r="R452" s="85">
        <f t="shared" si="91"/>
      </c>
      <c r="S452" s="97" t="s">
        <v>159</v>
      </c>
    </row>
    <row customHeight="true" ht="23.703703703703702" r="453">
      <c r="A453" s="93">
        <v>46087</v>
      </c>
      <c r="B453" s="79" t="s">
        <v>137</v>
      </c>
      <c r="C453" s="79"/>
      <c r="D453" s="94" cm="1">
        <f t="array" ref="D453:D453">_xlfn.XLOOKUP(B453&amp;S453,'净-价格-毛利'!A:A&amp;'净-价格-毛利'!B:B,'净-价格-毛利'!D:D,0)</f>
      </c>
      <c r="E453" s="81">
        <f t="shared" si="521"/>
      </c>
      <c r="F453" s="80" cm="1">
        <f t="array" ref="F453:F453">_xlfn.XLOOKUP(B453&amp;S453,'净-价格-毛利'!A:A&amp;'净-价格-毛利'!B:B,'净-价格-毛利'!C:C,0)</f>
      </c>
      <c r="G453" s="81"/>
      <c r="H453" s="81"/>
      <c r="I453" s="81">
        <f t="shared" si="150"/>
      </c>
      <c r="J453" s="81">
        <f>C453*F453-H453-I453</f>
      </c>
      <c r="K453" s="83">
        <f t="shared" si="277"/>
      </c>
      <c r="L453" s="81">
        <f>J453*7</f>
      </c>
      <c r="M453" s="81">
        <f>E453*7</f>
      </c>
      <c r="N453" s="83">
        <f t="shared" si="578"/>
      </c>
      <c r="O453" s="84"/>
      <c r="P453" s="84">
        <f t="shared" si="464"/>
      </c>
      <c r="Q453" s="85">
        <f t="shared" si="636"/>
      </c>
      <c r="R453" s="85"/>
      <c r="S453" s="96"/>
    </row>
    <row customHeight="true" ht="23.703703703703702" r="454">
      <c r="A454" s="93">
        <v>46087</v>
      </c>
      <c r="B454" s="79" t="s">
        <v>111</v>
      </c>
      <c r="C454" s="79">
        <f>SUM(C448:C453)</f>
      </c>
      <c r="D454" s="89"/>
      <c r="E454" s="81">
        <f>SUM(E448:E453)</f>
      </c>
      <c r="F454" s="82">
        <f>SUM(F448:F452)</f>
      </c>
      <c r="G454" s="81"/>
      <c r="H454" s="81"/>
      <c r="I454" s="81"/>
      <c r="J454" s="81">
        <f>SUM(J448:J453)</f>
      </c>
      <c r="K454" s="83">
        <f t="shared" si="277"/>
      </c>
      <c r="L454" s="81">
        <f>SUM(L448:L453)</f>
      </c>
      <c r="M454" s="81">
        <f>SUM(M448:M453)</f>
      </c>
      <c r="N454" s="83"/>
      <c r="O454" s="95">
        <f>SUM(O448:O452)</f>
      </c>
      <c r="P454" s="95">
        <f t="shared" si="464"/>
      </c>
      <c r="Q454" s="85">
        <f t="shared" si="636"/>
      </c>
      <c r="R454" s="85"/>
      <c r="S454" s="89"/>
    </row>
    <row customHeight="true" ht="23.703703703703702" r="455">
      <c r="B455" s="77" t="s">
        <v>138</v>
      </c>
    </row>
    <row customHeight="true" ht="23.703703703703702" r="456">
      <c r="A456" s="71" t="s">
        <v>152</v>
      </c>
      <c r="B456" s="72" t="s">
        <v>112</v>
      </c>
      <c r="C456" s="90" t="s">
        <v>113</v>
      </c>
      <c r="D456" s="72" t="s">
        <v>114</v>
      </c>
      <c r="E456" s="73" t="s">
        <v>115</v>
      </c>
      <c r="F456" s="74" t="s">
        <v>116</v>
      </c>
      <c r="G456" s="73" t="s">
        <v>117</v>
      </c>
      <c r="H456" s="91" t="s">
        <v>118</v>
      </c>
      <c r="I456" s="73" t="s">
        <v>119</v>
      </c>
      <c r="J456" s="73" t="s">
        <v>116</v>
      </c>
      <c r="K456" s="75" t="s">
        <v>120</v>
      </c>
      <c r="L456" s="73" t="s">
        <v>121</v>
      </c>
      <c r="M456" s="73" t="s">
        <v>122</v>
      </c>
      <c r="N456" s="72" t="s">
        <v>123</v>
      </c>
      <c r="O456" s="92" t="s">
        <v>124</v>
      </c>
      <c r="P456" s="76" t="s">
        <v>125</v>
      </c>
      <c r="Q456" s="75" t="s">
        <v>126</v>
      </c>
      <c r="R456" s="75" t="s">
        <v>127</v>
      </c>
      <c r="S456" s="75" t="s">
        <v>140</v>
      </c>
    </row>
    <row customHeight="true" ht="23.703703703703702" r="457">
      <c r="A457" s="93">
        <v>46088</v>
      </c>
      <c r="B457" s="79" t="s">
        <v>130</v>
      </c>
      <c r="C457" s="79">
        <v>4</v>
      </c>
      <c r="D457" s="94" cm="1">
        <f t="array" ref="D457:D457">_xlfn.XLOOKUP(B457&amp;S457,'净-价格-毛利'!A:A&amp;'净-价格-毛利'!B:B,'净-价格-毛利'!D:D,0)</f>
      </c>
      <c r="E457" s="81">
        <f t="shared" ref="E457:E462" si="522">C457*D457</f>
      </c>
      <c r="F457" s="80" cm="1">
        <f t="array" ref="F457:F457">_xlfn.XLOOKUP(B457&amp;S457,'净-价格-毛利'!A:A&amp;'净-价格-毛利'!B:B,'净-价格-毛利'!C:C,0)</f>
      </c>
      <c r="G457" s="81">
        <f t="shared" ref="G457:G461" si="35">C457*5</f>
      </c>
      <c r="H457" s="81">
        <v>70.1</v>
      </c>
      <c r="I457" s="81">
        <f t="shared" ref="I457:I462" si="151">E457*0.025</f>
      </c>
      <c r="J457" s="81">
        <f t="shared" ref="J457:J461" si="209">F457*C457+G457-H457-I457</f>
      </c>
      <c r="K457" s="83">
        <f t="shared" ref="K457:K463" si="278">IFERROR(J457/E457,0)</f>
      </c>
      <c r="L457" s="81">
        <f t="shared" ref="L457:L460" si="347">J457*8</f>
      </c>
      <c r="M457" s="81">
        <f t="shared" ref="M457:M460" si="406">E457*8</f>
      </c>
      <c r="N457" s="83">
        <f t="shared" ref="N457:N462" si="579">IFERROR(H457/E457,0)</f>
      </c>
      <c r="O457" s="95">
        <v>2</v>
      </c>
      <c r="P457" s="95">
        <f t="shared" ref="P457:P463" si="465">C457-O457</f>
      </c>
      <c r="Q457" s="85">
        <f t="shared" ref="Q457:Q463" si="637">IFERROR(O457/C457,0)</f>
      </c>
      <c r="R457" s="85">
        <f t="shared" ref="R457:R461" si="92">IFERROR(H457/(E457*Q457),0)</f>
      </c>
      <c r="S457" s="97" t="s">
        <v>160</v>
      </c>
    </row>
    <row customHeight="true" ht="23.703703703703702" r="458">
      <c r="A458" s="93">
        <v>46088</v>
      </c>
      <c r="B458" s="79" t="s">
        <v>131</v>
      </c>
      <c r="C458" s="79">
        <v>0</v>
      </c>
      <c r="D458" s="94" cm="1">
        <f t="array" ref="D458:D458">_xlfn.XLOOKUP(B458&amp;S458,'净-价格-毛利'!A:A&amp;'净-价格-毛利'!B:B,'净-价格-毛利'!D:D,0)</f>
      </c>
      <c r="E458" s="81">
        <f t="shared" si="522"/>
      </c>
      <c r="F458" s="80" cm="1">
        <f t="array" ref="F458:F458">_xlfn.XLOOKUP(B458&amp;S458,'净-价格-毛利'!A:A&amp;'净-价格-毛利'!B:B,'净-价格-毛利'!C:C,0)</f>
      </c>
      <c r="G458" s="81">
        <f t="shared" si="35"/>
      </c>
      <c r="H458" s="81">
        <v>5.97</v>
      </c>
      <c r="I458" s="81">
        <f t="shared" si="151"/>
      </c>
      <c r="J458" s="81">
        <f t="shared" si="209"/>
      </c>
      <c r="K458" s="83">
        <f t="shared" si="278"/>
      </c>
      <c r="L458" s="81">
        <f t="shared" si="347"/>
      </c>
      <c r="M458" s="81">
        <f t="shared" si="406"/>
      </c>
      <c r="N458" s="83">
        <f t="shared" si="579"/>
      </c>
      <c r="O458" s="95">
        <v>1</v>
      </c>
      <c r="P458" s="95">
        <f t="shared" si="465"/>
      </c>
      <c r="Q458" s="85">
        <f t="shared" si="637"/>
      </c>
      <c r="R458" s="85">
        <f t="shared" si="92"/>
      </c>
      <c r="S458" s="97" t="s">
        <v>141</v>
      </c>
    </row>
    <row customHeight="true" ht="23.703703703703702" r="459">
      <c r="A459" s="93">
        <v>46088</v>
      </c>
      <c r="B459" s="79" t="s">
        <v>133</v>
      </c>
      <c r="C459" s="79">
        <v>3</v>
      </c>
      <c r="D459" s="94" cm="1">
        <f t="array" ref="D459:D459">_xlfn.XLOOKUP(B459&amp;S459,'净-价格-毛利'!A:A&amp;'净-价格-毛利'!B:B,'净-价格-毛利'!D:D,0)</f>
      </c>
      <c r="E459" s="81">
        <f t="shared" si="522"/>
      </c>
      <c r="F459" s="80" cm="1">
        <f t="array" ref="F459:F459">_xlfn.XLOOKUP(B459&amp;S459,'净-价格-毛利'!A:A&amp;'净-价格-毛利'!B:B,'净-价格-毛利'!C:C,0)</f>
      </c>
      <c r="G459" s="81">
        <f t="shared" si="35"/>
      </c>
      <c r="H459" s="81">
        <v>40.79</v>
      </c>
      <c r="I459" s="81">
        <f t="shared" si="151"/>
      </c>
      <c r="J459" s="81">
        <f t="shared" si="209"/>
      </c>
      <c r="K459" s="83">
        <f t="shared" si="278"/>
      </c>
      <c r="L459" s="81">
        <f t="shared" si="347"/>
      </c>
      <c r="M459" s="81">
        <f t="shared" si="406"/>
      </c>
      <c r="N459" s="83">
        <f t="shared" si="579"/>
      </c>
      <c r="O459" s="95">
        <v>1</v>
      </c>
      <c r="P459" s="95">
        <f t="shared" si="465"/>
      </c>
      <c r="Q459" s="85">
        <f t="shared" si="637"/>
      </c>
      <c r="R459" s="85">
        <f t="shared" si="92"/>
      </c>
      <c r="S459" s="97" t="s">
        <v>145</v>
      </c>
    </row>
    <row customHeight="true" ht="23.703703703703702" r="460">
      <c r="A460" s="93">
        <v>46088</v>
      </c>
      <c r="B460" s="79" t="s">
        <v>134</v>
      </c>
      <c r="C460" s="79">
        <v>2</v>
      </c>
      <c r="D460" s="94" cm="1">
        <f t="array" ref="D460:D460">_xlfn.XLOOKUP(B460&amp;S460,'净-价格-毛利'!A:A&amp;'净-价格-毛利'!B:B,'净-价格-毛利'!D:D,0)</f>
      </c>
      <c r="E460" s="81">
        <f t="shared" si="522"/>
      </c>
      <c r="F460" s="80" cm="1">
        <f t="array" ref="F460:F460">_xlfn.XLOOKUP(B460&amp;S460,'净-价格-毛利'!A:A&amp;'净-价格-毛利'!B:B,'净-价格-毛利'!C:C,0)</f>
      </c>
      <c r="G460" s="81">
        <f t="shared" si="35"/>
      </c>
      <c r="H460" s="81">
        <v>25.98</v>
      </c>
      <c r="I460" s="81">
        <f t="shared" si="151"/>
      </c>
      <c r="J460" s="81">
        <f t="shared" si="209"/>
      </c>
      <c r="K460" s="83">
        <f t="shared" si="278"/>
      </c>
      <c r="L460" s="81">
        <f t="shared" si="347"/>
      </c>
      <c r="M460" s="81">
        <f t="shared" si="406"/>
      </c>
      <c r="N460" s="83">
        <f t="shared" si="579"/>
      </c>
      <c r="O460" s="95">
        <v>0</v>
      </c>
      <c r="P460" s="95">
        <f t="shared" si="465"/>
      </c>
      <c r="Q460" s="85">
        <f t="shared" si="637"/>
      </c>
      <c r="R460" s="85">
        <f t="shared" si="92"/>
      </c>
      <c r="S460" s="97" t="s">
        <v>145</v>
      </c>
    </row>
    <row customHeight="true" ht="23.703703703703702" r="461">
      <c r="A461" s="93">
        <v>46088</v>
      </c>
      <c r="B461" s="79" t="s">
        <v>136</v>
      </c>
      <c r="C461" s="79">
        <v>2</v>
      </c>
      <c r="D461" s="94" cm="1">
        <f t="array" ref="D461:D461">_xlfn.XLOOKUP(B461&amp;S461,'净-价格-毛利'!A:A&amp;'净-价格-毛利'!B:B,'净-价格-毛利'!D:D,0)</f>
      </c>
      <c r="E461" s="81">
        <f t="shared" si="522"/>
      </c>
      <c r="F461" s="80" cm="1">
        <f t="array" ref="F461:F461">_xlfn.XLOOKUP(B461&amp;S461,'净-价格-毛利'!A:A&amp;'净-价格-毛利'!B:B,'净-价格-毛利'!C:C,0)</f>
      </c>
      <c r="G461" s="81">
        <f t="shared" si="35"/>
      </c>
      <c r="H461" s="81">
        <v>55.14</v>
      </c>
      <c r="I461" s="81">
        <f t="shared" si="151"/>
      </c>
      <c r="J461" s="81">
        <f t="shared" si="209"/>
      </c>
      <c r="K461" s="83">
        <f t="shared" si="278"/>
      </c>
      <c r="L461" s="81">
        <f>J461*9</f>
      </c>
      <c r="M461" s="81">
        <f>E461*9</f>
      </c>
      <c r="N461" s="83">
        <f t="shared" si="579"/>
      </c>
      <c r="O461" s="95">
        <v>1</v>
      </c>
      <c r="P461" s="95">
        <f t="shared" si="465"/>
      </c>
      <c r="Q461" s="85">
        <f t="shared" si="637"/>
      </c>
      <c r="R461" s="85">
        <f t="shared" si="92"/>
      </c>
      <c r="S461" s="97" t="s">
        <v>159</v>
      </c>
    </row>
    <row customHeight="true" ht="23.703703703703702" r="462">
      <c r="A462" s="93">
        <v>46088</v>
      </c>
      <c r="B462" s="79" t="s">
        <v>137</v>
      </c>
      <c r="C462" s="79"/>
      <c r="D462" s="94" cm="1">
        <f t="array" ref="D462:D462">_xlfn.XLOOKUP(B462&amp;S462,'净-价格-毛利'!A:A&amp;'净-价格-毛利'!B:B,'净-价格-毛利'!D:D,0)</f>
      </c>
      <c r="E462" s="81">
        <f t="shared" si="522"/>
      </c>
      <c r="F462" s="80" cm="1">
        <f t="array" ref="F462:F462">_xlfn.XLOOKUP(B462&amp;S462,'净-价格-毛利'!A:A&amp;'净-价格-毛利'!B:B,'净-价格-毛利'!C:C,0)</f>
      </c>
      <c r="G462" s="81"/>
      <c r="H462" s="81"/>
      <c r="I462" s="81">
        <f t="shared" si="151"/>
      </c>
      <c r="J462" s="81">
        <f>C462*F462-H462-I462</f>
      </c>
      <c r="K462" s="83">
        <f t="shared" si="278"/>
      </c>
      <c r="L462" s="81">
        <f>J462*7</f>
      </c>
      <c r="M462" s="81">
        <f>E462*7</f>
      </c>
      <c r="N462" s="83">
        <f t="shared" si="579"/>
      </c>
      <c r="O462" s="84"/>
      <c r="P462" s="84">
        <f t="shared" si="465"/>
      </c>
      <c r="Q462" s="85">
        <f t="shared" si="637"/>
      </c>
      <c r="R462" s="85"/>
      <c r="S462" s="96"/>
    </row>
    <row customHeight="true" ht="23.703703703703702" r="463">
      <c r="A463" s="93">
        <v>46088</v>
      </c>
      <c r="B463" s="79" t="s">
        <v>111</v>
      </c>
      <c r="C463" s="79">
        <f>SUM(C457:C462)</f>
      </c>
      <c r="D463" s="89"/>
      <c r="E463" s="81">
        <f>SUM(E457:E462)</f>
      </c>
      <c r="F463" s="82">
        <f>SUM(F457:F461)</f>
      </c>
      <c r="G463" s="81"/>
      <c r="H463" s="81"/>
      <c r="I463" s="81"/>
      <c r="J463" s="81">
        <f>SUM(J457:J462)</f>
      </c>
      <c r="K463" s="83">
        <f t="shared" si="278"/>
      </c>
      <c r="L463" s="81">
        <f>SUM(L457:L462)</f>
      </c>
      <c r="M463" s="81">
        <f>SUM(M457:M462)</f>
      </c>
      <c r="N463" s="83"/>
      <c r="O463" s="95">
        <f>SUM(O457:O461)</f>
      </c>
      <c r="P463" s="95">
        <f t="shared" si="465"/>
      </c>
      <c r="Q463" s="85">
        <f t="shared" si="637"/>
      </c>
      <c r="R463" s="85"/>
      <c r="S463" s="89"/>
    </row>
    <row customHeight="true" ht="23.703703703703702" r="464">
      <c r="B464" s="77" t="s">
        <v>138</v>
      </c>
    </row>
    <row customHeight="true" ht="23.703703703703702" r="465">
      <c r="A465" s="71" t="s">
        <v>152</v>
      </c>
      <c r="B465" s="72" t="s">
        <v>112</v>
      </c>
      <c r="C465" s="90" t="s">
        <v>113</v>
      </c>
      <c r="D465" s="72" t="s">
        <v>114</v>
      </c>
      <c r="E465" s="73" t="s">
        <v>115</v>
      </c>
      <c r="F465" s="74" t="s">
        <v>116</v>
      </c>
      <c r="G465" s="73" t="s">
        <v>117</v>
      </c>
      <c r="H465" s="91" t="s">
        <v>118</v>
      </c>
      <c r="I465" s="73" t="s">
        <v>119</v>
      </c>
      <c r="J465" s="73" t="s">
        <v>116</v>
      </c>
      <c r="K465" s="75" t="s">
        <v>120</v>
      </c>
      <c r="L465" s="73" t="s">
        <v>121</v>
      </c>
      <c r="M465" s="73" t="s">
        <v>122</v>
      </c>
      <c r="N465" s="72" t="s">
        <v>123</v>
      </c>
      <c r="O465" s="92" t="s">
        <v>124</v>
      </c>
      <c r="P465" s="76" t="s">
        <v>125</v>
      </c>
      <c r="Q465" s="75" t="s">
        <v>126</v>
      </c>
      <c r="R465" s="75" t="s">
        <v>127</v>
      </c>
      <c r="S465" s="75" t="s">
        <v>140</v>
      </c>
    </row>
    <row customHeight="true" ht="23.703703703703702" r="466">
      <c r="A466" s="93">
        <v>46089</v>
      </c>
      <c r="B466" s="79" t="s">
        <v>130</v>
      </c>
      <c r="C466" s="79">
        <v>10</v>
      </c>
      <c r="D466" s="94" cm="1">
        <f t="array" ref="D466:D466">_xlfn.XLOOKUP(B466&amp;S466,'净-价格-毛利'!A:A&amp;'净-价格-毛利'!B:B,'净-价格-毛利'!D:D,0)</f>
      </c>
      <c r="E466" s="81">
        <f t="shared" ref="E466:E471" si="523">C466*D466</f>
      </c>
      <c r="F466" s="80" cm="1">
        <f t="array" ref="F466:F466">_xlfn.XLOOKUP(B466&amp;S466,'净-价格-毛利'!A:A&amp;'净-价格-毛利'!B:B,'净-价格-毛利'!C:C,0)</f>
      </c>
      <c r="G466" s="81">
        <f t="shared" ref="G466:G470" si="36">C466*5</f>
      </c>
      <c r="H466" s="81">
        <v>61.58</v>
      </c>
      <c r="I466" s="81">
        <f t="shared" ref="I466:I471" si="152">E466*0.025</f>
      </c>
      <c r="J466" s="81">
        <f t="shared" ref="J466:J470" si="210">F466*C466+G466-H466-I466</f>
      </c>
      <c r="K466" s="83">
        <f t="shared" ref="K466:K472" si="279">IFERROR(J466/E466,0)</f>
      </c>
      <c r="L466" s="81">
        <f t="shared" ref="L466:L469" si="348">J466*8</f>
      </c>
      <c r="M466" s="81">
        <f t="shared" ref="M466:M469" si="407">E466*8</f>
      </c>
      <c r="N466" s="83">
        <f t="shared" ref="N466:N471" si="580">IFERROR(H466/E466,0)</f>
      </c>
      <c r="O466" s="95">
        <v>7</v>
      </c>
      <c r="P466" s="95">
        <f t="shared" ref="P466:P472" si="466">C466-O466</f>
      </c>
      <c r="Q466" s="85">
        <f t="shared" ref="Q466:Q472" si="638">IFERROR(O466/C466,0)</f>
      </c>
      <c r="R466" s="85">
        <f t="shared" ref="R466:R470" si="93">IFERROR(H466/(E466*Q466),0)</f>
      </c>
      <c r="S466" s="97" t="s">
        <v>160</v>
      </c>
    </row>
    <row customHeight="true" ht="23.703703703703702" r="467">
      <c r="A467" s="93">
        <v>46089</v>
      </c>
      <c r="B467" s="79" t="s">
        <v>131</v>
      </c>
      <c r="C467" s="79">
        <v>1</v>
      </c>
      <c r="D467" s="94" cm="1">
        <f t="array" ref="D467:D467">_xlfn.XLOOKUP(B467&amp;S467,'净-价格-毛利'!A:A&amp;'净-价格-毛利'!B:B,'净-价格-毛利'!D:D,0)</f>
      </c>
      <c r="E467" s="81">
        <f t="shared" si="523"/>
      </c>
      <c r="F467" s="80" cm="1">
        <f t="array" ref="F467:F467">_xlfn.XLOOKUP(B467&amp;S467,'净-价格-毛利'!A:A&amp;'净-价格-毛利'!B:B,'净-价格-毛利'!C:C,0)</f>
      </c>
      <c r="G467" s="81">
        <f t="shared" si="36"/>
      </c>
      <c r="H467" s="81">
        <v>10.09</v>
      </c>
      <c r="I467" s="81">
        <f t="shared" si="152"/>
      </c>
      <c r="J467" s="81">
        <f t="shared" si="210"/>
      </c>
      <c r="K467" s="83">
        <f t="shared" si="279"/>
      </c>
      <c r="L467" s="81">
        <f t="shared" si="348"/>
      </c>
      <c r="M467" s="81">
        <f t="shared" si="407"/>
      </c>
      <c r="N467" s="83">
        <f t="shared" si="580"/>
      </c>
      <c r="O467" s="95">
        <v>0</v>
      </c>
      <c r="P467" s="95">
        <f t="shared" si="466"/>
      </c>
      <c r="Q467" s="85">
        <f t="shared" si="638"/>
      </c>
      <c r="R467" s="85">
        <f t="shared" si="93"/>
      </c>
      <c r="S467" s="97" t="s">
        <v>141</v>
      </c>
    </row>
    <row customHeight="true" ht="23.703703703703702" r="468">
      <c r="A468" s="93">
        <v>46089</v>
      </c>
      <c r="B468" s="79" t="s">
        <v>133</v>
      </c>
      <c r="C468" s="79">
        <v>1</v>
      </c>
      <c r="D468" s="94" cm="1">
        <f t="array" ref="D468:D468">_xlfn.XLOOKUP(B468&amp;S468,'净-价格-毛利'!A:A&amp;'净-价格-毛利'!B:B,'净-价格-毛利'!D:D,0)</f>
      </c>
      <c r="E468" s="81">
        <f t="shared" si="523"/>
      </c>
      <c r="F468" s="80" cm="1">
        <f t="array" ref="F468:F468">_xlfn.XLOOKUP(B468&amp;S468,'净-价格-毛利'!A:A&amp;'净-价格-毛利'!B:B,'净-价格-毛利'!C:C,0)</f>
      </c>
      <c r="G468" s="81">
        <f t="shared" si="36"/>
      </c>
      <c r="H468" s="81">
        <v>42.79</v>
      </c>
      <c r="I468" s="81">
        <f t="shared" si="152"/>
      </c>
      <c r="J468" s="81">
        <f t="shared" si="210"/>
      </c>
      <c r="K468" s="83">
        <f t="shared" si="279"/>
      </c>
      <c r="L468" s="81">
        <f t="shared" si="348"/>
      </c>
      <c r="M468" s="81">
        <f t="shared" si="407"/>
      </c>
      <c r="N468" s="83">
        <f t="shared" si="580"/>
      </c>
      <c r="O468" s="95">
        <v>1</v>
      </c>
      <c r="P468" s="95">
        <f t="shared" si="466"/>
      </c>
      <c r="Q468" s="85">
        <f t="shared" si="638"/>
      </c>
      <c r="R468" s="85">
        <f t="shared" si="93"/>
      </c>
      <c r="S468" s="97" t="s">
        <v>145</v>
      </c>
    </row>
    <row customHeight="true" ht="23.703703703703702" r="469">
      <c r="A469" s="93">
        <v>46089</v>
      </c>
      <c r="B469" s="79" t="s">
        <v>134</v>
      </c>
      <c r="C469" s="79">
        <v>2</v>
      </c>
      <c r="D469" s="94" cm="1">
        <f t="array" ref="D469:D469">_xlfn.XLOOKUP(B469&amp;S469,'净-价格-毛利'!A:A&amp;'净-价格-毛利'!B:B,'净-价格-毛利'!D:D,0)</f>
      </c>
      <c r="E469" s="81">
        <f t="shared" si="523"/>
      </c>
      <c r="F469" s="80" cm="1">
        <f t="array" ref="F469:F469">_xlfn.XLOOKUP(B469&amp;S469,'净-价格-毛利'!A:A&amp;'净-价格-毛利'!B:B,'净-价格-毛利'!C:C,0)</f>
      </c>
      <c r="G469" s="81">
        <f t="shared" si="36"/>
      </c>
      <c r="H469" s="81">
        <v>33.85</v>
      </c>
      <c r="I469" s="81">
        <f t="shared" si="152"/>
      </c>
      <c r="J469" s="81">
        <f t="shared" si="210"/>
      </c>
      <c r="K469" s="83">
        <f t="shared" si="279"/>
      </c>
      <c r="L469" s="81">
        <f t="shared" si="348"/>
      </c>
      <c r="M469" s="81">
        <f t="shared" si="407"/>
      </c>
      <c r="N469" s="83">
        <f t="shared" si="580"/>
      </c>
      <c r="O469" s="95">
        <v>2</v>
      </c>
      <c r="P469" s="95">
        <f t="shared" si="466"/>
      </c>
      <c r="Q469" s="85">
        <f t="shared" si="638"/>
      </c>
      <c r="R469" s="85">
        <f t="shared" si="93"/>
      </c>
      <c r="S469" s="97" t="s">
        <v>145</v>
      </c>
    </row>
    <row customHeight="true" ht="23.703703703703702" r="470">
      <c r="A470" s="93">
        <v>46089</v>
      </c>
      <c r="B470" s="79" t="s">
        <v>136</v>
      </c>
      <c r="C470" s="79">
        <v>5</v>
      </c>
      <c r="D470" s="94" cm="1">
        <f t="array" ref="D470:D470">_xlfn.XLOOKUP(B470&amp;S470,'净-价格-毛利'!A:A&amp;'净-价格-毛利'!B:B,'净-价格-毛利'!D:D,0)</f>
      </c>
      <c r="E470" s="81">
        <f t="shared" si="523"/>
      </c>
      <c r="F470" s="80" cm="1">
        <f t="array" ref="F470:F470">_xlfn.XLOOKUP(B470&amp;S470,'净-价格-毛利'!A:A&amp;'净-价格-毛利'!B:B,'净-价格-毛利'!C:C,0)</f>
      </c>
      <c r="G470" s="81">
        <f t="shared" si="36"/>
      </c>
      <c r="H470" s="81">
        <v>45.62</v>
      </c>
      <c r="I470" s="81">
        <f t="shared" si="152"/>
      </c>
      <c r="J470" s="81">
        <f t="shared" si="210"/>
      </c>
      <c r="K470" s="83">
        <f t="shared" si="279"/>
      </c>
      <c r="L470" s="81">
        <f>J470*9</f>
      </c>
      <c r="M470" s="81">
        <f>E470*9</f>
      </c>
      <c r="N470" s="83">
        <f t="shared" si="580"/>
      </c>
      <c r="O470" s="95">
        <v>4</v>
      </c>
      <c r="P470" s="95">
        <f t="shared" si="466"/>
      </c>
      <c r="Q470" s="85">
        <f t="shared" si="638"/>
      </c>
      <c r="R470" s="85">
        <f t="shared" si="93"/>
      </c>
      <c r="S470" s="97" t="s">
        <v>159</v>
      </c>
    </row>
    <row customHeight="true" ht="23.703703703703702" r="471">
      <c r="A471" s="93">
        <v>46089</v>
      </c>
      <c r="B471" s="79" t="s">
        <v>137</v>
      </c>
      <c r="C471" s="79"/>
      <c r="D471" s="94" cm="1">
        <f t="array" ref="D471:D471">_xlfn.XLOOKUP(B471&amp;S471,'净-价格-毛利'!A:A&amp;'净-价格-毛利'!B:B,'净-价格-毛利'!D:D,0)</f>
      </c>
      <c r="E471" s="81">
        <f t="shared" si="523"/>
      </c>
      <c r="F471" s="80" cm="1">
        <f t="array" ref="F471:F471">_xlfn.XLOOKUP(B471&amp;S471,'净-价格-毛利'!A:A&amp;'净-价格-毛利'!B:B,'净-价格-毛利'!C:C,0)</f>
      </c>
      <c r="G471" s="81"/>
      <c r="H471" s="81"/>
      <c r="I471" s="81">
        <f t="shared" si="152"/>
      </c>
      <c r="J471" s="81">
        <f>C471*F471-H471-I471</f>
      </c>
      <c r="K471" s="83">
        <f t="shared" si="279"/>
      </c>
      <c r="L471" s="81">
        <f>J471*7</f>
      </c>
      <c r="M471" s="81">
        <f>E471*7</f>
      </c>
      <c r="N471" s="83">
        <f t="shared" si="580"/>
      </c>
      <c r="O471" s="84"/>
      <c r="P471" s="84">
        <f t="shared" si="466"/>
      </c>
      <c r="Q471" s="85">
        <f t="shared" si="638"/>
      </c>
      <c r="R471" s="85"/>
      <c r="S471" s="96"/>
    </row>
    <row customHeight="true" ht="23.703703703703702" r="472">
      <c r="A472" s="93">
        <v>46089</v>
      </c>
      <c r="B472" s="79" t="s">
        <v>111</v>
      </c>
      <c r="C472" s="79">
        <f>SUM(C466:C471)</f>
      </c>
      <c r="D472" s="89"/>
      <c r="E472" s="81">
        <f>SUM(E466:E471)</f>
      </c>
      <c r="F472" s="82">
        <f>SUM(F466:F470)</f>
      </c>
      <c r="G472" s="81"/>
      <c r="H472" s="81"/>
      <c r="I472" s="81"/>
      <c r="J472" s="81">
        <f>SUM(J466:J471)</f>
      </c>
      <c r="K472" s="83">
        <f t="shared" si="279"/>
      </c>
      <c r="L472" s="81">
        <f>SUM(L466:L471)</f>
      </c>
      <c r="M472" s="81">
        <f>SUM(M466:M471)</f>
      </c>
      <c r="N472" s="83"/>
      <c r="O472" s="95">
        <f>SUM(O466:O470)</f>
      </c>
      <c r="P472" s="95">
        <f t="shared" si="466"/>
      </c>
      <c r="Q472" s="85">
        <f t="shared" si="638"/>
      </c>
      <c r="R472" s="85"/>
      <c r="S472" s="89"/>
    </row>
    <row customHeight="true" ht="23.703703703703702" r="473">
      <c r="B473" s="77" t="s">
        <v>138</v>
      </c>
    </row>
    <row customHeight="true" ht="23.703703703703702" r="474">
      <c r="A474" s="71" t="s">
        <v>152</v>
      </c>
      <c r="B474" s="72" t="s">
        <v>112</v>
      </c>
      <c r="C474" s="90" t="s">
        <v>113</v>
      </c>
      <c r="D474" s="72" t="s">
        <v>114</v>
      </c>
      <c r="E474" s="73" t="s">
        <v>115</v>
      </c>
      <c r="F474" s="74" t="s">
        <v>116</v>
      </c>
      <c r="G474" s="73" t="s">
        <v>117</v>
      </c>
      <c r="H474" s="91" t="s">
        <v>118</v>
      </c>
      <c r="I474" s="73" t="s">
        <v>119</v>
      </c>
      <c r="J474" s="73" t="s">
        <v>116</v>
      </c>
      <c r="K474" s="75" t="s">
        <v>120</v>
      </c>
      <c r="L474" s="73" t="s">
        <v>121</v>
      </c>
      <c r="M474" s="73" t="s">
        <v>122</v>
      </c>
      <c r="N474" s="72" t="s">
        <v>123</v>
      </c>
      <c r="O474" s="92" t="s">
        <v>124</v>
      </c>
      <c r="P474" s="76" t="s">
        <v>125</v>
      </c>
      <c r="Q474" s="75" t="s">
        <v>126</v>
      </c>
      <c r="R474" s="75" t="s">
        <v>127</v>
      </c>
      <c r="S474" s="75" t="s">
        <v>140</v>
      </c>
    </row>
    <row customHeight="true" ht="23.703703703703702" r="475">
      <c r="A475" s="93">
        <v>46090</v>
      </c>
      <c r="B475" s="79" t="s">
        <v>130</v>
      </c>
      <c r="C475" s="79">
        <v>7</v>
      </c>
      <c r="D475" s="94" cm="1">
        <f t="array" ref="D475:D475">_xlfn.XLOOKUP(B475&amp;S475,'净-价格-毛利'!A:A&amp;'净-价格-毛利'!B:B,'净-价格-毛利'!D:D,0)</f>
      </c>
      <c r="E475" s="81">
        <f t="shared" ref="E475:E480" si="524">C475*D475</f>
      </c>
      <c r="F475" s="80" cm="1">
        <f t="array" ref="F475:F475">_xlfn.XLOOKUP(B475&amp;S475,'净-价格-毛利'!A:A&amp;'净-价格-毛利'!B:B,'净-价格-毛利'!C:C,0)</f>
      </c>
      <c r="G475" s="81">
        <f t="shared" ref="G475:G479" si="37">C475*5</f>
      </c>
      <c r="H475" s="81">
        <v>56.72</v>
      </c>
      <c r="I475" s="81">
        <f t="shared" ref="I475:I480" si="153">E475*0.025</f>
      </c>
      <c r="J475" s="81">
        <f t="shared" ref="J475:J479" si="211">F475*C475+G475-H475-I475</f>
      </c>
      <c r="K475" s="83">
        <f t="shared" ref="K475:K481" si="280">IFERROR(J475/E475,0)</f>
      </c>
      <c r="L475" s="81">
        <f t="shared" ref="L475:L478" si="349">J475*8</f>
      </c>
      <c r="M475" s="81">
        <f t="shared" ref="M475:M478" si="408">E475*8</f>
      </c>
      <c r="N475" s="83">
        <f t="shared" ref="N475:N480" si="581">IFERROR(H475/E475,0)</f>
      </c>
      <c r="O475" s="95">
        <v>2</v>
      </c>
      <c r="P475" s="95">
        <f t="shared" ref="P475:P481" si="467">C475-O475</f>
      </c>
      <c r="Q475" s="85">
        <f t="shared" ref="Q475:Q481" si="639">IFERROR(O475/C475,0)</f>
      </c>
      <c r="R475" s="85">
        <f t="shared" ref="R475:R479" si="94">IFERROR(H475/(E475*Q475),0)</f>
      </c>
      <c r="S475" s="97" t="s">
        <v>160</v>
      </c>
    </row>
    <row customHeight="true" ht="23.703703703703702" r="476">
      <c r="A476" s="93">
        <v>46090</v>
      </c>
      <c r="B476" s="79" t="s">
        <v>131</v>
      </c>
      <c r="C476" s="79">
        <v>0</v>
      </c>
      <c r="D476" s="94" cm="1">
        <f t="array" ref="D476:D476">_xlfn.XLOOKUP(B476&amp;S476,'净-价格-毛利'!A:A&amp;'净-价格-毛利'!B:B,'净-价格-毛利'!D:D,0)</f>
      </c>
      <c r="E476" s="81">
        <f t="shared" si="524"/>
      </c>
      <c r="F476" s="80" cm="1">
        <f t="array" ref="F476:F476">_xlfn.XLOOKUP(B476&amp;S476,'净-价格-毛利'!A:A&amp;'净-价格-毛利'!B:B,'净-价格-毛利'!C:C,0)</f>
      </c>
      <c r="G476" s="81">
        <f t="shared" si="37"/>
      </c>
      <c r="H476" s="81">
        <v>11.83</v>
      </c>
      <c r="I476" s="81">
        <f t="shared" si="153"/>
      </c>
      <c r="J476" s="81">
        <f t="shared" si="211"/>
      </c>
      <c r="K476" s="83">
        <f t="shared" si="280"/>
      </c>
      <c r="L476" s="81">
        <f t="shared" si="349"/>
      </c>
      <c r="M476" s="81">
        <f t="shared" si="408"/>
      </c>
      <c r="N476" s="83">
        <f t="shared" si="581"/>
      </c>
      <c r="O476" s="95">
        <v>1</v>
      </c>
      <c r="P476" s="95">
        <f t="shared" si="467"/>
      </c>
      <c r="Q476" s="85">
        <f t="shared" si="639"/>
      </c>
      <c r="R476" s="85">
        <f t="shared" si="94"/>
      </c>
      <c r="S476" s="97" t="s">
        <v>141</v>
      </c>
    </row>
    <row customHeight="true" ht="23.703703703703702" r="477">
      <c r="A477" s="93">
        <v>46090</v>
      </c>
      <c r="B477" s="79" t="s">
        <v>133</v>
      </c>
      <c r="C477" s="79">
        <v>3</v>
      </c>
      <c r="D477" s="94" cm="1">
        <f t="array" ref="D477:D477">_xlfn.XLOOKUP(B477&amp;S477,'净-价格-毛利'!A:A&amp;'净-价格-毛利'!B:B,'净-价格-毛利'!D:D,0)</f>
      </c>
      <c r="E477" s="81">
        <f t="shared" si="524"/>
      </c>
      <c r="F477" s="80" cm="1">
        <f t="array" ref="F477:F477">_xlfn.XLOOKUP(B477&amp;S477,'净-价格-毛利'!A:A&amp;'净-价格-毛利'!B:B,'净-价格-毛利'!C:C,0)</f>
      </c>
      <c r="G477" s="81">
        <f t="shared" si="37"/>
      </c>
      <c r="H477" s="81">
        <v>57.41</v>
      </c>
      <c r="I477" s="81">
        <f t="shared" si="153"/>
      </c>
      <c r="J477" s="81">
        <f t="shared" si="211"/>
      </c>
      <c r="K477" s="83">
        <f t="shared" si="280"/>
      </c>
      <c r="L477" s="81">
        <f t="shared" si="349"/>
      </c>
      <c r="M477" s="81">
        <f t="shared" si="408"/>
      </c>
      <c r="N477" s="83">
        <f t="shared" si="581"/>
      </c>
      <c r="O477" s="95">
        <v>3</v>
      </c>
      <c r="P477" s="95">
        <f t="shared" si="467"/>
      </c>
      <c r="Q477" s="85">
        <f t="shared" si="639"/>
      </c>
      <c r="R477" s="85">
        <f t="shared" si="94"/>
      </c>
      <c r="S477" s="97" t="s">
        <v>145</v>
      </c>
    </row>
    <row customHeight="true" ht="23.703703703703702" r="478">
      <c r="A478" s="93">
        <v>46090</v>
      </c>
      <c r="B478" s="79" t="s">
        <v>134</v>
      </c>
      <c r="C478" s="79">
        <v>2</v>
      </c>
      <c r="D478" s="94" cm="1">
        <f t="array" ref="D478:D478">_xlfn.XLOOKUP(B478&amp;S478,'净-价格-毛利'!A:A&amp;'净-价格-毛利'!B:B,'净-价格-毛利'!D:D,0)</f>
      </c>
      <c r="E478" s="81">
        <f t="shared" si="524"/>
      </c>
      <c r="F478" s="80" cm="1">
        <f t="array" ref="F478:F478">_xlfn.XLOOKUP(B478&amp;S478,'净-价格-毛利'!A:A&amp;'净-价格-毛利'!B:B,'净-价格-毛利'!C:C,0)</f>
      </c>
      <c r="G478" s="81">
        <f t="shared" si="37"/>
      </c>
      <c r="H478" s="81">
        <v>28.81</v>
      </c>
      <c r="I478" s="81">
        <f t="shared" si="153"/>
      </c>
      <c r="J478" s="81">
        <f t="shared" si="211"/>
      </c>
      <c r="K478" s="83">
        <f t="shared" si="280"/>
      </c>
      <c r="L478" s="81">
        <f t="shared" si="349"/>
      </c>
      <c r="M478" s="81">
        <f t="shared" si="408"/>
      </c>
      <c r="N478" s="83">
        <f t="shared" si="581"/>
      </c>
      <c r="O478" s="95">
        <v>1</v>
      </c>
      <c r="P478" s="95">
        <f t="shared" si="467"/>
      </c>
      <c r="Q478" s="85">
        <f t="shared" si="639"/>
      </c>
      <c r="R478" s="85">
        <f t="shared" si="94"/>
      </c>
      <c r="S478" s="97" t="s">
        <v>145</v>
      </c>
    </row>
    <row customHeight="true" ht="23.703703703703702" r="479">
      <c r="A479" s="93">
        <v>46090</v>
      </c>
      <c r="B479" s="79" t="s">
        <v>136</v>
      </c>
      <c r="C479" s="79">
        <v>2</v>
      </c>
      <c r="D479" s="94" cm="1">
        <f t="array" ref="D479:D479">_xlfn.XLOOKUP(B479&amp;S479,'净-价格-毛利'!A:A&amp;'净-价格-毛利'!B:B,'净-价格-毛利'!D:D,0)</f>
      </c>
      <c r="E479" s="81">
        <f t="shared" si="524"/>
      </c>
      <c r="F479" s="80" cm="1">
        <f t="array" ref="F479:F479">_xlfn.XLOOKUP(B479&amp;S479,'净-价格-毛利'!A:A&amp;'净-价格-毛利'!B:B,'净-价格-毛利'!C:C,0)</f>
      </c>
      <c r="G479" s="81">
        <f t="shared" si="37"/>
      </c>
      <c r="H479" s="81">
        <v>81.26</v>
      </c>
      <c r="I479" s="81">
        <f t="shared" si="153"/>
      </c>
      <c r="J479" s="81">
        <f t="shared" si="211"/>
      </c>
      <c r="K479" s="83">
        <f t="shared" si="280"/>
      </c>
      <c r="L479" s="81">
        <f>J479*9</f>
      </c>
      <c r="M479" s="81">
        <f>E479*9</f>
      </c>
      <c r="N479" s="83">
        <f t="shared" si="581"/>
      </c>
      <c r="O479" s="95">
        <v>2</v>
      </c>
      <c r="P479" s="95">
        <f t="shared" si="467"/>
      </c>
      <c r="Q479" s="85">
        <f t="shared" si="639"/>
      </c>
      <c r="R479" s="85">
        <f t="shared" si="94"/>
      </c>
      <c r="S479" s="97" t="s">
        <v>159</v>
      </c>
    </row>
    <row customHeight="true" ht="23.703703703703702" r="480">
      <c r="A480" s="93">
        <v>46090</v>
      </c>
      <c r="B480" s="79" t="s">
        <v>137</v>
      </c>
      <c r="C480" s="79"/>
      <c r="D480" s="94" cm="1">
        <f t="array" ref="D480:D480">_xlfn.XLOOKUP(B480&amp;S480,'净-价格-毛利'!A:A&amp;'净-价格-毛利'!B:B,'净-价格-毛利'!D:D,0)</f>
      </c>
      <c r="E480" s="81">
        <f t="shared" si="524"/>
      </c>
      <c r="F480" s="80" cm="1">
        <f t="array" ref="F480:F480">_xlfn.XLOOKUP(B480&amp;S480,'净-价格-毛利'!A:A&amp;'净-价格-毛利'!B:B,'净-价格-毛利'!C:C,0)</f>
      </c>
      <c r="G480" s="81"/>
      <c r="H480" s="81"/>
      <c r="I480" s="81">
        <f t="shared" si="153"/>
      </c>
      <c r="J480" s="81">
        <f>C480*F480-H480-I480</f>
      </c>
      <c r="K480" s="83">
        <f t="shared" si="280"/>
      </c>
      <c r="L480" s="81">
        <f>J480*7</f>
      </c>
      <c r="M480" s="81">
        <f>E480*7</f>
      </c>
      <c r="N480" s="83">
        <f t="shared" si="581"/>
      </c>
      <c r="O480" s="84"/>
      <c r="P480" s="84">
        <f t="shared" si="467"/>
      </c>
      <c r="Q480" s="85">
        <f t="shared" si="639"/>
      </c>
      <c r="R480" s="85"/>
      <c r="S480" s="96"/>
    </row>
    <row customHeight="true" ht="23.703703703703702" r="481">
      <c r="A481" s="93">
        <v>46090</v>
      </c>
      <c r="B481" s="79" t="s">
        <v>111</v>
      </c>
      <c r="C481" s="79">
        <f>SUM(C475:C480)</f>
      </c>
      <c r="D481" s="89"/>
      <c r="E481" s="81">
        <f>SUM(E475:E480)</f>
      </c>
      <c r="F481" s="82">
        <f>SUM(F475:F479)</f>
      </c>
      <c r="G481" s="81"/>
      <c r="H481" s="81"/>
      <c r="I481" s="81"/>
      <c r="J481" s="81">
        <f>SUM(J475:J480)</f>
      </c>
      <c r="K481" s="83">
        <f t="shared" si="280"/>
      </c>
      <c r="L481" s="81">
        <f>SUM(L475:L480)</f>
      </c>
      <c r="M481" s="81">
        <f>SUM(M475:M480)</f>
      </c>
      <c r="N481" s="83"/>
      <c r="O481" s="95">
        <f>SUM(O475:O479)</f>
      </c>
      <c r="P481" s="95">
        <f t="shared" si="467"/>
      </c>
      <c r="Q481" s="85">
        <f t="shared" si="639"/>
      </c>
      <c r="R481" s="85"/>
      <c r="S481" s="89"/>
    </row>
    <row customHeight="true" ht="23.703703703703702" r="482">
      <c r="B482" s="77" t="s">
        <v>138</v>
      </c>
    </row>
    <row customHeight="true" ht="23.703703703703702" r="483">
      <c r="A483" s="71" t="s">
        <v>152</v>
      </c>
      <c r="B483" s="72" t="s">
        <v>112</v>
      </c>
      <c r="C483" s="90" t="s">
        <v>113</v>
      </c>
      <c r="D483" s="72" t="s">
        <v>114</v>
      </c>
      <c r="E483" s="73" t="s">
        <v>115</v>
      </c>
      <c r="F483" s="74" t="s">
        <v>116</v>
      </c>
      <c r="G483" s="73" t="s">
        <v>117</v>
      </c>
      <c r="H483" s="91" t="s">
        <v>118</v>
      </c>
      <c r="I483" s="73" t="s">
        <v>119</v>
      </c>
      <c r="J483" s="73" t="s">
        <v>116</v>
      </c>
      <c r="K483" s="75" t="s">
        <v>120</v>
      </c>
      <c r="L483" s="73" t="s">
        <v>121</v>
      </c>
      <c r="M483" s="73" t="s">
        <v>122</v>
      </c>
      <c r="N483" s="72" t="s">
        <v>123</v>
      </c>
      <c r="O483" s="92" t="s">
        <v>124</v>
      </c>
      <c r="P483" s="76" t="s">
        <v>125</v>
      </c>
      <c r="Q483" s="75" t="s">
        <v>126</v>
      </c>
      <c r="R483" s="75" t="s">
        <v>127</v>
      </c>
      <c r="S483" s="75" t="s">
        <v>140</v>
      </c>
    </row>
    <row customHeight="true" ht="23.703703703703702" r="484">
      <c r="A484" s="93">
        <v>46091</v>
      </c>
      <c r="B484" s="79" t="s">
        <v>130</v>
      </c>
      <c r="C484" s="79">
        <v>3</v>
      </c>
      <c r="D484" s="94" cm="1">
        <f t="array" ref="D484:D484">_xlfn.XLOOKUP(B484&amp;S484,'净-价格-毛利'!A:A&amp;'净-价格-毛利'!B:B,'净-价格-毛利'!D:D,0)</f>
      </c>
      <c r="E484" s="81">
        <f t="shared" ref="E484:E489" si="525">C484*D484</f>
      </c>
      <c r="F484" s="80" cm="1">
        <f t="array" ref="F484:F484">_xlfn.XLOOKUP(B484&amp;S484,'净-价格-毛利'!A:A&amp;'净-价格-毛利'!B:B,'净-价格-毛利'!C:C,0)</f>
      </c>
      <c r="G484" s="81">
        <f t="shared" ref="G484:G488" si="38">C484*5</f>
      </c>
      <c r="H484" s="81">
        <v>36.3</v>
      </c>
      <c r="I484" s="81">
        <f t="shared" ref="I484:I489" si="154">E484*0.025</f>
      </c>
      <c r="J484" s="81">
        <f t="shared" ref="J484:J488" si="212">F484*C484+G484-H484-I484</f>
      </c>
      <c r="K484" s="83">
        <f t="shared" ref="K484:K490" si="281">IFERROR(J484/E484,0)</f>
      </c>
      <c r="L484" s="81">
        <f t="shared" ref="L484:L487" si="350">J484*8</f>
      </c>
      <c r="M484" s="81">
        <f t="shared" ref="M484:M487" si="409">E484*8</f>
      </c>
      <c r="N484" s="83">
        <f t="shared" ref="N484:N489" si="582">IFERROR(H484/E484,0)</f>
      </c>
      <c r="O484" s="95">
        <v>3</v>
      </c>
      <c r="P484" s="95">
        <f t="shared" ref="P484:P490" si="468">C484-O484</f>
      </c>
      <c r="Q484" s="85">
        <f t="shared" ref="Q484:Q490" si="640">IFERROR(O484/C484,0)</f>
      </c>
      <c r="R484" s="85">
        <f t="shared" ref="R484:R488" si="95">IFERROR(H484/(E484*Q484),0)</f>
      </c>
      <c r="S484" s="97" t="s">
        <v>160</v>
      </c>
    </row>
    <row customHeight="true" ht="23.703703703703702" r="485">
      <c r="A485" s="93">
        <v>46091</v>
      </c>
      <c r="B485" s="79" t="s">
        <v>131</v>
      </c>
      <c r="C485" s="79">
        <v>2</v>
      </c>
      <c r="D485" s="94" cm="1">
        <f t="array" ref="D485:D485">_xlfn.XLOOKUP(B485&amp;S485,'净-价格-毛利'!A:A&amp;'净-价格-毛利'!B:B,'净-价格-毛利'!D:D,0)</f>
      </c>
      <c r="E485" s="81">
        <f t="shared" si="525"/>
      </c>
      <c r="F485" s="80" cm="1">
        <f t="array" ref="F485:F485">_xlfn.XLOOKUP(B485&amp;S485,'净-价格-毛利'!A:A&amp;'净-价格-毛利'!B:B,'净-价格-毛利'!C:C,0)</f>
      </c>
      <c r="G485" s="81">
        <f t="shared" si="38"/>
      </c>
      <c r="H485" s="81">
        <v>6.02</v>
      </c>
      <c r="I485" s="81">
        <f t="shared" si="154"/>
      </c>
      <c r="J485" s="81">
        <f t="shared" si="212"/>
      </c>
      <c r="K485" s="83">
        <f t="shared" si="281"/>
      </c>
      <c r="L485" s="81">
        <f t="shared" si="350"/>
      </c>
      <c r="M485" s="81">
        <f t="shared" si="409"/>
      </c>
      <c r="N485" s="83">
        <f t="shared" si="582"/>
      </c>
      <c r="O485" s="95">
        <v>0</v>
      </c>
      <c r="P485" s="95">
        <f t="shared" si="468"/>
      </c>
      <c r="Q485" s="85">
        <f t="shared" si="640"/>
      </c>
      <c r="R485" s="85">
        <f t="shared" si="95"/>
      </c>
      <c r="S485" s="97" t="s">
        <v>141</v>
      </c>
    </row>
    <row customHeight="true" ht="23.703703703703702" r="486">
      <c r="A486" s="93">
        <v>46091</v>
      </c>
      <c r="B486" s="79" t="s">
        <v>133</v>
      </c>
      <c r="C486" s="79">
        <v>1</v>
      </c>
      <c r="D486" s="94" cm="1">
        <f t="array" ref="D486:D486">_xlfn.XLOOKUP(B486&amp;S486,'净-价格-毛利'!A:A&amp;'净-价格-毛利'!B:B,'净-价格-毛利'!D:D,0)</f>
      </c>
      <c r="E486" s="81">
        <f t="shared" si="525"/>
      </c>
      <c r="F486" s="80" cm="1">
        <f t="array" ref="F486:F486">_xlfn.XLOOKUP(B486&amp;S486,'净-价格-毛利'!A:A&amp;'净-价格-毛利'!B:B,'净-价格-毛利'!C:C,0)</f>
      </c>
      <c r="G486" s="81">
        <f t="shared" si="38"/>
      </c>
      <c r="H486" s="81">
        <v>53.63</v>
      </c>
      <c r="I486" s="81">
        <f t="shared" si="154"/>
      </c>
      <c r="J486" s="81">
        <f t="shared" si="212"/>
      </c>
      <c r="K486" s="83">
        <f t="shared" si="281"/>
      </c>
      <c r="L486" s="81">
        <f t="shared" si="350"/>
      </c>
      <c r="M486" s="81">
        <f t="shared" si="409"/>
      </c>
      <c r="N486" s="83">
        <f t="shared" si="582"/>
      </c>
      <c r="O486" s="95">
        <v>3</v>
      </c>
      <c r="P486" s="95">
        <f t="shared" si="468"/>
      </c>
      <c r="Q486" s="85">
        <f t="shared" si="640"/>
      </c>
      <c r="R486" s="85">
        <f t="shared" si="95"/>
      </c>
      <c r="S486" s="97" t="s">
        <v>145</v>
      </c>
    </row>
    <row customHeight="true" ht="23.703703703703702" r="487">
      <c r="A487" s="93">
        <v>46091</v>
      </c>
      <c r="B487" s="79" t="s">
        <v>134</v>
      </c>
      <c r="C487" s="79">
        <v>6</v>
      </c>
      <c r="D487" s="94" cm="1">
        <f t="array" ref="D487:D487">_xlfn.XLOOKUP(B487&amp;S487,'净-价格-毛利'!A:A&amp;'净-价格-毛利'!B:B,'净-价格-毛利'!D:D,0)</f>
      </c>
      <c r="E487" s="81">
        <f t="shared" si="525"/>
      </c>
      <c r="F487" s="80" cm="1">
        <f t="array" ref="F487:F487">_xlfn.XLOOKUP(B487&amp;S487,'净-价格-毛利'!A:A&amp;'净-价格-毛利'!B:B,'净-价格-毛利'!C:C,0)</f>
      </c>
      <c r="G487" s="81">
        <f t="shared" si="38"/>
      </c>
      <c r="H487" s="81">
        <v>32.6</v>
      </c>
      <c r="I487" s="81">
        <f t="shared" si="154"/>
      </c>
      <c r="J487" s="81">
        <f t="shared" si="212"/>
      </c>
      <c r="K487" s="83">
        <f t="shared" si="281"/>
      </c>
      <c r="L487" s="81">
        <f t="shared" si="350"/>
      </c>
      <c r="M487" s="81">
        <f t="shared" si="409"/>
      </c>
      <c r="N487" s="83">
        <f t="shared" si="582"/>
      </c>
      <c r="O487" s="95">
        <v>3</v>
      </c>
      <c r="P487" s="95">
        <f t="shared" si="468"/>
      </c>
      <c r="Q487" s="85">
        <f t="shared" si="640"/>
      </c>
      <c r="R487" s="85">
        <f t="shared" si="95"/>
      </c>
      <c r="S487" s="97" t="s">
        <v>145</v>
      </c>
    </row>
    <row customHeight="true" ht="23.703703703703702" r="488">
      <c r="A488" s="93">
        <v>46091</v>
      </c>
      <c r="B488" s="79" t="s">
        <v>136</v>
      </c>
      <c r="C488" s="79">
        <v>0</v>
      </c>
      <c r="D488" s="94" cm="1">
        <f t="array" ref="D488:D488">_xlfn.XLOOKUP(B488&amp;S488,'净-价格-毛利'!A:A&amp;'净-价格-毛利'!B:B,'净-价格-毛利'!D:D,0)</f>
      </c>
      <c r="E488" s="81">
        <f t="shared" si="525"/>
      </c>
      <c r="F488" s="80" cm="1">
        <f t="array" ref="F488:F488">_xlfn.XLOOKUP(B488&amp;S488,'净-价格-毛利'!A:A&amp;'净-价格-毛利'!B:B,'净-价格-毛利'!C:C,0)</f>
      </c>
      <c r="G488" s="81">
        <f t="shared" si="38"/>
      </c>
      <c r="H488" s="81">
        <v>16.43</v>
      </c>
      <c r="I488" s="81">
        <f t="shared" si="154"/>
      </c>
      <c r="J488" s="81">
        <f t="shared" si="212"/>
      </c>
      <c r="K488" s="83">
        <f t="shared" si="281"/>
      </c>
      <c r="L488" s="81">
        <f>J488*9</f>
      </c>
      <c r="M488" s="81">
        <f>E488*9</f>
      </c>
      <c r="N488" s="83">
        <f t="shared" si="582"/>
      </c>
      <c r="O488" s="95">
        <v>0</v>
      </c>
      <c r="P488" s="95">
        <f t="shared" si="468"/>
      </c>
      <c r="Q488" s="85">
        <f t="shared" si="640"/>
      </c>
      <c r="R488" s="85">
        <f t="shared" si="95"/>
      </c>
      <c r="S488" s="97" t="s">
        <v>141</v>
      </c>
    </row>
    <row customHeight="true" ht="23.703703703703702" r="489">
      <c r="A489" s="93">
        <v>46091</v>
      </c>
      <c r="B489" s="79" t="s">
        <v>137</v>
      </c>
      <c r="C489" s="79"/>
      <c r="D489" s="94" cm="1">
        <f t="array" ref="D489:D489">_xlfn.XLOOKUP(B489&amp;S489,'净-价格-毛利'!A:A&amp;'净-价格-毛利'!B:B,'净-价格-毛利'!D:D,0)</f>
      </c>
      <c r="E489" s="81">
        <f t="shared" si="525"/>
      </c>
      <c r="F489" s="80" cm="1">
        <f t="array" ref="F489:F489">_xlfn.XLOOKUP(B489&amp;S489,'净-价格-毛利'!A:A&amp;'净-价格-毛利'!B:B,'净-价格-毛利'!C:C,0)</f>
      </c>
      <c r="G489" s="81"/>
      <c r="H489" s="81"/>
      <c r="I489" s="81">
        <f t="shared" si="154"/>
      </c>
      <c r="J489" s="81">
        <f>C489*F489-H489-I489</f>
      </c>
      <c r="K489" s="83">
        <f t="shared" si="281"/>
      </c>
      <c r="L489" s="81">
        <f>J489*7</f>
      </c>
      <c r="M489" s="81">
        <f>E489*7</f>
      </c>
      <c r="N489" s="83">
        <f t="shared" si="582"/>
      </c>
      <c r="O489" s="84"/>
      <c r="P489" s="84">
        <f t="shared" si="468"/>
      </c>
      <c r="Q489" s="85">
        <f t="shared" si="640"/>
      </c>
      <c r="R489" s="85"/>
      <c r="S489" s="96"/>
    </row>
    <row customHeight="true" ht="23.703703703703702" r="490">
      <c r="A490" s="93">
        <v>46091</v>
      </c>
      <c r="B490" s="79" t="s">
        <v>111</v>
      </c>
      <c r="C490" s="79">
        <f>SUM(C484:C489)</f>
      </c>
      <c r="D490" s="89"/>
      <c r="E490" s="81">
        <f>SUM(E484:E489)</f>
      </c>
      <c r="F490" s="82">
        <f>SUM(F484:F488)</f>
      </c>
      <c r="G490" s="81"/>
      <c r="H490" s="81"/>
      <c r="I490" s="81"/>
      <c r="J490" s="81">
        <f>SUM(J484:J489)</f>
      </c>
      <c r="K490" s="83">
        <f t="shared" si="281"/>
      </c>
      <c r="L490" s="81">
        <f>SUM(L484:L489)</f>
      </c>
      <c r="M490" s="81">
        <f>SUM(M484:M489)</f>
      </c>
      <c r="N490" s="83"/>
      <c r="O490" s="95">
        <f>SUM(O484:O488)</f>
      </c>
      <c r="P490" s="95">
        <f t="shared" si="468"/>
      </c>
      <c r="Q490" s="85">
        <f t="shared" si="640"/>
      </c>
      <c r="R490" s="85"/>
      <c r="S490" s="89"/>
    </row>
    <row customHeight="true" ht="23.703703703703702" r="491">
      <c r="B491" s="77" t="s">
        <v>138</v>
      </c>
    </row>
    <row customHeight="true" ht="23.703703703703702" r="492">
      <c r="A492" s="71" t="s">
        <v>152</v>
      </c>
      <c r="B492" s="72" t="s">
        <v>112</v>
      </c>
      <c r="C492" s="90" t="s">
        <v>113</v>
      </c>
      <c r="D492" s="72" t="s">
        <v>114</v>
      </c>
      <c r="E492" s="73" t="s">
        <v>115</v>
      </c>
      <c r="F492" s="74" t="s">
        <v>116</v>
      </c>
      <c r="G492" s="73" t="s">
        <v>117</v>
      </c>
      <c r="H492" s="91" t="s">
        <v>118</v>
      </c>
      <c r="I492" s="73" t="s">
        <v>119</v>
      </c>
      <c r="J492" s="73" t="s">
        <v>116</v>
      </c>
      <c r="K492" s="75" t="s">
        <v>120</v>
      </c>
      <c r="L492" s="73" t="s">
        <v>121</v>
      </c>
      <c r="M492" s="73" t="s">
        <v>122</v>
      </c>
      <c r="N492" s="72" t="s">
        <v>123</v>
      </c>
      <c r="O492" s="92" t="s">
        <v>124</v>
      </c>
      <c r="P492" s="76" t="s">
        <v>125</v>
      </c>
      <c r="Q492" s="75" t="s">
        <v>126</v>
      </c>
      <c r="R492" s="75" t="s">
        <v>127</v>
      </c>
      <c r="S492" s="75" t="s">
        <v>140</v>
      </c>
    </row>
    <row customHeight="true" ht="23.703703703703702" r="493">
      <c r="A493" s="93">
        <v>46092</v>
      </c>
      <c r="B493" s="79" t="s">
        <v>130</v>
      </c>
      <c r="C493" s="79">
        <v>4</v>
      </c>
      <c r="D493" s="94" cm="1">
        <f t="array" ref="D493:D493">_xlfn.XLOOKUP(B493&amp;S493,'净-价格-毛利'!A:A&amp;'净-价格-毛利'!B:B,'净-价格-毛利'!D:D,0)</f>
      </c>
      <c r="E493" s="81">
        <f t="shared" ref="E493:E498" si="526">C493*D493</f>
      </c>
      <c r="F493" s="80" cm="1">
        <f t="array" ref="F493:F493">_xlfn.XLOOKUP(B493&amp;S493,'净-价格-毛利'!A:A&amp;'净-价格-毛利'!B:B,'净-价格-毛利'!C:C,0)</f>
      </c>
      <c r="G493" s="81">
        <f t="shared" ref="G493:G497" si="39">C493*5</f>
      </c>
      <c r="H493" s="81">
        <v>31.14</v>
      </c>
      <c r="I493" s="81">
        <f t="shared" ref="I493:I498" si="155">E493*0.025</f>
      </c>
      <c r="J493" s="81">
        <f t="shared" ref="J493:J497" si="213">F493*C493+G493-H493-I493</f>
      </c>
      <c r="K493" s="83">
        <f t="shared" ref="K493:K499" si="282">IFERROR(J493/E493,0)</f>
      </c>
      <c r="L493" s="81">
        <f t="shared" ref="L493:L496" si="351">J493*8</f>
      </c>
      <c r="M493" s="81">
        <f t="shared" ref="M493:M496" si="410">E493*8</f>
      </c>
      <c r="N493" s="83">
        <f t="shared" ref="N493:N498" si="583">IFERROR(H493/E493,0)</f>
      </c>
      <c r="O493" s="95">
        <v>2</v>
      </c>
      <c r="P493" s="95">
        <f t="shared" ref="P493:P499" si="469">C493-O493</f>
      </c>
      <c r="Q493" s="85">
        <f t="shared" ref="Q493:Q499" si="641">IFERROR(O493/C493,0)</f>
      </c>
      <c r="R493" s="85">
        <f t="shared" ref="R493:R497" si="96">IFERROR(H493/(E493*Q493),0)</f>
      </c>
      <c r="S493" s="97" t="s">
        <v>160</v>
      </c>
    </row>
    <row customHeight="true" ht="23.703703703703702" r="494">
      <c r="A494" s="93">
        <v>46092</v>
      </c>
      <c r="B494" s="79" t="s">
        <v>131</v>
      </c>
      <c r="C494" s="79">
        <v>0</v>
      </c>
      <c r="D494" s="94" cm="1">
        <f t="array" ref="D494:D494">_xlfn.XLOOKUP(B494&amp;S494,'净-价格-毛利'!A:A&amp;'净-价格-毛利'!B:B,'净-价格-毛利'!D:D,0)</f>
      </c>
      <c r="E494" s="81">
        <f t="shared" si="526"/>
      </c>
      <c r="F494" s="80" cm="1">
        <f t="array" ref="F494:F494">_xlfn.XLOOKUP(B494&amp;S494,'净-价格-毛利'!A:A&amp;'净-价格-毛利'!B:B,'净-价格-毛利'!C:C,0)</f>
      </c>
      <c r="G494" s="81">
        <f t="shared" si="39"/>
      </c>
      <c r="H494" s="81">
        <v>4.49</v>
      </c>
      <c r="I494" s="81">
        <f t="shared" si="155"/>
      </c>
      <c r="J494" s="81">
        <f t="shared" si="213"/>
      </c>
      <c r="K494" s="83">
        <f t="shared" si="282"/>
      </c>
      <c r="L494" s="81">
        <f t="shared" si="351"/>
      </c>
      <c r="M494" s="81">
        <f t="shared" si="410"/>
      </c>
      <c r="N494" s="83">
        <f t="shared" si="583"/>
      </c>
      <c r="O494" s="95">
        <v>0</v>
      </c>
      <c r="P494" s="95">
        <f t="shared" si="469"/>
      </c>
      <c r="Q494" s="85">
        <f t="shared" si="641"/>
      </c>
      <c r="R494" s="85">
        <f t="shared" si="96"/>
      </c>
      <c r="S494" s="97" t="s">
        <v>141</v>
      </c>
    </row>
    <row customHeight="true" ht="23.703703703703702" r="495">
      <c r="A495" s="93">
        <v>46092</v>
      </c>
      <c r="B495" s="79" t="s">
        <v>133</v>
      </c>
      <c r="C495" s="79">
        <v>3</v>
      </c>
      <c r="D495" s="94" cm="1">
        <f t="array" ref="D495:D495">_xlfn.XLOOKUP(B495&amp;S495,'净-价格-毛利'!A:A&amp;'净-价格-毛利'!B:B,'净-价格-毛利'!D:D,0)</f>
      </c>
      <c r="E495" s="81">
        <f t="shared" si="526"/>
      </c>
      <c r="F495" s="80" cm="1">
        <f t="array" ref="F495:F495">_xlfn.XLOOKUP(B495&amp;S495,'净-价格-毛利'!A:A&amp;'净-价格-毛利'!B:B,'净-价格-毛利'!C:C,0)</f>
      </c>
      <c r="G495" s="81">
        <f t="shared" si="39"/>
      </c>
      <c r="H495" s="81">
        <v>40.16</v>
      </c>
      <c r="I495" s="81">
        <f t="shared" si="155"/>
      </c>
      <c r="J495" s="81">
        <f t="shared" si="213"/>
      </c>
      <c r="K495" s="83">
        <f t="shared" si="282"/>
      </c>
      <c r="L495" s="81">
        <f t="shared" si="351"/>
      </c>
      <c r="M495" s="81">
        <f t="shared" si="410"/>
      </c>
      <c r="N495" s="83">
        <f t="shared" si="583"/>
      </c>
      <c r="O495" s="95">
        <v>0</v>
      </c>
      <c r="P495" s="95">
        <f t="shared" si="469"/>
      </c>
      <c r="Q495" s="85">
        <f t="shared" si="641"/>
      </c>
      <c r="R495" s="85">
        <f t="shared" si="96"/>
      </c>
      <c r="S495" s="97" t="s">
        <v>145</v>
      </c>
    </row>
    <row customHeight="true" ht="23.703703703703702" r="496">
      <c r="A496" s="93">
        <v>46092</v>
      </c>
      <c r="B496" s="79" t="s">
        <v>134</v>
      </c>
      <c r="C496" s="79">
        <v>0</v>
      </c>
      <c r="D496" s="94" cm="1">
        <f t="array" ref="D496:D496">_xlfn.XLOOKUP(B496&amp;S496,'净-价格-毛利'!A:A&amp;'净-价格-毛利'!B:B,'净-价格-毛利'!D:D,0)</f>
      </c>
      <c r="E496" s="81">
        <f t="shared" si="526"/>
      </c>
      <c r="F496" s="80" cm="1">
        <f t="array" ref="F496:F496">_xlfn.XLOOKUP(B496&amp;S496,'净-价格-毛利'!A:A&amp;'净-价格-毛利'!B:B,'净-价格-毛利'!C:C,0)</f>
      </c>
      <c r="G496" s="81">
        <f t="shared" si="39"/>
      </c>
      <c r="H496" s="81">
        <v>28.3</v>
      </c>
      <c r="I496" s="81">
        <f t="shared" si="155"/>
      </c>
      <c r="J496" s="81">
        <f t="shared" si="213"/>
      </c>
      <c r="K496" s="83">
        <f t="shared" si="282"/>
      </c>
      <c r="L496" s="81">
        <f t="shared" si="351"/>
      </c>
      <c r="M496" s="81">
        <f t="shared" si="410"/>
      </c>
      <c r="N496" s="83">
        <f t="shared" si="583"/>
      </c>
      <c r="O496" s="95">
        <v>0</v>
      </c>
      <c r="P496" s="95">
        <f t="shared" si="469"/>
      </c>
      <c r="Q496" s="85">
        <f t="shared" si="641"/>
      </c>
      <c r="R496" s="85">
        <f t="shared" si="96"/>
      </c>
      <c r="S496" s="97" t="s">
        <v>145</v>
      </c>
    </row>
    <row customHeight="true" ht="23.703703703703702" r="497">
      <c r="A497" s="93">
        <v>46092</v>
      </c>
      <c r="B497" s="79" t="s">
        <v>136</v>
      </c>
      <c r="C497" s="79">
        <v>1</v>
      </c>
      <c r="D497" s="94" cm="1">
        <f t="array" ref="D497:D497">_xlfn.XLOOKUP(B497&amp;S497,'净-价格-毛利'!A:A&amp;'净-价格-毛利'!B:B,'净-价格-毛利'!D:D,0)</f>
      </c>
      <c r="E497" s="81">
        <f t="shared" si="526"/>
      </c>
      <c r="F497" s="80" cm="1">
        <f t="array" ref="F497:F497">_xlfn.XLOOKUP(B497&amp;S497,'净-价格-毛利'!A:A&amp;'净-价格-毛利'!B:B,'净-价格-毛利'!C:C,0)</f>
      </c>
      <c r="G497" s="81">
        <f t="shared" si="39"/>
      </c>
      <c r="H497" s="81">
        <v>28.64</v>
      </c>
      <c r="I497" s="81">
        <f t="shared" si="155"/>
      </c>
      <c r="J497" s="81">
        <f t="shared" si="213"/>
      </c>
      <c r="K497" s="83">
        <f t="shared" si="282"/>
      </c>
      <c r="L497" s="81">
        <f>J497*9</f>
      </c>
      <c r="M497" s="81">
        <f>E497*9</f>
      </c>
      <c r="N497" s="83">
        <f t="shared" si="583"/>
      </c>
      <c r="O497" s="95">
        <v>0</v>
      </c>
      <c r="P497" s="95">
        <f t="shared" si="469"/>
      </c>
      <c r="Q497" s="85">
        <f t="shared" si="641"/>
      </c>
      <c r="R497" s="85">
        <f t="shared" si="96"/>
      </c>
      <c r="S497" s="97" t="s">
        <v>141</v>
      </c>
    </row>
    <row customHeight="true" ht="23.703703703703702" r="498">
      <c r="A498" s="93">
        <v>46092</v>
      </c>
      <c r="B498" s="79" t="s">
        <v>137</v>
      </c>
      <c r="C498" s="79"/>
      <c r="D498" s="94" cm="1">
        <f t="array" ref="D498:D498">_xlfn.XLOOKUP(B498&amp;S498,'净-价格-毛利'!A:A&amp;'净-价格-毛利'!B:B,'净-价格-毛利'!D:D,0)</f>
      </c>
      <c r="E498" s="81">
        <f t="shared" si="526"/>
      </c>
      <c r="F498" s="80" cm="1">
        <f t="array" ref="F498:F498">_xlfn.XLOOKUP(B498&amp;S498,'净-价格-毛利'!A:A&amp;'净-价格-毛利'!B:B,'净-价格-毛利'!C:C,0)</f>
      </c>
      <c r="G498" s="81"/>
      <c r="H498" s="81"/>
      <c r="I498" s="81">
        <f t="shared" si="155"/>
      </c>
      <c r="J498" s="81">
        <f>C498*F498-H498-I498</f>
      </c>
      <c r="K498" s="83">
        <f t="shared" si="282"/>
      </c>
      <c r="L498" s="81">
        <f>J498*7</f>
      </c>
      <c r="M498" s="81">
        <f>E498*7</f>
      </c>
      <c r="N498" s="83">
        <f t="shared" si="583"/>
      </c>
      <c r="O498" s="84"/>
      <c r="P498" s="84">
        <f t="shared" si="469"/>
      </c>
      <c r="Q498" s="85">
        <f t="shared" si="641"/>
      </c>
      <c r="R498" s="85"/>
      <c r="S498" s="96"/>
    </row>
    <row customHeight="true" ht="23.703703703703702" r="499">
      <c r="A499" s="93">
        <v>46092</v>
      </c>
      <c r="B499" s="79" t="s">
        <v>111</v>
      </c>
      <c r="C499" s="79">
        <f>SUM(C493:C498)</f>
      </c>
      <c r="D499" s="89"/>
      <c r="E499" s="81">
        <f>SUM(E493:E498)</f>
      </c>
      <c r="F499" s="82">
        <f>SUM(F493:F497)</f>
      </c>
      <c r="G499" s="81"/>
      <c r="H499" s="81"/>
      <c r="I499" s="81"/>
      <c r="J499" s="81">
        <f>SUM(J493:J498)</f>
      </c>
      <c r="K499" s="83">
        <f t="shared" si="282"/>
      </c>
      <c r="L499" s="81">
        <f>SUM(L493:L498)</f>
      </c>
      <c r="M499" s="81">
        <f>SUM(M493:M498)</f>
      </c>
      <c r="N499" s="83"/>
      <c r="O499" s="95">
        <f>SUM(O493:O497)</f>
      </c>
      <c r="P499" s="95">
        <f t="shared" si="469"/>
      </c>
      <c r="Q499" s="85">
        <f t="shared" si="641"/>
      </c>
      <c r="R499" s="85"/>
      <c r="S499" s="89"/>
    </row>
    <row customHeight="true" ht="23.703703703703702" r="500">
      <c r="B500" s="77" t="s">
        <v>138</v>
      </c>
    </row>
    <row customHeight="true" ht="23.703703703703702" r="501">
      <c r="A501" s="71" t="s">
        <v>152</v>
      </c>
      <c r="B501" s="72" t="s">
        <v>112</v>
      </c>
      <c r="C501" s="90" t="s">
        <v>113</v>
      </c>
      <c r="D501" s="72" t="s">
        <v>114</v>
      </c>
      <c r="E501" s="73" t="s">
        <v>115</v>
      </c>
      <c r="F501" s="74" t="s">
        <v>116</v>
      </c>
      <c r="G501" s="73" t="s">
        <v>117</v>
      </c>
      <c r="H501" s="91" t="s">
        <v>118</v>
      </c>
      <c r="I501" s="73" t="s">
        <v>119</v>
      </c>
      <c r="J501" s="73" t="s">
        <v>116</v>
      </c>
      <c r="K501" s="75" t="s">
        <v>120</v>
      </c>
      <c r="L501" s="73" t="s">
        <v>121</v>
      </c>
      <c r="M501" s="73" t="s">
        <v>122</v>
      </c>
      <c r="N501" s="72" t="s">
        <v>123</v>
      </c>
      <c r="O501" s="92" t="s">
        <v>124</v>
      </c>
      <c r="P501" s="76" t="s">
        <v>125</v>
      </c>
      <c r="Q501" s="75" t="s">
        <v>126</v>
      </c>
      <c r="R501" s="75" t="s">
        <v>127</v>
      </c>
      <c r="S501" s="75" t="s">
        <v>140</v>
      </c>
    </row>
    <row customHeight="true" ht="23.703703703703702" r="502">
      <c r="A502" s="93">
        <v>46093</v>
      </c>
      <c r="B502" s="79" t="s">
        <v>130</v>
      </c>
      <c r="C502" s="79">
        <v>1</v>
      </c>
      <c r="D502" s="94" cm="1">
        <f t="array" ref="D502:D502">_xlfn.XLOOKUP(B502&amp;S502,'净-价格-毛利'!A:A&amp;'净-价格-毛利'!B:B,'净-价格-毛利'!D:D,0)</f>
      </c>
      <c r="E502" s="81">
        <f t="shared" ref="E502:E507" si="527">C502*D502</f>
      </c>
      <c r="F502" s="80" cm="1">
        <f t="array" ref="F502:F502">_xlfn.XLOOKUP(B502&amp;S502,'净-价格-毛利'!A:A&amp;'净-价格-毛利'!B:B,'净-价格-毛利'!C:C,0)</f>
      </c>
      <c r="G502" s="81">
        <f t="shared" ref="G502:G506" si="40">C502*5</f>
      </c>
      <c r="H502" s="81">
        <v>37.37</v>
      </c>
      <c r="I502" s="81">
        <f t="shared" ref="I502:I507" si="156">E502*0.025</f>
      </c>
      <c r="J502" s="81">
        <f t="shared" ref="J502:J506" si="214">F502*C502+G502-H502-I502</f>
      </c>
      <c r="K502" s="83">
        <f t="shared" ref="K502:K508" si="283">IFERROR(J502/E502,0)</f>
      </c>
      <c r="L502" s="81">
        <f t="shared" ref="L502:L505" si="352">J502*8</f>
      </c>
      <c r="M502" s="81">
        <f t="shared" ref="M502:M505" si="411">E502*8</f>
      </c>
      <c r="N502" s="83">
        <f t="shared" ref="N502:N507" si="584">IFERROR(H502/E502,0)</f>
      </c>
      <c r="O502" s="95">
        <v>1</v>
      </c>
      <c r="P502" s="95">
        <f t="shared" ref="P502:P508" si="470">C502-O502</f>
      </c>
      <c r="Q502" s="85">
        <f t="shared" ref="Q502:Q508" si="642">IFERROR(O502/C502,0)</f>
      </c>
      <c r="R502" s="85">
        <f t="shared" ref="R502:R506" si="97">IFERROR(H502/(E502*Q502),0)</f>
      </c>
      <c r="S502" s="97" t="s">
        <v>160</v>
      </c>
    </row>
    <row customHeight="true" ht="23.703703703703702" r="503">
      <c r="A503" s="93">
        <v>46093</v>
      </c>
      <c r="B503" s="79" t="s">
        <v>131</v>
      </c>
      <c r="C503" s="79">
        <v>0</v>
      </c>
      <c r="D503" s="94" cm="1">
        <f t="array" ref="D503:D503">_xlfn.XLOOKUP(B503&amp;S503,'净-价格-毛利'!A:A&amp;'净-价格-毛利'!B:B,'净-价格-毛利'!D:D,0)</f>
      </c>
      <c r="E503" s="81">
        <f t="shared" si="527"/>
      </c>
      <c r="F503" s="80" cm="1">
        <f t="array" ref="F503:F503">_xlfn.XLOOKUP(B503&amp;S503,'净-价格-毛利'!A:A&amp;'净-价格-毛利'!B:B,'净-价格-毛利'!C:C,0)</f>
      </c>
      <c r="G503" s="81">
        <f t="shared" si="40"/>
      </c>
      <c r="H503" s="81">
        <v>4.23</v>
      </c>
      <c r="I503" s="81">
        <f t="shared" si="156"/>
      </c>
      <c r="J503" s="81">
        <f t="shared" si="214"/>
      </c>
      <c r="K503" s="83">
        <f t="shared" si="283"/>
      </c>
      <c r="L503" s="81">
        <f t="shared" si="352"/>
      </c>
      <c r="M503" s="81">
        <f t="shared" si="411"/>
      </c>
      <c r="N503" s="83">
        <f t="shared" si="584"/>
      </c>
      <c r="O503" s="95">
        <v>0</v>
      </c>
      <c r="P503" s="95">
        <f t="shared" si="470"/>
      </c>
      <c r="Q503" s="85">
        <f t="shared" si="642"/>
      </c>
      <c r="R503" s="85">
        <f t="shared" si="97"/>
      </c>
      <c r="S503" s="97" t="s">
        <v>141</v>
      </c>
    </row>
    <row customHeight="true" ht="23.703703703703702" r="504">
      <c r="A504" s="93">
        <v>46093</v>
      </c>
      <c r="B504" s="79" t="s">
        <v>133</v>
      </c>
      <c r="C504" s="79">
        <v>2</v>
      </c>
      <c r="D504" s="94" cm="1">
        <f t="array" ref="D504:D504">_xlfn.XLOOKUP(B504&amp;S504,'净-价格-毛利'!A:A&amp;'净-价格-毛利'!B:B,'净-价格-毛利'!D:D,0)</f>
      </c>
      <c r="E504" s="81">
        <f t="shared" si="527"/>
      </c>
      <c r="F504" s="80" cm="1">
        <f t="array" ref="F504:F504">_xlfn.XLOOKUP(B504&amp;S504,'净-价格-毛利'!A:A&amp;'净-价格-毛利'!B:B,'净-价格-毛利'!C:C,0)</f>
      </c>
      <c r="G504" s="81">
        <f t="shared" si="40"/>
      </c>
      <c r="H504" s="81">
        <v>16.43</v>
      </c>
      <c r="I504" s="81">
        <f t="shared" si="156"/>
      </c>
      <c r="J504" s="81">
        <f t="shared" si="214"/>
      </c>
      <c r="K504" s="83">
        <f t="shared" si="283"/>
      </c>
      <c r="L504" s="81">
        <f t="shared" si="352"/>
      </c>
      <c r="M504" s="81">
        <f t="shared" si="411"/>
      </c>
      <c r="N504" s="83">
        <f t="shared" si="584"/>
      </c>
      <c r="O504" s="95">
        <v>0</v>
      </c>
      <c r="P504" s="95">
        <f t="shared" si="470"/>
      </c>
      <c r="Q504" s="85">
        <f t="shared" si="642"/>
      </c>
      <c r="R504" s="85">
        <f t="shared" si="97"/>
      </c>
      <c r="S504" s="97" t="s">
        <v>145</v>
      </c>
    </row>
    <row customHeight="true" ht="23.703703703703702" r="505">
      <c r="A505" s="93">
        <v>46093</v>
      </c>
      <c r="B505" s="79" t="s">
        <v>134</v>
      </c>
      <c r="C505" s="79">
        <v>3</v>
      </c>
      <c r="D505" s="94" cm="1">
        <f t="array" ref="D505:D505">_xlfn.XLOOKUP(B505&amp;S505,'净-价格-毛利'!A:A&amp;'净-价格-毛利'!B:B,'净-价格-毛利'!D:D,0)</f>
      </c>
      <c r="E505" s="81">
        <f t="shared" si="527"/>
      </c>
      <c r="F505" s="80" cm="1">
        <f t="array" ref="F505:F505">_xlfn.XLOOKUP(B505&amp;S505,'净-价格-毛利'!A:A&amp;'净-价格-毛利'!B:B,'净-价格-毛利'!C:C,0)</f>
      </c>
      <c r="G505" s="81">
        <f t="shared" si="40"/>
      </c>
      <c r="H505" s="81">
        <v>30.17</v>
      </c>
      <c r="I505" s="81">
        <f t="shared" si="156"/>
      </c>
      <c r="J505" s="81">
        <f t="shared" si="214"/>
      </c>
      <c r="K505" s="83">
        <f t="shared" si="283"/>
      </c>
      <c r="L505" s="81">
        <f t="shared" si="352"/>
      </c>
      <c r="M505" s="81">
        <f t="shared" si="411"/>
      </c>
      <c r="N505" s="83">
        <f t="shared" si="584"/>
      </c>
      <c r="O505" s="95">
        <v>1</v>
      </c>
      <c r="P505" s="95">
        <f t="shared" si="470"/>
      </c>
      <c r="Q505" s="85">
        <f t="shared" si="642"/>
      </c>
      <c r="R505" s="85">
        <f t="shared" si="97"/>
      </c>
      <c r="S505" s="97" t="s">
        <v>145</v>
      </c>
    </row>
    <row customHeight="true" ht="23.703703703703702" r="506">
      <c r="A506" s="93">
        <v>46093</v>
      </c>
      <c r="B506" s="79" t="s">
        <v>136</v>
      </c>
      <c r="C506" s="79">
        <v>0</v>
      </c>
      <c r="D506" s="94" cm="1">
        <f t="array" ref="D506:D506">_xlfn.XLOOKUP(B506&amp;S506,'净-价格-毛利'!A:A&amp;'净-价格-毛利'!B:B,'净-价格-毛利'!D:D,0)</f>
      </c>
      <c r="E506" s="81">
        <f t="shared" si="527"/>
      </c>
      <c r="F506" s="80" cm="1">
        <f t="array" ref="F506:F506">_xlfn.XLOOKUP(B506&amp;S506,'净-价格-毛利'!A:A&amp;'净-价格-毛利'!B:B,'净-价格-毛利'!C:C,0)</f>
      </c>
      <c r="G506" s="81">
        <f t="shared" si="40"/>
      </c>
      <c r="H506" s="81">
        <v>26.12</v>
      </c>
      <c r="I506" s="81">
        <f t="shared" si="156"/>
      </c>
      <c r="J506" s="81">
        <f t="shared" si="214"/>
      </c>
      <c r="K506" s="83">
        <f t="shared" si="283"/>
      </c>
      <c r="L506" s="81">
        <f>J506*9</f>
      </c>
      <c r="M506" s="81">
        <f>E506*9</f>
      </c>
      <c r="N506" s="83">
        <f t="shared" si="584"/>
      </c>
      <c r="O506" s="95">
        <v>0</v>
      </c>
      <c r="P506" s="95">
        <f t="shared" si="470"/>
      </c>
      <c r="Q506" s="85">
        <f t="shared" si="642"/>
      </c>
      <c r="R506" s="85">
        <f t="shared" si="97"/>
      </c>
      <c r="S506" s="97" t="s">
        <v>141</v>
      </c>
    </row>
    <row customHeight="true" ht="23.703703703703702" r="507">
      <c r="A507" s="93">
        <v>46093</v>
      </c>
      <c r="B507" s="79" t="s">
        <v>137</v>
      </c>
      <c r="C507" s="79"/>
      <c r="D507" s="94" cm="1">
        <f t="array" ref="D507:D507">_xlfn.XLOOKUP(B507&amp;S507,'净-价格-毛利'!A:A&amp;'净-价格-毛利'!B:B,'净-价格-毛利'!D:D,0)</f>
      </c>
      <c r="E507" s="81">
        <f t="shared" si="527"/>
      </c>
      <c r="F507" s="80" cm="1">
        <f t="array" ref="F507:F507">_xlfn.XLOOKUP(B507&amp;S507,'净-价格-毛利'!A:A&amp;'净-价格-毛利'!B:B,'净-价格-毛利'!C:C,0)</f>
      </c>
      <c r="G507" s="81"/>
      <c r="H507" s="81"/>
      <c r="I507" s="81">
        <f t="shared" si="156"/>
      </c>
      <c r="J507" s="81">
        <f>C507*F507-H507-I507</f>
      </c>
      <c r="K507" s="83">
        <f t="shared" si="283"/>
      </c>
      <c r="L507" s="81">
        <f>J507*7</f>
      </c>
      <c r="M507" s="81">
        <f>E507*7</f>
      </c>
      <c r="N507" s="83">
        <f t="shared" si="584"/>
      </c>
      <c r="O507" s="84"/>
      <c r="P507" s="84">
        <f t="shared" si="470"/>
      </c>
      <c r="Q507" s="85">
        <f t="shared" si="642"/>
      </c>
      <c r="R507" s="85"/>
      <c r="S507" s="96"/>
    </row>
    <row customHeight="true" ht="23.703703703703702" r="508">
      <c r="A508" s="93">
        <v>46093</v>
      </c>
      <c r="B508" s="79" t="s">
        <v>111</v>
      </c>
      <c r="C508" s="79">
        <f>SUM(C502:C507)</f>
      </c>
      <c r="D508" s="89"/>
      <c r="E508" s="81">
        <f>SUM(E502:E507)</f>
      </c>
      <c r="F508" s="82">
        <f>SUM(F502:F506)</f>
      </c>
      <c r="G508" s="81"/>
      <c r="H508" s="81"/>
      <c r="I508" s="81"/>
      <c r="J508" s="81">
        <f>SUM(J502:J507)</f>
      </c>
      <c r="K508" s="83">
        <f t="shared" si="283"/>
      </c>
      <c r="L508" s="81">
        <f>SUM(L502:L507)</f>
      </c>
      <c r="M508" s="81">
        <f>SUM(M502:M507)</f>
      </c>
      <c r="N508" s="83"/>
      <c r="O508" s="95">
        <f>SUM(O502:O506)</f>
      </c>
      <c r="P508" s="95">
        <f t="shared" si="470"/>
      </c>
      <c r="Q508" s="85">
        <f t="shared" si="642"/>
      </c>
      <c r="R508" s="85"/>
      <c r="S508" s="89"/>
    </row>
    <row customHeight="true" ht="23.703703703703702" r="509">
      <c r="B509" s="77" t="s">
        <v>138</v>
      </c>
    </row>
    <row customHeight="true" ht="23.703703703703702" r="510">
      <c r="A510" s="71" t="s">
        <v>152</v>
      </c>
      <c r="B510" s="72" t="s">
        <v>112</v>
      </c>
      <c r="C510" s="90" t="s">
        <v>113</v>
      </c>
      <c r="D510" s="72" t="s">
        <v>114</v>
      </c>
      <c r="E510" s="73" t="s">
        <v>115</v>
      </c>
      <c r="F510" s="74" t="s">
        <v>116</v>
      </c>
      <c r="G510" s="73" t="s">
        <v>117</v>
      </c>
      <c r="H510" s="91" t="s">
        <v>118</v>
      </c>
      <c r="I510" s="73" t="s">
        <v>119</v>
      </c>
      <c r="J510" s="73" t="s">
        <v>116</v>
      </c>
      <c r="K510" s="75" t="s">
        <v>120</v>
      </c>
      <c r="L510" s="73" t="s">
        <v>121</v>
      </c>
      <c r="M510" s="73" t="s">
        <v>122</v>
      </c>
      <c r="N510" s="72" t="s">
        <v>123</v>
      </c>
      <c r="O510" s="92" t="s">
        <v>124</v>
      </c>
      <c r="P510" s="76" t="s">
        <v>125</v>
      </c>
      <c r="Q510" s="75" t="s">
        <v>126</v>
      </c>
      <c r="R510" s="75" t="s">
        <v>127</v>
      </c>
      <c r="S510" s="75" t="s">
        <v>140</v>
      </c>
    </row>
    <row customHeight="true" ht="23.703703703703702" r="511">
      <c r="A511" s="93">
        <v>46094</v>
      </c>
      <c r="B511" s="79" t="s">
        <v>130</v>
      </c>
      <c r="C511" s="79">
        <v>4</v>
      </c>
      <c r="D511" s="94" cm="1">
        <f t="array" ref="D511:D511">_xlfn.XLOOKUP(B511&amp;S511,'净-价格-毛利'!A:A&amp;'净-价格-毛利'!B:B,'净-价格-毛利'!D:D,0)</f>
      </c>
      <c r="E511" s="81">
        <f t="shared" ref="E511:E516" si="528">C511*D511</f>
      </c>
      <c r="F511" s="80" cm="1">
        <f t="array" ref="F511:F511">_xlfn.XLOOKUP(B511&amp;S511,'净-价格-毛利'!A:A&amp;'净-价格-毛利'!B:B,'净-价格-毛利'!C:C,0)</f>
      </c>
      <c r="G511" s="81">
        <f t="shared" ref="G511:G515" si="41">C511*5</f>
      </c>
      <c r="H511" s="81">
        <v>20.99</v>
      </c>
      <c r="I511" s="81">
        <f t="shared" ref="I511:I516" si="157">E511*0.025</f>
      </c>
      <c r="J511" s="81">
        <f t="shared" ref="J511:J515" si="215">F511*C511+G511-H511-I511</f>
      </c>
      <c r="K511" s="83">
        <f t="shared" ref="K511:K517" si="284">IFERROR(J511/E511,0)</f>
      </c>
      <c r="L511" s="81">
        <f t="shared" ref="L511:L514" si="353">J511*8</f>
      </c>
      <c r="M511" s="81">
        <f t="shared" ref="M511:M514" si="412">E511*8</f>
      </c>
      <c r="N511" s="83">
        <f t="shared" ref="N511:N516" si="585">IFERROR(H511/E511,0)</f>
      </c>
      <c r="O511" s="95">
        <v>4</v>
      </c>
      <c r="P511" s="95">
        <f t="shared" ref="P511:P517" si="471">C511-O511</f>
      </c>
      <c r="Q511" s="85">
        <f t="shared" ref="Q511:Q517" si="643">IFERROR(O511/C511,0)</f>
      </c>
      <c r="R511" s="85">
        <f t="shared" ref="R511:R515" si="98">IFERROR(H511/(E511*Q511),0)</f>
      </c>
      <c r="S511" s="97" t="s">
        <v>160</v>
      </c>
    </row>
    <row customHeight="true" ht="23.703703703703702" r="512">
      <c r="A512" s="93">
        <v>46094</v>
      </c>
      <c r="B512" s="79" t="s">
        <v>131</v>
      </c>
      <c r="C512" s="79">
        <v>0</v>
      </c>
      <c r="D512" s="94" cm="1">
        <f t="array" ref="D512:D512">_xlfn.XLOOKUP(B512&amp;S512,'净-价格-毛利'!A:A&amp;'净-价格-毛利'!B:B,'净-价格-毛利'!D:D,0)</f>
      </c>
      <c r="E512" s="81">
        <f t="shared" si="528"/>
      </c>
      <c r="F512" s="80" cm="1">
        <f t="array" ref="F512:F512">_xlfn.XLOOKUP(B512&amp;S512,'净-价格-毛利'!A:A&amp;'净-价格-毛利'!B:B,'净-价格-毛利'!C:C,0)</f>
      </c>
      <c r="G512" s="81">
        <f t="shared" si="41"/>
      </c>
      <c r="H512" s="81">
        <v>1.84</v>
      </c>
      <c r="I512" s="81">
        <f t="shared" si="157"/>
      </c>
      <c r="J512" s="81">
        <f t="shared" si="215"/>
      </c>
      <c r="K512" s="83">
        <f t="shared" si="284"/>
      </c>
      <c r="L512" s="81">
        <f t="shared" si="353"/>
      </c>
      <c r="M512" s="81">
        <f t="shared" si="412"/>
      </c>
      <c r="N512" s="83">
        <f t="shared" si="585"/>
      </c>
      <c r="O512" s="95">
        <v>0</v>
      </c>
      <c r="P512" s="95">
        <f t="shared" si="471"/>
      </c>
      <c r="Q512" s="85">
        <f t="shared" si="643"/>
      </c>
      <c r="R512" s="85">
        <f t="shared" si="98"/>
      </c>
      <c r="S512" s="97" t="s">
        <v>141</v>
      </c>
    </row>
    <row customHeight="true" ht="23.703703703703702" r="513">
      <c r="A513" s="93">
        <v>46094</v>
      </c>
      <c r="B513" s="79" t="s">
        <v>133</v>
      </c>
      <c r="C513" s="79">
        <v>2</v>
      </c>
      <c r="D513" s="94" cm="1">
        <f t="array" ref="D513:D513">_xlfn.XLOOKUP(B513&amp;S513,'净-价格-毛利'!A:A&amp;'净-价格-毛利'!B:B,'净-价格-毛利'!D:D,0)</f>
      </c>
      <c r="E513" s="81">
        <f t="shared" si="528"/>
      </c>
      <c r="F513" s="80" cm="1">
        <f t="array" ref="F513:F513">_xlfn.XLOOKUP(B513&amp;S513,'净-价格-毛利'!A:A&amp;'净-价格-毛利'!B:B,'净-价格-毛利'!C:C,0)</f>
      </c>
      <c r="G513" s="81">
        <f t="shared" si="41"/>
      </c>
      <c r="H513" s="81">
        <v>13.75</v>
      </c>
      <c r="I513" s="81">
        <f t="shared" si="157"/>
      </c>
      <c r="J513" s="81">
        <f t="shared" si="215"/>
      </c>
      <c r="K513" s="83">
        <f t="shared" si="284"/>
      </c>
      <c r="L513" s="81">
        <f t="shared" si="353"/>
      </c>
      <c r="M513" s="81">
        <f t="shared" si="412"/>
      </c>
      <c r="N513" s="83">
        <f t="shared" si="585"/>
      </c>
      <c r="O513" s="95">
        <v>0</v>
      </c>
      <c r="P513" s="95">
        <f t="shared" si="471"/>
      </c>
      <c r="Q513" s="85">
        <f t="shared" si="643"/>
      </c>
      <c r="R513" s="85">
        <f t="shared" si="98"/>
      </c>
      <c r="S513" s="97" t="s">
        <v>145</v>
      </c>
    </row>
    <row customHeight="true" ht="23.703703703703702" r="514">
      <c r="A514" s="93">
        <v>46094</v>
      </c>
      <c r="B514" s="79" t="s">
        <v>134</v>
      </c>
      <c r="C514" s="79">
        <v>0</v>
      </c>
      <c r="D514" s="94" cm="1">
        <f t="array" ref="D514:D514">_xlfn.XLOOKUP(B514&amp;S514,'净-价格-毛利'!A:A&amp;'净-价格-毛利'!B:B,'净-价格-毛利'!D:D,0)</f>
      </c>
      <c r="E514" s="81">
        <f t="shared" si="528"/>
      </c>
      <c r="F514" s="80" cm="1">
        <f t="array" ref="F514:F514">_xlfn.XLOOKUP(B514&amp;S514,'净-价格-毛利'!A:A&amp;'净-价格-毛利'!B:B,'净-价格-毛利'!C:C,0)</f>
      </c>
      <c r="G514" s="81">
        <f t="shared" si="41"/>
      </c>
      <c r="H514" s="81">
        <v>35.24</v>
      </c>
      <c r="I514" s="81">
        <f t="shared" si="157"/>
      </c>
      <c r="J514" s="81">
        <f t="shared" si="215"/>
      </c>
      <c r="K514" s="83">
        <f t="shared" si="284"/>
      </c>
      <c r="L514" s="81">
        <f t="shared" si="353"/>
      </c>
      <c r="M514" s="81">
        <f t="shared" si="412"/>
      </c>
      <c r="N514" s="83">
        <f t="shared" si="585"/>
      </c>
      <c r="O514" s="95">
        <v>1</v>
      </c>
      <c r="P514" s="95">
        <f t="shared" si="471"/>
      </c>
      <c r="Q514" s="85">
        <f t="shared" si="643"/>
      </c>
      <c r="R514" s="85">
        <f t="shared" si="98"/>
      </c>
      <c r="S514" s="97" t="s">
        <v>145</v>
      </c>
    </row>
    <row customHeight="true" ht="23.703703703703702" r="515">
      <c r="A515" s="93">
        <v>46094</v>
      </c>
      <c r="B515" s="79" t="s">
        <v>136</v>
      </c>
      <c r="C515" s="79">
        <v>1</v>
      </c>
      <c r="D515" s="94" cm="1">
        <f t="array" ref="D515:D515">_xlfn.XLOOKUP(B515&amp;S515,'净-价格-毛利'!A:A&amp;'净-价格-毛利'!B:B,'净-价格-毛利'!D:D,0)</f>
      </c>
      <c r="E515" s="81">
        <f t="shared" si="528"/>
      </c>
      <c r="F515" s="80" cm="1">
        <f t="array" ref="F515:F515">_xlfn.XLOOKUP(B515&amp;S515,'净-价格-毛利'!A:A&amp;'净-价格-毛利'!B:B,'净-价格-毛利'!C:C,0)</f>
      </c>
      <c r="G515" s="81">
        <f t="shared" si="41"/>
      </c>
      <c r="H515" s="81">
        <v>26.04</v>
      </c>
      <c r="I515" s="81">
        <f t="shared" si="157"/>
      </c>
      <c r="J515" s="81">
        <f t="shared" si="215"/>
      </c>
      <c r="K515" s="83">
        <f t="shared" si="284"/>
      </c>
      <c r="L515" s="81">
        <f>J515*9</f>
      </c>
      <c r="M515" s="81">
        <f>E515*9</f>
      </c>
      <c r="N515" s="83">
        <f t="shared" si="585"/>
      </c>
      <c r="O515" s="95">
        <v>0</v>
      </c>
      <c r="P515" s="95">
        <f t="shared" si="471"/>
      </c>
      <c r="Q515" s="85">
        <f t="shared" si="643"/>
      </c>
      <c r="R515" s="85">
        <f t="shared" si="98"/>
      </c>
      <c r="S515" s="97" t="s">
        <v>141</v>
      </c>
    </row>
    <row customHeight="true" ht="23.703703703703702" r="516">
      <c r="A516" s="93">
        <v>46094</v>
      </c>
      <c r="B516" s="79" t="s">
        <v>137</v>
      </c>
      <c r="C516" s="79"/>
      <c r="D516" s="94" cm="1">
        <f t="array" ref="D516:D516">_xlfn.XLOOKUP(B516&amp;S516,'净-价格-毛利'!A:A&amp;'净-价格-毛利'!B:B,'净-价格-毛利'!D:D,0)</f>
      </c>
      <c r="E516" s="81">
        <f t="shared" si="528"/>
      </c>
      <c r="F516" s="80" cm="1">
        <f t="array" ref="F516:F516">_xlfn.XLOOKUP(B516&amp;S516,'净-价格-毛利'!A:A&amp;'净-价格-毛利'!B:B,'净-价格-毛利'!C:C,0)</f>
      </c>
      <c r="G516" s="81"/>
      <c r="H516" s="81"/>
      <c r="I516" s="81">
        <f t="shared" si="157"/>
      </c>
      <c r="J516" s="81">
        <f>C516*F516-H516-I516</f>
      </c>
      <c r="K516" s="83">
        <f t="shared" si="284"/>
      </c>
      <c r="L516" s="81">
        <f>J516*7</f>
      </c>
      <c r="M516" s="81">
        <f>E516*7</f>
      </c>
      <c r="N516" s="83">
        <f t="shared" si="585"/>
      </c>
      <c r="O516" s="84"/>
      <c r="P516" s="84">
        <f t="shared" si="471"/>
      </c>
      <c r="Q516" s="85">
        <f t="shared" si="643"/>
      </c>
      <c r="R516" s="85"/>
      <c r="S516" s="96"/>
    </row>
    <row customHeight="true" ht="23.703703703703702" r="517">
      <c r="A517" s="93">
        <v>46094</v>
      </c>
      <c r="B517" s="79" t="s">
        <v>111</v>
      </c>
      <c r="C517" s="79">
        <f>SUM(C511:C516)</f>
      </c>
      <c r="D517" s="89"/>
      <c r="E517" s="81">
        <f>SUM(E511:E516)</f>
      </c>
      <c r="F517" s="82">
        <f>SUM(F511:F515)</f>
      </c>
      <c r="G517" s="81"/>
      <c r="H517" s="81"/>
      <c r="I517" s="81"/>
      <c r="J517" s="81">
        <f>SUM(J511:J516)</f>
      </c>
      <c r="K517" s="83">
        <f t="shared" si="284"/>
      </c>
      <c r="L517" s="81">
        <f>SUM(L511:L516)</f>
      </c>
      <c r="M517" s="81">
        <f>SUM(M511:M516)</f>
      </c>
      <c r="N517" s="83"/>
      <c r="O517" s="95">
        <f>SUM(O511:O515)</f>
      </c>
      <c r="P517" s="95">
        <f t="shared" si="471"/>
      </c>
      <c r="Q517" s="85">
        <f t="shared" si="643"/>
      </c>
      <c r="R517" s="85"/>
      <c r="S517" s="89"/>
    </row>
    <row customHeight="true" ht="23.703703703703702" r="518">
      <c r="B518" s="77" t="s">
        <v>138</v>
      </c>
    </row>
    <row customHeight="true" ht="23.703703703703702" r="519">
      <c r="A519" s="71" t="s">
        <v>152</v>
      </c>
      <c r="B519" s="72" t="s">
        <v>112</v>
      </c>
      <c r="C519" s="90" t="s">
        <v>113</v>
      </c>
      <c r="D519" s="72" t="s">
        <v>114</v>
      </c>
      <c r="E519" s="73" t="s">
        <v>115</v>
      </c>
      <c r="F519" s="74" t="s">
        <v>116</v>
      </c>
      <c r="G519" s="73" t="s">
        <v>117</v>
      </c>
      <c r="H519" s="91" t="s">
        <v>118</v>
      </c>
      <c r="I519" s="73" t="s">
        <v>119</v>
      </c>
      <c r="J519" s="73" t="s">
        <v>116</v>
      </c>
      <c r="K519" s="75" t="s">
        <v>120</v>
      </c>
      <c r="L519" s="73" t="s">
        <v>121</v>
      </c>
      <c r="M519" s="73" t="s">
        <v>122</v>
      </c>
      <c r="N519" s="72" t="s">
        <v>123</v>
      </c>
      <c r="O519" s="92" t="s">
        <v>124</v>
      </c>
      <c r="P519" s="76" t="s">
        <v>125</v>
      </c>
      <c r="Q519" s="75" t="s">
        <v>126</v>
      </c>
      <c r="R519" s="75" t="s">
        <v>127</v>
      </c>
      <c r="S519" s="75" t="s">
        <v>140</v>
      </c>
    </row>
    <row customHeight="true" ht="23.703703703703702" r="520">
      <c r="A520" s="93">
        <v>46095</v>
      </c>
      <c r="B520" s="79" t="s">
        <v>130</v>
      </c>
      <c r="C520" s="79">
        <v>3</v>
      </c>
      <c r="D520" s="94" cm="1">
        <f t="array" ref="D520:D520">_xlfn.XLOOKUP(B520&amp;S520,'净-价格-毛利'!A:A&amp;'净-价格-毛利'!B:B,'净-价格-毛利'!D:D,0)</f>
      </c>
      <c r="E520" s="81">
        <f t="shared" ref="E520:E525" si="529">C520*D520</f>
      </c>
      <c r="F520" s="80" cm="1">
        <f t="array" ref="F520:F520">_xlfn.XLOOKUP(B520&amp;S520,'净-价格-毛利'!A:A&amp;'净-价格-毛利'!B:B,'净-价格-毛利'!C:C,0)</f>
      </c>
      <c r="G520" s="81">
        <f t="shared" ref="G520:G524" si="42">C520*5</f>
      </c>
      <c r="H520" s="81">
        <v>25.06</v>
      </c>
      <c r="I520" s="81">
        <f t="shared" ref="I520:I525" si="158">E520*0.025</f>
      </c>
      <c r="J520" s="81">
        <f t="shared" ref="J520:J524" si="216">F520*C520+G520-H520-I520</f>
      </c>
      <c r="K520" s="83">
        <f t="shared" ref="K520:K526" si="285">IFERROR(J520/E520,0)</f>
      </c>
      <c r="L520" s="81">
        <f t="shared" ref="L520:L523" si="354">J520*8</f>
      </c>
      <c r="M520" s="81">
        <f t="shared" ref="M520:M523" si="413">E520*8</f>
      </c>
      <c r="N520" s="83">
        <f t="shared" ref="N520:N525" si="586">IFERROR(H520/E520,0)</f>
      </c>
      <c r="O520" s="95">
        <v>2</v>
      </c>
      <c r="P520" s="95">
        <f t="shared" ref="P520:P526" si="472">C520-O520</f>
      </c>
      <c r="Q520" s="85">
        <f t="shared" ref="Q520:Q526" si="644">IFERROR(O520/C520,0)</f>
      </c>
      <c r="R520" s="85">
        <f t="shared" ref="R520:R524" si="99">IFERROR(H520/(E520*Q520),0)</f>
      </c>
      <c r="S520" s="97" t="s">
        <v>160</v>
      </c>
    </row>
    <row customHeight="true" ht="23.703703703703702" r="521">
      <c r="A521" s="93">
        <v>46095</v>
      </c>
      <c r="B521" s="79" t="s">
        <v>131</v>
      </c>
      <c r="C521" s="79">
        <v>0</v>
      </c>
      <c r="D521" s="94" cm="1">
        <f t="array" ref="D521:D521">_xlfn.XLOOKUP(B521&amp;S521,'净-价格-毛利'!A:A&amp;'净-价格-毛利'!B:B,'净-价格-毛利'!D:D,0)</f>
      </c>
      <c r="E521" s="81">
        <f t="shared" si="529"/>
      </c>
      <c r="F521" s="80" cm="1">
        <f t="array" ref="F521:F521">_xlfn.XLOOKUP(B521&amp;S521,'净-价格-毛利'!A:A&amp;'净-价格-毛利'!B:B,'净-价格-毛利'!C:C,0)</f>
      </c>
      <c r="G521" s="81">
        <f t="shared" si="42"/>
      </c>
      <c r="H521" s="81">
        <v>0.68</v>
      </c>
      <c r="I521" s="81">
        <f t="shared" si="158"/>
      </c>
      <c r="J521" s="81">
        <f t="shared" si="216"/>
      </c>
      <c r="K521" s="83">
        <f t="shared" si="285"/>
      </c>
      <c r="L521" s="81">
        <f t="shared" si="354"/>
      </c>
      <c r="M521" s="81">
        <f t="shared" si="413"/>
      </c>
      <c r="N521" s="83">
        <f t="shared" si="586"/>
      </c>
      <c r="O521" s="95">
        <v>0</v>
      </c>
      <c r="P521" s="95">
        <f t="shared" si="472"/>
      </c>
      <c r="Q521" s="85">
        <f t="shared" si="644"/>
      </c>
      <c r="R521" s="85">
        <f t="shared" si="99"/>
      </c>
      <c r="S521" s="97" t="s">
        <v>141</v>
      </c>
    </row>
    <row customHeight="true" ht="23.703703703703702" r="522">
      <c r="A522" s="93">
        <v>46095</v>
      </c>
      <c r="B522" s="79" t="s">
        <v>133</v>
      </c>
      <c r="C522" s="79">
        <v>0</v>
      </c>
      <c r="D522" s="94" cm="1">
        <f t="array" ref="D522:D522">_xlfn.XLOOKUP(B522&amp;S522,'净-价格-毛利'!A:A&amp;'净-价格-毛利'!B:B,'净-价格-毛利'!D:D,0)</f>
      </c>
      <c r="E522" s="81">
        <f t="shared" si="529"/>
      </c>
      <c r="F522" s="80" cm="1">
        <f t="array" ref="F522:F522">_xlfn.XLOOKUP(B522&amp;S522,'净-价格-毛利'!A:A&amp;'净-价格-毛利'!B:B,'净-价格-毛利'!C:C,0)</f>
      </c>
      <c r="G522" s="81">
        <f t="shared" si="42"/>
      </c>
      <c r="H522" s="81">
        <v>16.88</v>
      </c>
      <c r="I522" s="81">
        <f t="shared" si="158"/>
      </c>
      <c r="J522" s="81">
        <f t="shared" si="216"/>
      </c>
      <c r="K522" s="83">
        <f t="shared" si="285"/>
      </c>
      <c r="L522" s="81">
        <f t="shared" si="354"/>
      </c>
      <c r="M522" s="81">
        <f t="shared" si="413"/>
      </c>
      <c r="N522" s="83">
        <f t="shared" si="586"/>
      </c>
      <c r="O522" s="95">
        <v>0</v>
      </c>
      <c r="P522" s="95">
        <f t="shared" si="472"/>
      </c>
      <c r="Q522" s="85">
        <f t="shared" si="644"/>
      </c>
      <c r="R522" s="85">
        <f t="shared" si="99"/>
      </c>
      <c r="S522" s="97" t="s">
        <v>145</v>
      </c>
    </row>
    <row customHeight="true" ht="23.703703703703702" r="523">
      <c r="A523" s="93">
        <v>46095</v>
      </c>
      <c r="B523" s="79" t="s">
        <v>134</v>
      </c>
      <c r="C523" s="79">
        <v>0</v>
      </c>
      <c r="D523" s="94" cm="1">
        <f t="array" ref="D523:D523">_xlfn.XLOOKUP(B523&amp;S523,'净-价格-毛利'!A:A&amp;'净-价格-毛利'!B:B,'净-价格-毛利'!D:D,0)</f>
      </c>
      <c r="E523" s="81">
        <f t="shared" si="529"/>
      </c>
      <c r="F523" s="80" cm="1">
        <f t="array" ref="F523:F523">_xlfn.XLOOKUP(B523&amp;S523,'净-价格-毛利'!A:A&amp;'净-价格-毛利'!B:B,'净-价格-毛利'!C:C,0)</f>
      </c>
      <c r="G523" s="81">
        <f t="shared" si="42"/>
      </c>
      <c r="H523" s="81">
        <v>33.12</v>
      </c>
      <c r="I523" s="81">
        <f t="shared" si="158"/>
      </c>
      <c r="J523" s="81">
        <f t="shared" si="216"/>
      </c>
      <c r="K523" s="83">
        <f t="shared" si="285"/>
      </c>
      <c r="L523" s="81">
        <f t="shared" si="354"/>
      </c>
      <c r="M523" s="81">
        <f t="shared" si="413"/>
      </c>
      <c r="N523" s="83">
        <f t="shared" si="586"/>
      </c>
      <c r="O523" s="95">
        <v>0</v>
      </c>
      <c r="P523" s="95">
        <f t="shared" si="472"/>
      </c>
      <c r="Q523" s="85">
        <f t="shared" si="644"/>
      </c>
      <c r="R523" s="85">
        <f t="shared" si="99"/>
      </c>
      <c r="S523" s="97" t="s">
        <v>145</v>
      </c>
    </row>
    <row customHeight="true" ht="23.703703703703702" r="524">
      <c r="A524" s="93">
        <v>46095</v>
      </c>
      <c r="B524" s="79" t="s">
        <v>136</v>
      </c>
      <c r="C524" s="79">
        <v>1</v>
      </c>
      <c r="D524" s="94" cm="1">
        <f t="array" ref="D524:D524">_xlfn.XLOOKUP(B524&amp;S524,'净-价格-毛利'!A:A&amp;'净-价格-毛利'!B:B,'净-价格-毛利'!D:D,0)</f>
      </c>
      <c r="E524" s="81">
        <f t="shared" si="529"/>
      </c>
      <c r="F524" s="80" cm="1">
        <f t="array" ref="F524:F524">_xlfn.XLOOKUP(B524&amp;S524,'净-价格-毛利'!A:A&amp;'净-价格-毛利'!B:B,'净-价格-毛利'!C:C,0)</f>
      </c>
      <c r="G524" s="81">
        <f t="shared" si="42"/>
      </c>
      <c r="H524" s="81">
        <v>34</v>
      </c>
      <c r="I524" s="81">
        <f t="shared" si="158"/>
      </c>
      <c r="J524" s="81">
        <f t="shared" si="216"/>
      </c>
      <c r="K524" s="83">
        <f t="shared" si="285"/>
      </c>
      <c r="L524" s="81">
        <f>J524*9</f>
      </c>
      <c r="M524" s="81">
        <f>E524*9</f>
      </c>
      <c r="N524" s="83">
        <f t="shared" si="586"/>
      </c>
      <c r="O524" s="95">
        <v>0</v>
      </c>
      <c r="P524" s="95">
        <f t="shared" si="472"/>
      </c>
      <c r="Q524" s="85">
        <f t="shared" si="644"/>
      </c>
      <c r="R524" s="85">
        <f t="shared" si="99"/>
      </c>
      <c r="S524" s="97" t="s">
        <v>141</v>
      </c>
    </row>
    <row customHeight="true" ht="23.703703703703702" r="525">
      <c r="A525" s="93">
        <v>46095</v>
      </c>
      <c r="B525" s="79" t="s">
        <v>137</v>
      </c>
      <c r="C525" s="79"/>
      <c r="D525" s="94" cm="1">
        <f t="array" ref="D525:D525">_xlfn.XLOOKUP(B525&amp;S525,'净-价格-毛利'!A:A&amp;'净-价格-毛利'!B:B,'净-价格-毛利'!D:D,0)</f>
      </c>
      <c r="E525" s="81">
        <f t="shared" si="529"/>
      </c>
      <c r="F525" s="80" cm="1">
        <f t="array" ref="F525:F525">_xlfn.XLOOKUP(B525&amp;S525,'净-价格-毛利'!A:A&amp;'净-价格-毛利'!B:B,'净-价格-毛利'!C:C,0)</f>
      </c>
      <c r="G525" s="81"/>
      <c r="H525" s="81"/>
      <c r="I525" s="81">
        <f t="shared" si="158"/>
      </c>
      <c r="J525" s="81">
        <f>C525*F525-H525-I525</f>
      </c>
      <c r="K525" s="83">
        <f t="shared" si="285"/>
      </c>
      <c r="L525" s="81">
        <f>J525*7</f>
      </c>
      <c r="M525" s="81">
        <f>E525*7</f>
      </c>
      <c r="N525" s="83">
        <f t="shared" si="586"/>
      </c>
      <c r="O525" s="84"/>
      <c r="P525" s="84">
        <f t="shared" si="472"/>
      </c>
      <c r="Q525" s="85">
        <f t="shared" si="644"/>
      </c>
      <c r="R525" s="85"/>
      <c r="S525" s="96"/>
    </row>
    <row customHeight="true" ht="23.703703703703702" r="526">
      <c r="A526" s="93">
        <v>46095</v>
      </c>
      <c r="B526" s="79" t="s">
        <v>111</v>
      </c>
      <c r="C526" s="79">
        <f>SUM(C520:C525)</f>
      </c>
      <c r="D526" s="89"/>
      <c r="E526" s="81">
        <f>SUM(E520:E525)</f>
      </c>
      <c r="F526" s="82">
        <f>SUM(F520:F524)</f>
      </c>
      <c r="G526" s="81"/>
      <c r="H526" s="81"/>
      <c r="I526" s="81"/>
      <c r="J526" s="81">
        <f>SUM(J520:J525)</f>
      </c>
      <c r="K526" s="83">
        <f t="shared" si="285"/>
      </c>
      <c r="L526" s="81">
        <f>SUM(L520:L525)</f>
      </c>
      <c r="M526" s="81">
        <f>SUM(M520:M525)</f>
      </c>
      <c r="N526" s="83"/>
      <c r="O526" s="95">
        <f>SUM(O520:O524)</f>
      </c>
      <c r="P526" s="95">
        <f t="shared" si="472"/>
      </c>
      <c r="Q526" s="85">
        <f t="shared" si="644"/>
      </c>
      <c r="R526" s="85"/>
      <c r="S526" s="89"/>
    </row>
    <row customHeight="true" ht="23.703703703703702" r="527">
      <c r="B527" s="77" t="s">
        <v>138</v>
      </c>
    </row>
    <row customHeight="true" ht="23.703703703703702" r="528">
      <c r="A528" s="71" t="s">
        <v>152</v>
      </c>
      <c r="B528" s="72" t="s">
        <v>112</v>
      </c>
      <c r="C528" s="90" t="s">
        <v>113</v>
      </c>
      <c r="D528" s="72" t="s">
        <v>114</v>
      </c>
      <c r="E528" s="73" t="s">
        <v>115</v>
      </c>
      <c r="F528" s="74" t="s">
        <v>116</v>
      </c>
      <c r="G528" s="73" t="s">
        <v>117</v>
      </c>
      <c r="H528" s="91" t="s">
        <v>118</v>
      </c>
      <c r="I528" s="73" t="s">
        <v>119</v>
      </c>
      <c r="J528" s="73" t="s">
        <v>116</v>
      </c>
      <c r="K528" s="75" t="s">
        <v>120</v>
      </c>
      <c r="L528" s="73" t="s">
        <v>121</v>
      </c>
      <c r="M528" s="73" t="s">
        <v>122</v>
      </c>
      <c r="N528" s="72" t="s">
        <v>123</v>
      </c>
      <c r="O528" s="92" t="s">
        <v>124</v>
      </c>
      <c r="P528" s="76" t="s">
        <v>125</v>
      </c>
      <c r="Q528" s="75" t="s">
        <v>126</v>
      </c>
      <c r="R528" s="75" t="s">
        <v>127</v>
      </c>
      <c r="S528" s="75" t="s">
        <v>140</v>
      </c>
    </row>
    <row customHeight="true" ht="23.703703703703702" r="529">
      <c r="A529" s="93">
        <v>46096</v>
      </c>
      <c r="B529" s="79" t="s">
        <v>130</v>
      </c>
      <c r="C529" s="79">
        <v>0</v>
      </c>
      <c r="D529" s="94" cm="1">
        <f t="array" ref="D529:D529">_xlfn.XLOOKUP(B529&amp;S529,'净-价格-毛利'!A:A&amp;'净-价格-毛利'!B:B,'净-价格-毛利'!D:D,0)</f>
      </c>
      <c r="E529" s="81">
        <f t="shared" ref="E529:E534" si="530">C529*D529</f>
      </c>
      <c r="F529" s="80" cm="1">
        <f t="array" ref="F529:F529">_xlfn.XLOOKUP(B529&amp;S529,'净-价格-毛利'!A:A&amp;'净-价格-毛利'!B:B,'净-价格-毛利'!C:C,0)</f>
      </c>
      <c r="G529" s="81">
        <f t="shared" ref="G529:G533" si="43">C529*5</f>
      </c>
      <c r="H529" s="81">
        <v>12.9</v>
      </c>
      <c r="I529" s="81">
        <f t="shared" ref="I529:I534" si="159">E529*0.025</f>
      </c>
      <c r="J529" s="81">
        <f t="shared" ref="J529:J533" si="217">F529*C529+G529-H529-I529</f>
      </c>
      <c r="K529" s="83">
        <f t="shared" ref="K529:K535" si="286">IFERROR(J529/E529,0)</f>
      </c>
      <c r="L529" s="81">
        <f t="shared" ref="L529:L532" si="355">J529*8</f>
      </c>
      <c r="M529" s="81">
        <f t="shared" ref="M529:M532" si="414">E529*8</f>
      </c>
      <c r="N529" s="83">
        <f t="shared" ref="N529:N534" si="587">IFERROR(H529/E529,0)</f>
      </c>
      <c r="O529" s="95">
        <v>0</v>
      </c>
      <c r="P529" s="95">
        <f t="shared" ref="P529:P535" si="473">C529-O529</f>
      </c>
      <c r="Q529" s="85">
        <f t="shared" ref="Q529:Q535" si="645">IFERROR(O529/C529,0)</f>
      </c>
      <c r="R529" s="85">
        <f t="shared" ref="R529:R533" si="100">IFERROR(H529/(E529*Q529),0)</f>
      </c>
      <c r="S529" s="97" t="s">
        <v>160</v>
      </c>
    </row>
    <row customHeight="true" ht="23.703703703703702" r="530">
      <c r="A530" s="93">
        <v>46096</v>
      </c>
      <c r="B530" s="79" t="s">
        <v>131</v>
      </c>
      <c r="C530" s="79">
        <v>0</v>
      </c>
      <c r="D530" s="94" cm="1">
        <f t="array" ref="D530:D530">_xlfn.XLOOKUP(B530&amp;S530,'净-价格-毛利'!A:A&amp;'净-价格-毛利'!B:B,'净-价格-毛利'!D:D,0)</f>
      </c>
      <c r="E530" s="81">
        <f t="shared" si="530"/>
      </c>
      <c r="F530" s="80" cm="1">
        <f t="array" ref="F530:F530">_xlfn.XLOOKUP(B530&amp;S530,'净-价格-毛利'!A:A&amp;'净-价格-毛利'!B:B,'净-价格-毛利'!C:C,0)</f>
      </c>
      <c r="G530" s="81">
        <f t="shared" si="43"/>
      </c>
      <c r="H530" s="81">
        <v>2.04</v>
      </c>
      <c r="I530" s="81">
        <f t="shared" si="159"/>
      </c>
      <c r="J530" s="81">
        <f t="shared" si="217"/>
      </c>
      <c r="K530" s="83">
        <f t="shared" si="286"/>
      </c>
      <c r="L530" s="81">
        <f t="shared" si="355"/>
      </c>
      <c r="M530" s="81">
        <f t="shared" si="414"/>
      </c>
      <c r="N530" s="83">
        <f t="shared" si="587"/>
      </c>
      <c r="O530" s="95">
        <v>0</v>
      </c>
      <c r="P530" s="95">
        <f t="shared" si="473"/>
      </c>
      <c r="Q530" s="85">
        <f t="shared" si="645"/>
      </c>
      <c r="R530" s="85">
        <f t="shared" si="100"/>
      </c>
      <c r="S530" s="97" t="s">
        <v>141</v>
      </c>
    </row>
    <row customHeight="true" ht="23.703703703703702" r="531">
      <c r="A531" s="93">
        <v>46096</v>
      </c>
      <c r="B531" s="79" t="s">
        <v>133</v>
      </c>
      <c r="C531" s="79">
        <v>2</v>
      </c>
      <c r="D531" s="94" cm="1">
        <f t="array" ref="D531:D531">_xlfn.XLOOKUP(B531&amp;S531,'净-价格-毛利'!A:A&amp;'净-价格-毛利'!B:B,'净-价格-毛利'!D:D,0)</f>
      </c>
      <c r="E531" s="81">
        <f t="shared" si="530"/>
      </c>
      <c r="F531" s="80" cm="1">
        <f t="array" ref="F531:F531">_xlfn.XLOOKUP(B531&amp;S531,'净-价格-毛利'!A:A&amp;'净-价格-毛利'!B:B,'净-价格-毛利'!C:C,0)</f>
      </c>
      <c r="G531" s="81">
        <f t="shared" si="43"/>
      </c>
      <c r="H531" s="81">
        <v>21.24</v>
      </c>
      <c r="I531" s="81">
        <f t="shared" si="159"/>
      </c>
      <c r="J531" s="81">
        <f t="shared" si="217"/>
      </c>
      <c r="K531" s="83">
        <f t="shared" si="286"/>
      </c>
      <c r="L531" s="81">
        <f t="shared" si="355"/>
      </c>
      <c r="M531" s="81">
        <f t="shared" si="414"/>
      </c>
      <c r="N531" s="83">
        <f t="shared" si="587"/>
      </c>
      <c r="O531" s="95">
        <v>1</v>
      </c>
      <c r="P531" s="95">
        <f t="shared" si="473"/>
      </c>
      <c r="Q531" s="85">
        <f t="shared" si="645"/>
      </c>
      <c r="R531" s="85">
        <f t="shared" si="100"/>
      </c>
      <c r="S531" s="97" t="s">
        <v>145</v>
      </c>
    </row>
    <row customHeight="true" ht="23.703703703703702" r="532">
      <c r="A532" s="93">
        <v>46096</v>
      </c>
      <c r="B532" s="79" t="s">
        <v>134</v>
      </c>
      <c r="C532" s="79">
        <v>1</v>
      </c>
      <c r="D532" s="94" cm="1">
        <f t="array" ref="D532:D532">_xlfn.XLOOKUP(B532&amp;S532,'净-价格-毛利'!A:A&amp;'净-价格-毛利'!B:B,'净-价格-毛利'!D:D,0)</f>
      </c>
      <c r="E532" s="81">
        <f t="shared" si="530"/>
      </c>
      <c r="F532" s="80" cm="1">
        <f t="array" ref="F532:F532">_xlfn.XLOOKUP(B532&amp;S532,'净-价格-毛利'!A:A&amp;'净-价格-毛利'!B:B,'净-价格-毛利'!C:C,0)</f>
      </c>
      <c r="G532" s="81">
        <f t="shared" si="43"/>
      </c>
      <c r="H532" s="81">
        <v>47.34</v>
      </c>
      <c r="I532" s="81">
        <f t="shared" si="159"/>
      </c>
      <c r="J532" s="81">
        <f t="shared" si="217"/>
      </c>
      <c r="K532" s="83">
        <f t="shared" si="286"/>
      </c>
      <c r="L532" s="81">
        <f t="shared" si="355"/>
      </c>
      <c r="M532" s="81">
        <f t="shared" si="414"/>
      </c>
      <c r="N532" s="83">
        <f t="shared" si="587"/>
      </c>
      <c r="O532" s="95">
        <v>0</v>
      </c>
      <c r="P532" s="95">
        <f t="shared" si="473"/>
      </c>
      <c r="Q532" s="85">
        <f t="shared" si="645"/>
      </c>
      <c r="R532" s="85">
        <f t="shared" si="100"/>
      </c>
      <c r="S532" s="97" t="s">
        <v>145</v>
      </c>
    </row>
    <row customHeight="true" ht="23.703703703703702" r="533">
      <c r="A533" s="93">
        <v>46096</v>
      </c>
      <c r="B533" s="79" t="s">
        <v>136</v>
      </c>
      <c r="C533" s="79">
        <v>2</v>
      </c>
      <c r="D533" s="94" cm="1">
        <f t="array" ref="D533:D533">_xlfn.XLOOKUP(B533&amp;S533,'净-价格-毛利'!A:A&amp;'净-价格-毛利'!B:B,'净-价格-毛利'!D:D,0)</f>
      </c>
      <c r="E533" s="81">
        <f t="shared" si="530"/>
      </c>
      <c r="F533" s="80" cm="1">
        <f t="array" ref="F533:F533">_xlfn.XLOOKUP(B533&amp;S533,'净-价格-毛利'!A:A&amp;'净-价格-毛利'!B:B,'净-价格-毛利'!C:C,0)</f>
      </c>
      <c r="G533" s="81">
        <f t="shared" si="43"/>
      </c>
      <c r="H533" s="81">
        <v>14</v>
      </c>
      <c r="I533" s="81">
        <f t="shared" si="159"/>
      </c>
      <c r="J533" s="81">
        <f t="shared" si="217"/>
      </c>
      <c r="K533" s="83">
        <f t="shared" si="286"/>
      </c>
      <c r="L533" s="81">
        <f>J533*9</f>
      </c>
      <c r="M533" s="81">
        <f>E533*9</f>
      </c>
      <c r="N533" s="83">
        <f t="shared" si="587"/>
      </c>
      <c r="O533" s="95">
        <v>1</v>
      </c>
      <c r="P533" s="95">
        <f t="shared" si="473"/>
      </c>
      <c r="Q533" s="85">
        <f t="shared" si="645"/>
      </c>
      <c r="R533" s="85">
        <f t="shared" si="100"/>
      </c>
      <c r="S533" s="97" t="s">
        <v>141</v>
      </c>
    </row>
    <row customHeight="true" ht="23.703703703703702" r="534">
      <c r="A534" s="93">
        <v>46096</v>
      </c>
      <c r="B534" s="79" t="s">
        <v>137</v>
      </c>
      <c r="C534" s="79"/>
      <c r="D534" s="94" cm="1">
        <f t="array" ref="D534:D534">_xlfn.XLOOKUP(B534&amp;S534,'净-价格-毛利'!A:A&amp;'净-价格-毛利'!B:B,'净-价格-毛利'!D:D,0)</f>
      </c>
      <c r="E534" s="81">
        <f t="shared" si="530"/>
      </c>
      <c r="F534" s="80" cm="1">
        <f t="array" ref="F534:F534">_xlfn.XLOOKUP(B534&amp;S534,'净-价格-毛利'!A:A&amp;'净-价格-毛利'!B:B,'净-价格-毛利'!C:C,0)</f>
      </c>
      <c r="G534" s="81"/>
      <c r="H534" s="81"/>
      <c r="I534" s="81">
        <f t="shared" si="159"/>
      </c>
      <c r="J534" s="81">
        <f>C534*F534-H534-I534</f>
      </c>
      <c r="K534" s="83">
        <f t="shared" si="286"/>
      </c>
      <c r="L534" s="81">
        <f>J534*7</f>
      </c>
      <c r="M534" s="81">
        <f>E534*7</f>
      </c>
      <c r="N534" s="83">
        <f t="shared" si="587"/>
      </c>
      <c r="O534" s="84"/>
      <c r="P534" s="84">
        <f t="shared" si="473"/>
      </c>
      <c r="Q534" s="85">
        <f t="shared" si="645"/>
      </c>
      <c r="R534" s="85"/>
      <c r="S534" s="96"/>
    </row>
    <row customHeight="true" ht="23.703703703703702" r="535">
      <c r="A535" s="93">
        <v>46096</v>
      </c>
      <c r="B535" s="79" t="s">
        <v>111</v>
      </c>
      <c r="C535" s="79">
        <f>SUM(C529:C534)</f>
      </c>
      <c r="D535" s="89"/>
      <c r="E535" s="81">
        <f>SUM(E529:E534)</f>
      </c>
      <c r="F535" s="82">
        <f>SUM(F529:F533)</f>
      </c>
      <c r="G535" s="81"/>
      <c r="H535" s="81"/>
      <c r="I535" s="81"/>
      <c r="J535" s="81">
        <f>SUM(J529:J534)</f>
      </c>
      <c r="K535" s="83">
        <f t="shared" si="286"/>
      </c>
      <c r="L535" s="81">
        <f>SUM(L529:L534)</f>
      </c>
      <c r="M535" s="81">
        <f>SUM(M529:M534)</f>
      </c>
      <c r="N535" s="83"/>
      <c r="O535" s="95">
        <f>SUM(O529:O533)</f>
      </c>
      <c r="P535" s="95">
        <f t="shared" si="473"/>
      </c>
      <c r="Q535" s="85">
        <f t="shared" si="645"/>
      </c>
      <c r="R535" s="85"/>
      <c r="S535" s="89"/>
    </row>
    <row customHeight="true" ht="23.703703703703702" r="536">
      <c r="B536" s="77" t="s">
        <v>138</v>
      </c>
    </row>
    <row customHeight="true" ht="23.703703703703702" r="537">
      <c r="A537" s="71" t="s">
        <v>152</v>
      </c>
      <c r="B537" s="72" t="s">
        <v>112</v>
      </c>
      <c r="C537" s="90" t="s">
        <v>113</v>
      </c>
      <c r="D537" s="72" t="s">
        <v>114</v>
      </c>
      <c r="E537" s="73" t="s">
        <v>115</v>
      </c>
      <c r="F537" s="74" t="s">
        <v>116</v>
      </c>
      <c r="G537" s="73" t="s">
        <v>117</v>
      </c>
      <c r="H537" s="91" t="s">
        <v>118</v>
      </c>
      <c r="I537" s="73" t="s">
        <v>119</v>
      </c>
      <c r="J537" s="73" t="s">
        <v>116</v>
      </c>
      <c r="K537" s="75" t="s">
        <v>120</v>
      </c>
      <c r="L537" s="73" t="s">
        <v>121</v>
      </c>
      <c r="M537" s="73" t="s">
        <v>122</v>
      </c>
      <c r="N537" s="72" t="s">
        <v>123</v>
      </c>
      <c r="O537" s="92" t="s">
        <v>124</v>
      </c>
      <c r="P537" s="76" t="s">
        <v>125</v>
      </c>
      <c r="Q537" s="75" t="s">
        <v>126</v>
      </c>
      <c r="R537" s="75" t="s">
        <v>127</v>
      </c>
      <c r="S537" s="75" t="s">
        <v>140</v>
      </c>
    </row>
    <row customHeight="true" ht="23.703703703703702" r="538">
      <c r="A538" s="93">
        <v>46097</v>
      </c>
      <c r="B538" s="79" t="s">
        <v>130</v>
      </c>
      <c r="C538" s="79">
        <v>2</v>
      </c>
      <c r="D538" s="94" cm="1">
        <f t="array" ref="D538:D538">_xlfn.XLOOKUP(B538&amp;S538,'净-价格-毛利'!A:A&amp;'净-价格-毛利'!B:B,'净-价格-毛利'!D:D,0)</f>
      </c>
      <c r="E538" s="81">
        <f t="shared" ref="E538:E543" si="531">C538*D538</f>
      </c>
      <c r="F538" s="80" cm="1">
        <f t="array" ref="F538:F538">_xlfn.XLOOKUP(B538&amp;S538,'净-价格-毛利'!A:A&amp;'净-价格-毛利'!B:B,'净-价格-毛利'!C:C,0)</f>
      </c>
      <c r="G538" s="81">
        <f t="shared" ref="G538:G542" si="44">C538*5</f>
      </c>
      <c r="H538" s="81">
        <v>5.16</v>
      </c>
      <c r="I538" s="81">
        <f t="shared" ref="I538:I543" si="160">E538*0.025</f>
      </c>
      <c r="J538" s="81">
        <f t="shared" ref="J538:J542" si="218">F538*C538+G538-H538-I538</f>
      </c>
      <c r="K538" s="83">
        <f t="shared" ref="K538:K544" si="287">IFERROR(J538/E538,0)</f>
      </c>
      <c r="L538" s="81">
        <f t="shared" ref="L538:L541" si="356">J538*8</f>
      </c>
      <c r="M538" s="81">
        <f t="shared" ref="M538:M541" si="415">E538*8</f>
      </c>
      <c r="N538" s="83">
        <f t="shared" ref="N538:N543" si="588">IFERROR(H538/E538,0)</f>
      </c>
      <c r="O538" s="95">
        <v>0</v>
      </c>
      <c r="P538" s="95">
        <f t="shared" ref="P538:P544" si="474">C538-O538</f>
      </c>
      <c r="Q538" s="85">
        <f t="shared" ref="Q538:Q544" si="646">IFERROR(O538/C538,0)</f>
      </c>
      <c r="R538" s="85">
        <f t="shared" ref="R538:R542" si="101">IFERROR(H538/(E538*Q538),0)</f>
      </c>
      <c r="S538" s="97" t="s">
        <v>160</v>
      </c>
    </row>
    <row customHeight="true" ht="23.703703703703702" r="539">
      <c r="A539" s="93">
        <v>46097</v>
      </c>
      <c r="B539" s="79" t="s">
        <v>131</v>
      </c>
      <c r="C539" s="79">
        <v>0</v>
      </c>
      <c r="D539" s="94" cm="1">
        <f t="array" ref="D539:D539">_xlfn.XLOOKUP(B539&amp;S539,'净-价格-毛利'!A:A&amp;'净-价格-毛利'!B:B,'净-价格-毛利'!D:D,0)</f>
      </c>
      <c r="E539" s="81">
        <f t="shared" si="531"/>
      </c>
      <c r="F539" s="80" cm="1">
        <f t="array" ref="F539:F539">_xlfn.XLOOKUP(B539&amp;S539,'净-价格-毛利'!A:A&amp;'净-价格-毛利'!B:B,'净-价格-毛利'!C:C,0)</f>
      </c>
      <c r="G539" s="81">
        <f t="shared" si="44"/>
      </c>
      <c r="H539" s="81">
        <v>3.37</v>
      </c>
      <c r="I539" s="81">
        <f t="shared" si="160"/>
      </c>
      <c r="J539" s="81">
        <f t="shared" si="218"/>
      </c>
      <c r="K539" s="83">
        <f t="shared" si="287"/>
      </c>
      <c r="L539" s="81">
        <f t="shared" si="356"/>
      </c>
      <c r="M539" s="81">
        <f t="shared" si="415"/>
      </c>
      <c r="N539" s="83">
        <f t="shared" si="588"/>
      </c>
      <c r="O539" s="95">
        <v>0</v>
      </c>
      <c r="P539" s="95">
        <f t="shared" si="474"/>
      </c>
      <c r="Q539" s="85">
        <f t="shared" si="646"/>
      </c>
      <c r="R539" s="85">
        <f t="shared" si="101"/>
      </c>
      <c r="S539" s="97" t="s">
        <v>141</v>
      </c>
    </row>
    <row customHeight="true" ht="23.703703703703702" r="540">
      <c r="A540" s="93">
        <v>46097</v>
      </c>
      <c r="B540" s="79" t="s">
        <v>133</v>
      </c>
      <c r="C540" s="79">
        <v>1</v>
      </c>
      <c r="D540" s="94" cm="1">
        <f t="array" ref="D540:D540">_xlfn.XLOOKUP(B540&amp;S540,'净-价格-毛利'!A:A&amp;'净-价格-毛利'!B:B,'净-价格-毛利'!D:D,0)</f>
      </c>
      <c r="E540" s="81">
        <f t="shared" si="531"/>
      </c>
      <c r="F540" s="80" cm="1">
        <f t="array" ref="F540:F540">_xlfn.XLOOKUP(B540&amp;S540,'净-价格-毛利'!A:A&amp;'净-价格-毛利'!B:B,'净-价格-毛利'!C:C,0)</f>
      </c>
      <c r="G540" s="81">
        <f t="shared" si="44"/>
      </c>
      <c r="H540" s="81">
        <v>21.69</v>
      </c>
      <c r="I540" s="81">
        <f t="shared" si="160"/>
      </c>
      <c r="J540" s="81">
        <f t="shared" si="218"/>
      </c>
      <c r="K540" s="83">
        <f t="shared" si="287"/>
      </c>
      <c r="L540" s="81">
        <f t="shared" si="356"/>
      </c>
      <c r="M540" s="81">
        <f t="shared" si="415"/>
      </c>
      <c r="N540" s="83">
        <f t="shared" si="588"/>
      </c>
      <c r="O540" s="95">
        <v>1</v>
      </c>
      <c r="P540" s="95">
        <f t="shared" si="474"/>
      </c>
      <c r="Q540" s="85">
        <f t="shared" si="646"/>
      </c>
      <c r="R540" s="85">
        <f t="shared" si="101"/>
      </c>
      <c r="S540" s="97" t="s">
        <v>158</v>
      </c>
    </row>
    <row customHeight="true" ht="23.703703703703702" r="541">
      <c r="A541" s="93">
        <v>46097</v>
      </c>
      <c r="B541" s="79" t="s">
        <v>134</v>
      </c>
      <c r="C541" s="79">
        <v>1</v>
      </c>
      <c r="D541" s="94" cm="1">
        <f t="array" ref="D541:D541">_xlfn.XLOOKUP(B541&amp;S541,'净-价格-毛利'!A:A&amp;'净-价格-毛利'!B:B,'净-价格-毛利'!D:D,0)</f>
      </c>
      <c r="E541" s="81">
        <f t="shared" si="531"/>
      </c>
      <c r="F541" s="80" cm="1">
        <f t="array" ref="F541:F541">_xlfn.XLOOKUP(B541&amp;S541,'净-价格-毛利'!A:A&amp;'净-价格-毛利'!B:B,'净-价格-毛利'!C:C,0)</f>
      </c>
      <c r="G541" s="81">
        <f t="shared" si="44"/>
      </c>
      <c r="H541" s="81">
        <v>56.88</v>
      </c>
      <c r="I541" s="81">
        <f t="shared" si="160"/>
      </c>
      <c r="J541" s="81">
        <f t="shared" si="218"/>
      </c>
      <c r="K541" s="83">
        <f t="shared" si="287"/>
      </c>
      <c r="L541" s="81">
        <f t="shared" si="356"/>
      </c>
      <c r="M541" s="81">
        <f t="shared" si="415"/>
      </c>
      <c r="N541" s="83">
        <f t="shared" si="588"/>
      </c>
      <c r="O541" s="95">
        <v>2</v>
      </c>
      <c r="P541" s="95">
        <f t="shared" si="474"/>
      </c>
      <c r="Q541" s="85">
        <f t="shared" si="646"/>
      </c>
      <c r="R541" s="85">
        <f t="shared" si="101"/>
      </c>
      <c r="S541" s="97" t="s">
        <v>158</v>
      </c>
    </row>
    <row customHeight="true" ht="23.703703703703702" r="542">
      <c r="A542" s="93">
        <v>46097</v>
      </c>
      <c r="B542" s="79" t="s">
        <v>136</v>
      </c>
      <c r="C542" s="79">
        <v>4</v>
      </c>
      <c r="D542" s="94" cm="1">
        <f t="array" ref="D542:D542">_xlfn.XLOOKUP(B542&amp;S542,'净-价格-毛利'!A:A&amp;'净-价格-毛利'!B:B,'净-价格-毛利'!D:D,0)</f>
      </c>
      <c r="E542" s="81">
        <f t="shared" si="531"/>
      </c>
      <c r="F542" s="80" cm="1">
        <f t="array" ref="F542:F542">_xlfn.XLOOKUP(B542&amp;S542,'净-价格-毛利'!A:A&amp;'净-价格-毛利'!B:B,'净-价格-毛利'!C:C,0)</f>
      </c>
      <c r="G542" s="81">
        <f t="shared" si="44"/>
      </c>
      <c r="H542" s="81">
        <v>19.25</v>
      </c>
      <c r="I542" s="81">
        <f t="shared" si="160"/>
      </c>
      <c r="J542" s="81">
        <f t="shared" si="218"/>
      </c>
      <c r="K542" s="83">
        <f t="shared" si="287"/>
      </c>
      <c r="L542" s="81">
        <f>J542*9</f>
      </c>
      <c r="M542" s="81">
        <f>E542*9</f>
      </c>
      <c r="N542" s="83">
        <f t="shared" si="588"/>
      </c>
      <c r="O542" s="95">
        <v>1</v>
      </c>
      <c r="P542" s="95">
        <f t="shared" si="474"/>
      </c>
      <c r="Q542" s="85">
        <f t="shared" si="646"/>
      </c>
      <c r="R542" s="85">
        <f t="shared" si="101"/>
      </c>
      <c r="S542" s="97" t="s">
        <v>141</v>
      </c>
    </row>
    <row customHeight="true" ht="23.703703703703702" r="543">
      <c r="A543" s="93">
        <v>46097</v>
      </c>
      <c r="B543" s="79" t="s">
        <v>137</v>
      </c>
      <c r="C543" s="79"/>
      <c r="D543" s="94" cm="1">
        <f t="array" ref="D543:D543">_xlfn.XLOOKUP(B543&amp;S543,'净-价格-毛利'!A:A&amp;'净-价格-毛利'!B:B,'净-价格-毛利'!D:D,0)</f>
      </c>
      <c r="E543" s="81">
        <f t="shared" si="531"/>
      </c>
      <c r="F543" s="80" cm="1">
        <f t="array" ref="F543:F543">_xlfn.XLOOKUP(B543&amp;S543,'净-价格-毛利'!A:A&amp;'净-价格-毛利'!B:B,'净-价格-毛利'!C:C,0)</f>
      </c>
      <c r="G543" s="81"/>
      <c r="H543" s="81"/>
      <c r="I543" s="81">
        <f t="shared" si="160"/>
      </c>
      <c r="J543" s="81">
        <f>C543*F543-H543-I543</f>
      </c>
      <c r="K543" s="83">
        <f t="shared" si="287"/>
      </c>
      <c r="L543" s="81">
        <f>J543*7</f>
      </c>
      <c r="M543" s="81">
        <f>E543*7</f>
      </c>
      <c r="N543" s="83">
        <f t="shared" si="588"/>
      </c>
      <c r="O543" s="84"/>
      <c r="P543" s="84">
        <f t="shared" si="474"/>
      </c>
      <c r="Q543" s="85">
        <f t="shared" si="646"/>
      </c>
      <c r="R543" s="85"/>
      <c r="S543" s="96"/>
    </row>
    <row customHeight="true" ht="23.703703703703702" r="544">
      <c r="A544" s="93">
        <v>46097</v>
      </c>
      <c r="B544" s="79" t="s">
        <v>111</v>
      </c>
      <c r="C544" s="79">
        <f>SUM(C538:C543)</f>
      </c>
      <c r="D544" s="89"/>
      <c r="E544" s="81">
        <f>SUM(E538:E543)</f>
      </c>
      <c r="F544" s="82">
        <f>SUM(F538:F542)</f>
      </c>
      <c r="G544" s="81"/>
      <c r="H544" s="81"/>
      <c r="I544" s="81"/>
      <c r="J544" s="81">
        <f>SUM(J538:J543)</f>
      </c>
      <c r="K544" s="83">
        <f t="shared" si="287"/>
      </c>
      <c r="L544" s="81">
        <f>SUM(L538:L543)</f>
      </c>
      <c r="M544" s="81">
        <f>SUM(M538:M543)</f>
      </c>
      <c r="N544" s="83"/>
      <c r="O544" s="95">
        <f>SUM(O538:O542)</f>
      </c>
      <c r="P544" s="95">
        <f t="shared" si="474"/>
      </c>
      <c r="Q544" s="85">
        <f t="shared" si="646"/>
      </c>
      <c r="R544" s="85"/>
      <c r="S544" s="89"/>
    </row>
    <row customHeight="true" ht="23.703703703703702" r="545">
      <c r="B545" s="77" t="s">
        <v>138</v>
      </c>
    </row>
    <row customHeight="true" ht="23.703703703703702" r="546">
      <c r="A546" s="71" t="s">
        <v>152</v>
      </c>
      <c r="B546" s="72" t="s">
        <v>112</v>
      </c>
      <c r="C546" s="90" t="s">
        <v>113</v>
      </c>
      <c r="D546" s="72" t="s">
        <v>114</v>
      </c>
      <c r="E546" s="73" t="s">
        <v>115</v>
      </c>
      <c r="F546" s="74" t="s">
        <v>116</v>
      </c>
      <c r="G546" s="73" t="s">
        <v>117</v>
      </c>
      <c r="H546" s="91" t="s">
        <v>118</v>
      </c>
      <c r="I546" s="73" t="s">
        <v>119</v>
      </c>
      <c r="J546" s="73" t="s">
        <v>116</v>
      </c>
      <c r="K546" s="75" t="s">
        <v>120</v>
      </c>
      <c r="L546" s="73" t="s">
        <v>121</v>
      </c>
      <c r="M546" s="73" t="s">
        <v>122</v>
      </c>
      <c r="N546" s="72" t="s">
        <v>123</v>
      </c>
      <c r="O546" s="92" t="s">
        <v>124</v>
      </c>
      <c r="P546" s="76" t="s">
        <v>125</v>
      </c>
      <c r="Q546" s="75" t="s">
        <v>126</v>
      </c>
      <c r="R546" s="75" t="s">
        <v>127</v>
      </c>
      <c r="S546" s="75" t="s">
        <v>140</v>
      </c>
    </row>
    <row customHeight="true" ht="23.703703703703702" r="547">
      <c r="A547" s="93">
        <v>46098</v>
      </c>
      <c r="B547" s="79" t="s">
        <v>130</v>
      </c>
      <c r="C547" s="79">
        <v>5</v>
      </c>
      <c r="D547" s="94" cm="1">
        <f t="array" ref="D547:D547">_xlfn.XLOOKUP(B547&amp;S547,'净-价格-毛利'!A:A&amp;'净-价格-毛利'!B:B,'净-价格-毛利'!D:D,0)</f>
      </c>
      <c r="E547" s="81">
        <f t="shared" ref="E547:E552" si="532">C547*D547</f>
      </c>
      <c r="F547" s="80" cm="1">
        <f t="array" ref="F547:F547">_xlfn.XLOOKUP(B547&amp;S547,'净-价格-毛利'!A:A&amp;'净-价格-毛利'!B:B,'净-价格-毛利'!C:C,0)</f>
      </c>
      <c r="G547" s="81">
        <f t="shared" ref="G547:G551" si="45">C547*5</f>
      </c>
      <c r="H547" s="81">
        <v>47.49</v>
      </c>
      <c r="I547" s="81">
        <f t="shared" ref="I547:I552" si="161">E547*0.025</f>
      </c>
      <c r="J547" s="81">
        <f t="shared" ref="J547:J551" si="219">F547*C547+G547-H547-I547</f>
      </c>
      <c r="K547" s="83">
        <f t="shared" ref="K547:K553" si="288">IFERROR(J547/E547,0)</f>
      </c>
      <c r="L547" s="81">
        <f t="shared" ref="L547:L550" si="357">J547*8</f>
      </c>
      <c r="M547" s="81">
        <f t="shared" ref="M547:M550" si="416">E547*8</f>
      </c>
      <c r="N547" s="83">
        <f t="shared" ref="N547:N552" si="589">IFERROR(H547/E547,0)</f>
      </c>
      <c r="O547" s="95">
        <v>4</v>
      </c>
      <c r="P547" s="95">
        <f t="shared" ref="P547:P553" si="475">C547-O547</f>
      </c>
      <c r="Q547" s="85">
        <f t="shared" ref="Q547:Q553" si="647">IFERROR(O547/C547,0)</f>
      </c>
      <c r="R547" s="85">
        <f t="shared" ref="R547:R551" si="102">IFERROR(H547/(E547*Q547),0)</f>
      </c>
      <c r="S547" s="97" t="s">
        <v>160</v>
      </c>
    </row>
    <row customHeight="true" ht="23.703703703703702" r="548">
      <c r="A548" s="93">
        <v>46098</v>
      </c>
      <c r="B548" s="79" t="s">
        <v>131</v>
      </c>
      <c r="C548" s="79">
        <v>0</v>
      </c>
      <c r="D548" s="94" cm="1">
        <f t="array" ref="D548:D548">_xlfn.XLOOKUP(B548&amp;S548,'净-价格-毛利'!A:A&amp;'净-价格-毛利'!B:B,'净-价格-毛利'!D:D,0)</f>
      </c>
      <c r="E548" s="81">
        <f t="shared" si="532"/>
      </c>
      <c r="F548" s="80" cm="1">
        <f t="array" ref="F548:F548">_xlfn.XLOOKUP(B548&amp;S548,'净-价格-毛利'!A:A&amp;'净-价格-毛利'!B:B,'净-价格-毛利'!C:C,0)</f>
      </c>
      <c r="G548" s="81">
        <f t="shared" si="45"/>
      </c>
      <c r="H548" s="81">
        <v>3.77</v>
      </c>
      <c r="I548" s="81">
        <f t="shared" si="161"/>
      </c>
      <c r="J548" s="81">
        <f t="shared" si="219"/>
      </c>
      <c r="K548" s="83">
        <f t="shared" si="288"/>
      </c>
      <c r="L548" s="81">
        <f t="shared" si="357"/>
      </c>
      <c r="M548" s="81">
        <f t="shared" si="416"/>
      </c>
      <c r="N548" s="83">
        <f t="shared" si="589"/>
      </c>
      <c r="O548" s="95">
        <v>0</v>
      </c>
      <c r="P548" s="95">
        <f t="shared" si="475"/>
      </c>
      <c r="Q548" s="85">
        <f t="shared" si="647"/>
      </c>
      <c r="R548" s="85">
        <f t="shared" si="102"/>
      </c>
      <c r="S548" s="97" t="s">
        <v>141</v>
      </c>
    </row>
    <row customHeight="true" ht="23.703703703703702" r="549">
      <c r="A549" s="93">
        <v>46098</v>
      </c>
      <c r="B549" s="79" t="s">
        <v>133</v>
      </c>
      <c r="C549" s="79">
        <v>1</v>
      </c>
      <c r="D549" s="94" cm="1">
        <f t="array" ref="D549:D549">_xlfn.XLOOKUP(B549&amp;S549,'净-价格-毛利'!A:A&amp;'净-价格-毛利'!B:B,'净-价格-毛利'!D:D,0)</f>
      </c>
      <c r="E549" s="81">
        <f t="shared" si="532"/>
      </c>
      <c r="F549" s="80" cm="1">
        <f t="array" ref="F549:F549">_xlfn.XLOOKUP(B549&amp;S549,'净-价格-毛利'!A:A&amp;'净-价格-毛利'!B:B,'净-价格-毛利'!C:C,0)</f>
      </c>
      <c r="G549" s="81">
        <f t="shared" si="45"/>
      </c>
      <c r="H549" s="81">
        <v>36.58</v>
      </c>
      <c r="I549" s="81">
        <f t="shared" si="161"/>
      </c>
      <c r="J549" s="81">
        <f t="shared" si="219"/>
      </c>
      <c r="K549" s="83">
        <f t="shared" si="288"/>
      </c>
      <c r="L549" s="81">
        <f t="shared" si="357"/>
      </c>
      <c r="M549" s="81">
        <f t="shared" si="416"/>
      </c>
      <c r="N549" s="83">
        <f t="shared" si="589"/>
      </c>
      <c r="O549" s="95">
        <v>0</v>
      </c>
      <c r="P549" s="95">
        <f t="shared" si="475"/>
      </c>
      <c r="Q549" s="85">
        <f t="shared" si="647"/>
      </c>
      <c r="R549" s="85">
        <f t="shared" si="102"/>
      </c>
      <c r="S549" s="97" t="s">
        <v>158</v>
      </c>
    </row>
    <row customHeight="true" ht="23.703703703703702" r="550">
      <c r="A550" s="93">
        <v>46098</v>
      </c>
      <c r="B550" s="79" t="s">
        <v>134</v>
      </c>
      <c r="C550" s="79">
        <v>6</v>
      </c>
      <c r="D550" s="94" cm="1">
        <f t="array" ref="D550:D550">_xlfn.XLOOKUP(B550&amp;S550,'净-价格-毛利'!A:A&amp;'净-价格-毛利'!B:B,'净-价格-毛利'!D:D,0)</f>
      </c>
      <c r="E550" s="81">
        <f t="shared" si="532"/>
      </c>
      <c r="F550" s="80" cm="1">
        <f t="array" ref="F550:F550">_xlfn.XLOOKUP(B550&amp;S550,'净-价格-毛利'!A:A&amp;'净-价格-毛利'!B:B,'净-价格-毛利'!C:C,0)</f>
      </c>
      <c r="G550" s="81">
        <f t="shared" si="45"/>
      </c>
      <c r="H550" s="81">
        <v>62.28</v>
      </c>
      <c r="I550" s="81">
        <f t="shared" si="161"/>
      </c>
      <c r="J550" s="81">
        <f t="shared" si="219"/>
      </c>
      <c r="K550" s="83">
        <f t="shared" si="288"/>
      </c>
      <c r="L550" s="81">
        <f t="shared" si="357"/>
      </c>
      <c r="M550" s="81">
        <f t="shared" si="416"/>
      </c>
      <c r="N550" s="83">
        <f t="shared" si="589"/>
      </c>
      <c r="O550" s="95">
        <v>0</v>
      </c>
      <c r="P550" s="95">
        <f t="shared" si="475"/>
      </c>
      <c r="Q550" s="85">
        <f t="shared" si="647"/>
      </c>
      <c r="R550" s="85">
        <f t="shared" si="102"/>
      </c>
      <c r="S550" s="97" t="s">
        <v>158</v>
      </c>
    </row>
    <row customHeight="true" ht="23.703703703703702" r="551">
      <c r="A551" s="93">
        <v>46098</v>
      </c>
      <c r="B551" s="79" t="s">
        <v>136</v>
      </c>
      <c r="C551" s="79">
        <v>4</v>
      </c>
      <c r="D551" s="94" cm="1">
        <f t="array" ref="D551:D551">_xlfn.XLOOKUP(B551&amp;S551,'净-价格-毛利'!A:A&amp;'净-价格-毛利'!B:B,'净-价格-毛利'!D:D,0)</f>
      </c>
      <c r="E551" s="81">
        <f t="shared" si="532"/>
      </c>
      <c r="F551" s="80" cm="1">
        <f t="array" ref="F551:F551">_xlfn.XLOOKUP(B551&amp;S551,'净-价格-毛利'!A:A&amp;'净-价格-毛利'!B:B,'净-价格-毛利'!C:C,0)</f>
      </c>
      <c r="G551" s="81">
        <f t="shared" si="45"/>
      </c>
      <c r="H551" s="81">
        <v>15.04</v>
      </c>
      <c r="I551" s="81">
        <f t="shared" si="161"/>
      </c>
      <c r="J551" s="81">
        <f t="shared" si="219"/>
      </c>
      <c r="K551" s="83">
        <f t="shared" si="288"/>
      </c>
      <c r="L551" s="81">
        <f>J551*9</f>
      </c>
      <c r="M551" s="81">
        <f>E551*9</f>
      </c>
      <c r="N551" s="83">
        <f t="shared" si="589"/>
      </c>
      <c r="O551" s="95">
        <v>1</v>
      </c>
      <c r="P551" s="95">
        <f t="shared" si="475"/>
      </c>
      <c r="Q551" s="85">
        <f t="shared" si="647"/>
      </c>
      <c r="R551" s="85">
        <f t="shared" si="102"/>
      </c>
      <c r="S551" s="97" t="s">
        <v>141</v>
      </c>
    </row>
    <row customHeight="true" ht="23.703703703703702" r="552">
      <c r="A552" s="93">
        <v>46098</v>
      </c>
      <c r="B552" s="79" t="s">
        <v>137</v>
      </c>
      <c r="C552" s="79"/>
      <c r="D552" s="94" cm="1">
        <f t="array" ref="D552:D552">_xlfn.XLOOKUP(B552&amp;S552,'净-价格-毛利'!A:A&amp;'净-价格-毛利'!B:B,'净-价格-毛利'!D:D,0)</f>
      </c>
      <c r="E552" s="81">
        <f t="shared" si="532"/>
      </c>
      <c r="F552" s="80" cm="1">
        <f t="array" ref="F552:F552">_xlfn.XLOOKUP(B552&amp;S552,'净-价格-毛利'!A:A&amp;'净-价格-毛利'!B:B,'净-价格-毛利'!C:C,0)</f>
      </c>
      <c r="G552" s="81"/>
      <c r="H552" s="81"/>
      <c r="I552" s="81">
        <f t="shared" si="161"/>
      </c>
      <c r="J552" s="81">
        <f>C552*F552-H552-I552</f>
      </c>
      <c r="K552" s="83">
        <f t="shared" si="288"/>
      </c>
      <c r="L552" s="81">
        <f>J552*7</f>
      </c>
      <c r="M552" s="81">
        <f>E552*7</f>
      </c>
      <c r="N552" s="83">
        <f t="shared" si="589"/>
      </c>
      <c r="O552" s="84"/>
      <c r="P552" s="84">
        <f t="shared" si="475"/>
      </c>
      <c r="Q552" s="85">
        <f t="shared" si="647"/>
      </c>
      <c r="R552" s="85"/>
      <c r="S552" s="96"/>
    </row>
    <row customHeight="true" ht="23.703703703703702" r="553">
      <c r="A553" s="93">
        <v>46098</v>
      </c>
      <c r="B553" s="79" t="s">
        <v>111</v>
      </c>
      <c r="C553" s="79">
        <f>SUM(C547:C552)</f>
      </c>
      <c r="D553" s="89"/>
      <c r="E553" s="81">
        <f>SUM(E547:E552)</f>
      </c>
      <c r="F553" s="82">
        <f>SUM(F547:F551)</f>
      </c>
      <c r="G553" s="81"/>
      <c r="H553" s="81"/>
      <c r="I553" s="81"/>
      <c r="J553" s="81">
        <f>SUM(J547:J552)</f>
      </c>
      <c r="K553" s="83">
        <f t="shared" si="288"/>
      </c>
      <c r="L553" s="81">
        <f>SUM(L547:L552)</f>
      </c>
      <c r="M553" s="81">
        <f>SUM(M547:M552)</f>
      </c>
      <c r="N553" s="83"/>
      <c r="O553" s="95">
        <f>SUM(O547:O551)</f>
      </c>
      <c r="P553" s="95">
        <f t="shared" si="475"/>
      </c>
      <c r="Q553" s="85">
        <f t="shared" si="647"/>
      </c>
      <c r="R553" s="85"/>
      <c r="S553" s="89"/>
    </row>
    <row customHeight="true" ht="23.703703703703702" r="554">
      <c r="B554" s="77" t="s">
        <v>138</v>
      </c>
    </row>
    <row customHeight="true" ht="23.703703703703702" r="555">
      <c r="A555" s="71" t="s">
        <v>152</v>
      </c>
      <c r="B555" s="72" t="s">
        <v>112</v>
      </c>
      <c r="C555" s="90" t="s">
        <v>113</v>
      </c>
      <c r="D555" s="72" t="s">
        <v>114</v>
      </c>
      <c r="E555" s="73" t="s">
        <v>115</v>
      </c>
      <c r="F555" s="74" t="s">
        <v>116</v>
      </c>
      <c r="G555" s="73" t="s">
        <v>117</v>
      </c>
      <c r="H555" s="91" t="s">
        <v>118</v>
      </c>
      <c r="I555" s="73" t="s">
        <v>119</v>
      </c>
      <c r="J555" s="73" t="s">
        <v>116</v>
      </c>
      <c r="K555" s="75" t="s">
        <v>120</v>
      </c>
      <c r="L555" s="73" t="s">
        <v>121</v>
      </c>
      <c r="M555" s="73" t="s">
        <v>122</v>
      </c>
      <c r="N555" s="72" t="s">
        <v>123</v>
      </c>
      <c r="O555" s="92" t="s">
        <v>124</v>
      </c>
      <c r="P555" s="76" t="s">
        <v>125</v>
      </c>
      <c r="Q555" s="75" t="s">
        <v>126</v>
      </c>
      <c r="R555" s="75" t="s">
        <v>127</v>
      </c>
      <c r="S555" s="75" t="s">
        <v>140</v>
      </c>
    </row>
    <row customHeight="true" ht="23.703703703703702" r="556">
      <c r="A556" s="93">
        <v>46099</v>
      </c>
      <c r="B556" s="79" t="s">
        <v>130</v>
      </c>
      <c r="C556" s="79">
        <v>7</v>
      </c>
      <c r="D556" s="94" cm="1">
        <f t="array" ref="D556:D556">_xlfn.XLOOKUP(B556&amp;S556,'净-价格-毛利'!A:A&amp;'净-价格-毛利'!B:B,'净-价格-毛利'!D:D,0)</f>
      </c>
      <c r="E556" s="81">
        <f t="shared" ref="E556:E561" si="533">C556*D556</f>
      </c>
      <c r="F556" s="80" cm="1">
        <f t="array" ref="F556:F556">_xlfn.XLOOKUP(B556&amp;S556,'净-价格-毛利'!A:A&amp;'净-价格-毛利'!B:B,'净-价格-毛利'!C:C,0)</f>
      </c>
      <c r="G556" s="81">
        <f t="shared" ref="G556:G560" si="46">C556*5</f>
      </c>
      <c r="H556" s="81">
        <v>44.06</v>
      </c>
      <c r="I556" s="81">
        <f t="shared" ref="I556:I561" si="162">E556*0.025</f>
      </c>
      <c r="J556" s="81">
        <f t="shared" ref="J556:J560" si="220">F556*C556+G556-H556-I556</f>
      </c>
      <c r="K556" s="83">
        <f t="shared" ref="K556:K562" si="289">IFERROR(J556/E556,0)</f>
      </c>
      <c r="L556" s="81">
        <f t="shared" ref="L556:L559" si="358">J556*8</f>
      </c>
      <c r="M556" s="81">
        <f t="shared" ref="M556:M559" si="417">E556*8</f>
      </c>
      <c r="N556" s="83">
        <f t="shared" ref="N556:N561" si="590">IFERROR(H556/E556,0)</f>
      </c>
      <c r="O556" s="95">
        <v>5</v>
      </c>
      <c r="P556" s="95">
        <f t="shared" ref="P556:P562" si="476">C556-O556</f>
      </c>
      <c r="Q556" s="85">
        <f t="shared" ref="Q556:Q562" si="648">IFERROR(O556/C556,0)</f>
      </c>
      <c r="R556" s="85">
        <f t="shared" ref="R556:R560" si="103">IFERROR(H556/(E556*Q556),0)</f>
      </c>
      <c r="S556" s="97" t="s">
        <v>160</v>
      </c>
    </row>
    <row customHeight="true" ht="23.703703703703702" r="557">
      <c r="A557" s="93">
        <v>46099</v>
      </c>
      <c r="B557" s="79" t="s">
        <v>131</v>
      </c>
      <c r="C557" s="79">
        <v>0</v>
      </c>
      <c r="D557" s="94" cm="1">
        <f t="array" ref="D557:D557">_xlfn.XLOOKUP(B557&amp;S557,'净-价格-毛利'!A:A&amp;'净-价格-毛利'!B:B,'净-价格-毛利'!D:D,0)</f>
      </c>
      <c r="E557" s="81">
        <f t="shared" si="533"/>
      </c>
      <c r="F557" s="80" cm="1">
        <f t="array" ref="F557:F557">_xlfn.XLOOKUP(B557&amp;S557,'净-价格-毛利'!A:A&amp;'净-价格-毛利'!B:B,'净-价格-毛利'!C:C,0)</f>
      </c>
      <c r="G557" s="81">
        <f t="shared" si="46"/>
      </c>
      <c r="H557" s="81">
        <v>2.58</v>
      </c>
      <c r="I557" s="81">
        <f t="shared" si="162"/>
      </c>
      <c r="J557" s="81">
        <f t="shared" si="220"/>
      </c>
      <c r="K557" s="83">
        <f t="shared" si="289"/>
      </c>
      <c r="L557" s="81">
        <f t="shared" si="358"/>
      </c>
      <c r="M557" s="81">
        <f t="shared" si="417"/>
      </c>
      <c r="N557" s="83">
        <f t="shared" si="590"/>
      </c>
      <c r="O557" s="95">
        <v>0</v>
      </c>
      <c r="P557" s="95">
        <f t="shared" si="476"/>
      </c>
      <c r="Q557" s="85">
        <f t="shared" si="648"/>
      </c>
      <c r="R557" s="85">
        <f t="shared" si="103"/>
      </c>
      <c r="S557" s="97" t="s">
        <v>141</v>
      </c>
    </row>
    <row customHeight="true" ht="23.703703703703702" r="558">
      <c r="A558" s="93">
        <v>46099</v>
      </c>
      <c r="B558" s="79" t="s">
        <v>133</v>
      </c>
      <c r="C558" s="79">
        <v>2</v>
      </c>
      <c r="D558" s="94" cm="1">
        <f t="array" ref="D558:D558">_xlfn.XLOOKUP(B558&amp;S558,'净-价格-毛利'!A:A&amp;'净-价格-毛利'!B:B,'净-价格-毛利'!D:D,0)</f>
      </c>
      <c r="E558" s="81">
        <f t="shared" si="533"/>
      </c>
      <c r="F558" s="80" cm="1">
        <f t="array" ref="F558:F558">_xlfn.XLOOKUP(B558&amp;S558,'净-价格-毛利'!A:A&amp;'净-价格-毛利'!B:B,'净-价格-毛利'!C:C,0)</f>
      </c>
      <c r="G558" s="81">
        <f t="shared" si="46"/>
      </c>
      <c r="H558" s="81">
        <v>39.15</v>
      </c>
      <c r="I558" s="81">
        <f t="shared" si="162"/>
      </c>
      <c r="J558" s="81">
        <f t="shared" si="220"/>
      </c>
      <c r="K558" s="83">
        <f t="shared" si="289"/>
      </c>
      <c r="L558" s="81">
        <f t="shared" si="358"/>
      </c>
      <c r="M558" s="81">
        <f t="shared" si="417"/>
      </c>
      <c r="N558" s="83">
        <f t="shared" si="590"/>
      </c>
      <c r="O558" s="95">
        <v>1</v>
      </c>
      <c r="P558" s="95">
        <f t="shared" si="476"/>
      </c>
      <c r="Q558" s="85">
        <f t="shared" si="648"/>
      </c>
      <c r="R558" s="85">
        <f t="shared" si="103"/>
      </c>
      <c r="S558" s="97" t="s">
        <v>158</v>
      </c>
    </row>
    <row customHeight="true" ht="23.703703703703702" r="559">
      <c r="A559" s="93">
        <v>46099</v>
      </c>
      <c r="B559" s="79" t="s">
        <v>134</v>
      </c>
      <c r="C559" s="79">
        <v>6</v>
      </c>
      <c r="D559" s="94" cm="1">
        <f t="array" ref="D559:D559">_xlfn.XLOOKUP(B559&amp;S559,'净-价格-毛利'!A:A&amp;'净-价格-毛利'!B:B,'净-价格-毛利'!D:D,0)</f>
      </c>
      <c r="E559" s="81">
        <f t="shared" si="533"/>
      </c>
      <c r="F559" s="80" cm="1">
        <f t="array" ref="F559:F559">_xlfn.XLOOKUP(B559&amp;S559,'净-价格-毛利'!A:A&amp;'净-价格-毛利'!B:B,'净-价格-毛利'!C:C,0)</f>
      </c>
      <c r="G559" s="81">
        <f t="shared" si="46"/>
      </c>
      <c r="H559" s="81">
        <v>51.22</v>
      </c>
      <c r="I559" s="81">
        <f t="shared" si="162"/>
      </c>
      <c r="J559" s="81">
        <f t="shared" si="220"/>
      </c>
      <c r="K559" s="83">
        <f t="shared" si="289"/>
      </c>
      <c r="L559" s="81">
        <f t="shared" si="358"/>
      </c>
      <c r="M559" s="81">
        <f t="shared" si="417"/>
      </c>
      <c r="N559" s="83">
        <f t="shared" si="590"/>
      </c>
      <c r="O559" s="95">
        <v>3</v>
      </c>
      <c r="P559" s="95">
        <f t="shared" si="476"/>
      </c>
      <c r="Q559" s="85">
        <f t="shared" si="648"/>
      </c>
      <c r="R559" s="85">
        <f t="shared" si="103"/>
      </c>
      <c r="S559" s="97" t="s">
        <v>158</v>
      </c>
    </row>
    <row customHeight="true" ht="23.703703703703702" r="560">
      <c r="A560" s="93">
        <v>46099</v>
      </c>
      <c r="B560" s="79" t="s">
        <v>136</v>
      </c>
      <c r="C560" s="79">
        <v>3</v>
      </c>
      <c r="D560" s="94" cm="1">
        <f t="array" ref="D560:D560">_xlfn.XLOOKUP(B560&amp;S560,'净-价格-毛利'!A:A&amp;'净-价格-毛利'!B:B,'净-价格-毛利'!D:D,0)</f>
      </c>
      <c r="E560" s="81">
        <f t="shared" si="533"/>
      </c>
      <c r="F560" s="80" cm="1">
        <f t="array" ref="F560:F560">_xlfn.XLOOKUP(B560&amp;S560,'净-价格-毛利'!A:A&amp;'净-价格-毛利'!B:B,'净-价格-毛利'!C:C,0)</f>
      </c>
      <c r="G560" s="81">
        <f t="shared" si="46"/>
      </c>
      <c r="H560" s="81">
        <v>16.6</v>
      </c>
      <c r="I560" s="81">
        <f t="shared" si="162"/>
      </c>
      <c r="J560" s="81">
        <f t="shared" si="220"/>
      </c>
      <c r="K560" s="83">
        <f t="shared" si="289"/>
      </c>
      <c r="L560" s="81">
        <f>J560*9</f>
      </c>
      <c r="M560" s="81">
        <f>E560*9</f>
      </c>
      <c r="N560" s="83">
        <f t="shared" si="590"/>
      </c>
      <c r="O560" s="95">
        <v>2</v>
      </c>
      <c r="P560" s="95">
        <f t="shared" si="476"/>
      </c>
      <c r="Q560" s="85">
        <f t="shared" si="648"/>
      </c>
      <c r="R560" s="85">
        <f t="shared" si="103"/>
      </c>
      <c r="S560" s="97" t="s">
        <v>141</v>
      </c>
    </row>
    <row customHeight="true" ht="23.703703703703702" r="561">
      <c r="A561" s="93">
        <v>46099</v>
      </c>
      <c r="B561" s="79" t="s">
        <v>137</v>
      </c>
      <c r="C561" s="79"/>
      <c r="D561" s="94" cm="1">
        <f t="array" ref="D561:D561">_xlfn.XLOOKUP(B561&amp;S561,'净-价格-毛利'!A:A&amp;'净-价格-毛利'!B:B,'净-价格-毛利'!D:D,0)</f>
      </c>
      <c r="E561" s="81">
        <f t="shared" si="533"/>
      </c>
      <c r="F561" s="80" cm="1">
        <f t="array" ref="F561:F561">_xlfn.XLOOKUP(B561&amp;S561,'净-价格-毛利'!A:A&amp;'净-价格-毛利'!B:B,'净-价格-毛利'!C:C,0)</f>
      </c>
      <c r="G561" s="81"/>
      <c r="H561" s="81"/>
      <c r="I561" s="81">
        <f t="shared" si="162"/>
      </c>
      <c r="J561" s="81">
        <f>C561*F561-H561-I561</f>
      </c>
      <c r="K561" s="83">
        <f t="shared" si="289"/>
      </c>
      <c r="L561" s="81">
        <f>J561*7</f>
      </c>
      <c r="M561" s="81">
        <f>E561*7</f>
      </c>
      <c r="N561" s="83">
        <f t="shared" si="590"/>
      </c>
      <c r="O561" s="84"/>
      <c r="P561" s="84">
        <f t="shared" si="476"/>
      </c>
      <c r="Q561" s="85">
        <f t="shared" si="648"/>
      </c>
      <c r="R561" s="85"/>
      <c r="S561" s="96"/>
    </row>
    <row customHeight="true" ht="23.703703703703702" r="562">
      <c r="A562" s="93">
        <v>46099</v>
      </c>
      <c r="B562" s="79" t="s">
        <v>111</v>
      </c>
      <c r="C562" s="79">
        <f>SUM(C556:C561)</f>
      </c>
      <c r="D562" s="89"/>
      <c r="E562" s="81">
        <f>SUM(E556:E561)</f>
      </c>
      <c r="F562" s="82">
        <f>SUM(F556:F560)</f>
      </c>
      <c r="G562" s="81"/>
      <c r="H562" s="81"/>
      <c r="I562" s="81"/>
      <c r="J562" s="81">
        <f>SUM(J556:J561)</f>
      </c>
      <c r="K562" s="83">
        <f t="shared" si="289"/>
      </c>
      <c r="L562" s="81">
        <f>SUM(L556:L561)</f>
      </c>
      <c r="M562" s="81">
        <f>SUM(M556:M561)</f>
      </c>
      <c r="N562" s="83"/>
      <c r="O562" s="95">
        <f>SUM(O556:O560)</f>
      </c>
      <c r="P562" s="95">
        <f t="shared" si="476"/>
      </c>
      <c r="Q562" s="85">
        <f t="shared" si="648"/>
      </c>
      <c r="R562" s="85"/>
      <c r="S562" s="89"/>
    </row>
    <row customHeight="true" ht="23.703703703703702" r="563">
      <c r="B563" s="77" t="s">
        <v>138</v>
      </c>
    </row>
    <row customHeight="true" ht="23.703703703703702" r="564">
      <c r="A564" s="71" t="s">
        <v>152</v>
      </c>
      <c r="B564" s="72" t="s">
        <v>112</v>
      </c>
      <c r="C564" s="90" t="s">
        <v>113</v>
      </c>
      <c r="D564" s="72" t="s">
        <v>114</v>
      </c>
      <c r="E564" s="73" t="s">
        <v>115</v>
      </c>
      <c r="F564" s="74" t="s">
        <v>116</v>
      </c>
      <c r="G564" s="73" t="s">
        <v>117</v>
      </c>
      <c r="H564" s="91" t="s">
        <v>118</v>
      </c>
      <c r="I564" s="73" t="s">
        <v>119</v>
      </c>
      <c r="J564" s="73" t="s">
        <v>116</v>
      </c>
      <c r="K564" s="75" t="s">
        <v>120</v>
      </c>
      <c r="L564" s="73" t="s">
        <v>121</v>
      </c>
      <c r="M564" s="73" t="s">
        <v>122</v>
      </c>
      <c r="N564" s="72" t="s">
        <v>123</v>
      </c>
      <c r="O564" s="92" t="s">
        <v>124</v>
      </c>
      <c r="P564" s="76" t="s">
        <v>125</v>
      </c>
      <c r="Q564" s="75" t="s">
        <v>126</v>
      </c>
      <c r="R564" s="75" t="s">
        <v>127</v>
      </c>
      <c r="S564" s="75" t="s">
        <v>140</v>
      </c>
    </row>
    <row customHeight="true" ht="23.703703703703702" r="565">
      <c r="A565" s="93">
        <v>46100</v>
      </c>
      <c r="B565" s="79" t="s">
        <v>130</v>
      </c>
      <c r="C565" s="79">
        <v>2</v>
      </c>
      <c r="D565" s="94" cm="1">
        <f t="array" ref="D565:D565">_xlfn.XLOOKUP(B565&amp;S565,'净-价格-毛利'!A:A&amp;'净-价格-毛利'!B:B,'净-价格-毛利'!D:D,0)</f>
      </c>
      <c r="E565" s="81">
        <f t="shared" ref="E565:E570" si="534">C565*D565</f>
      </c>
      <c r="F565" s="80" cm="1">
        <f t="array" ref="F565:F565">_xlfn.XLOOKUP(B565&amp;S565,'净-价格-毛利'!A:A&amp;'净-价格-毛利'!B:B,'净-价格-毛利'!C:C,0)</f>
      </c>
      <c r="G565" s="81">
        <f t="shared" ref="G565:G569" si="47">C565*5</f>
      </c>
      <c r="H565" s="81">
        <v>21.48</v>
      </c>
      <c r="I565" s="81">
        <f t="shared" ref="I565:I570" si="163">E565*0.025</f>
      </c>
      <c r="J565" s="81">
        <f t="shared" ref="J565:J569" si="221">F565*C565+G565-H565-I565</f>
      </c>
      <c r="K565" s="83">
        <f t="shared" ref="K565:K571" si="290">IFERROR(J565/E565,0)</f>
      </c>
      <c r="L565" s="81">
        <f t="shared" ref="L565:L568" si="359">J565*8</f>
      </c>
      <c r="M565" s="81">
        <f t="shared" ref="M565:M568" si="418">E565*8</f>
      </c>
      <c r="N565" s="83">
        <f t="shared" ref="N565:N570" si="591">IFERROR(H565/E565,0)</f>
      </c>
      <c r="O565" s="95">
        <v>2</v>
      </c>
      <c r="P565" s="95">
        <f t="shared" ref="P565:P571" si="477">C565-O565</f>
      </c>
      <c r="Q565" s="85">
        <f t="shared" ref="Q565:Q571" si="649">IFERROR(O565/C565,0)</f>
      </c>
      <c r="R565" s="85">
        <f t="shared" ref="R565:R569" si="104">IFERROR(H565/(E565*Q565),0)</f>
      </c>
      <c r="S565" s="97" t="s">
        <v>160</v>
      </c>
    </row>
    <row customHeight="true" ht="23.703703703703702" r="566">
      <c r="A566" s="93">
        <v>46100</v>
      </c>
      <c r="B566" s="79" t="s">
        <v>131</v>
      </c>
      <c r="C566" s="79">
        <v>1</v>
      </c>
      <c r="D566" s="94" cm="1">
        <f t="array" ref="D566:D566">_xlfn.XLOOKUP(B566&amp;S566,'净-价格-毛利'!A:A&amp;'净-价格-毛利'!B:B,'净-价格-毛利'!D:D,0)</f>
      </c>
      <c r="E566" s="81">
        <f t="shared" si="534"/>
      </c>
      <c r="F566" s="80" cm="1">
        <f t="array" ref="F566:F566">_xlfn.XLOOKUP(B566&amp;S566,'净-价格-毛利'!A:A&amp;'净-价格-毛利'!B:B,'净-价格-毛利'!C:C,0)</f>
      </c>
      <c r="G566" s="81">
        <f t="shared" si="47"/>
      </c>
      <c r="H566" s="81">
        <v>8.87</v>
      </c>
      <c r="I566" s="81">
        <f t="shared" si="163"/>
      </c>
      <c r="J566" s="81">
        <f t="shared" si="221"/>
      </c>
      <c r="K566" s="83">
        <f t="shared" si="290"/>
      </c>
      <c r="L566" s="81">
        <f t="shared" si="359"/>
      </c>
      <c r="M566" s="81">
        <f t="shared" si="418"/>
      </c>
      <c r="N566" s="83">
        <f t="shared" si="591"/>
      </c>
      <c r="O566" s="95">
        <v>0</v>
      </c>
      <c r="P566" s="95">
        <f t="shared" si="477"/>
      </c>
      <c r="Q566" s="85">
        <f t="shared" si="649"/>
      </c>
      <c r="R566" s="85">
        <f t="shared" si="104"/>
      </c>
      <c r="S566" s="97" t="s">
        <v>141</v>
      </c>
    </row>
    <row customHeight="true" ht="23.703703703703702" r="567">
      <c r="A567" s="93">
        <v>46100</v>
      </c>
      <c r="B567" s="79" t="s">
        <v>133</v>
      </c>
      <c r="C567" s="79"/>
      <c r="D567" s="94" cm="1">
        <f t="array" ref="D567:D567">_xlfn.XLOOKUP(B567&amp;S567,'净-价格-毛利'!A:A&amp;'净-价格-毛利'!B:B,'净-价格-毛利'!D:D,0)</f>
      </c>
      <c r="E567" s="81">
        <f t="shared" si="534"/>
      </c>
      <c r="F567" s="80" cm="1">
        <f t="array" ref="F567:F567">_xlfn.XLOOKUP(B567&amp;S567,'净-价格-毛利'!A:A&amp;'净-价格-毛利'!B:B,'净-价格-毛利'!C:C,0)</f>
      </c>
      <c r="G567" s="81">
        <f t="shared" si="47"/>
      </c>
      <c r="H567" s="81">
        <v>27.49</v>
      </c>
      <c r="I567" s="81">
        <f t="shared" si="163"/>
      </c>
      <c r="J567" s="81">
        <f t="shared" si="221"/>
      </c>
      <c r="K567" s="83">
        <f t="shared" si="290"/>
      </c>
      <c r="L567" s="81">
        <f t="shared" si="359"/>
      </c>
      <c r="M567" s="81">
        <f t="shared" si="418"/>
      </c>
      <c r="N567" s="83">
        <f t="shared" si="591"/>
      </c>
      <c r="O567" s="95">
        <v>1</v>
      </c>
      <c r="P567" s="95">
        <f t="shared" si="477"/>
      </c>
      <c r="Q567" s="85">
        <f t="shared" si="649"/>
      </c>
      <c r="R567" s="85">
        <f t="shared" si="104"/>
      </c>
      <c r="S567" s="97" t="s">
        <v>158</v>
      </c>
    </row>
    <row customHeight="true" ht="23.703703703703702" r="568">
      <c r="A568" s="93">
        <v>46100</v>
      </c>
      <c r="B568" s="79" t="s">
        <v>134</v>
      </c>
      <c r="C568" s="79">
        <v>9</v>
      </c>
      <c r="D568" s="94" cm="1">
        <f t="array" ref="D568:D568">_xlfn.XLOOKUP(B568&amp;S568,'净-价格-毛利'!A:A&amp;'净-价格-毛利'!B:B,'净-价格-毛利'!D:D,0)</f>
      </c>
      <c r="E568" s="81">
        <f t="shared" si="534"/>
      </c>
      <c r="F568" s="80" cm="1">
        <f t="array" ref="F568:F568">_xlfn.XLOOKUP(B568&amp;S568,'净-价格-毛利'!A:A&amp;'净-价格-毛利'!B:B,'净-价格-毛利'!C:C,0)</f>
      </c>
      <c r="G568" s="81">
        <f t="shared" si="47"/>
      </c>
      <c r="H568" s="81">
        <v>50.98</v>
      </c>
      <c r="I568" s="81">
        <f t="shared" si="163"/>
      </c>
      <c r="J568" s="81">
        <f t="shared" si="221"/>
      </c>
      <c r="K568" s="83">
        <f t="shared" si="290"/>
      </c>
      <c r="L568" s="81">
        <f t="shared" si="359"/>
      </c>
      <c r="M568" s="81">
        <f t="shared" si="418"/>
      </c>
      <c r="N568" s="83">
        <f t="shared" si="591"/>
      </c>
      <c r="O568" s="95">
        <v>1</v>
      </c>
      <c r="P568" s="95">
        <f t="shared" si="477"/>
      </c>
      <c r="Q568" s="85">
        <f t="shared" si="649"/>
      </c>
      <c r="R568" s="85">
        <f t="shared" si="104"/>
      </c>
      <c r="S568" s="97" t="s">
        <v>158</v>
      </c>
    </row>
    <row customHeight="true" ht="23.703703703703702" r="569">
      <c r="A569" s="93">
        <v>46100</v>
      </c>
      <c r="B569" s="79" t="s">
        <v>136</v>
      </c>
      <c r="C569" s="79">
        <v>0</v>
      </c>
      <c r="D569" s="94" cm="1">
        <f t="array" ref="D569:D569">_xlfn.XLOOKUP(B569&amp;S569,'净-价格-毛利'!A:A&amp;'净-价格-毛利'!B:B,'净-价格-毛利'!D:D,0)</f>
      </c>
      <c r="E569" s="81">
        <f t="shared" si="534"/>
      </c>
      <c r="F569" s="80" cm="1">
        <f t="array" ref="F569:F569">_xlfn.XLOOKUP(B569&amp;S569,'净-价格-毛利'!A:A&amp;'净-价格-毛利'!B:B,'净-价格-毛利'!C:C,0)</f>
      </c>
      <c r="G569" s="81">
        <f t="shared" si="47"/>
      </c>
      <c r="H569" s="81">
        <v>14.58</v>
      </c>
      <c r="I569" s="81">
        <f t="shared" si="163"/>
      </c>
      <c r="J569" s="81">
        <f t="shared" si="221"/>
      </c>
      <c r="K569" s="83">
        <f t="shared" si="290"/>
      </c>
      <c r="L569" s="81">
        <f>J569*9</f>
      </c>
      <c r="M569" s="81">
        <f>E569*9</f>
      </c>
      <c r="N569" s="83">
        <f t="shared" si="591"/>
      </c>
      <c r="O569" s="95">
        <v>0</v>
      </c>
      <c r="P569" s="95">
        <f t="shared" si="477"/>
      </c>
      <c r="Q569" s="85">
        <f t="shared" si="649"/>
      </c>
      <c r="R569" s="85">
        <f t="shared" si="104"/>
      </c>
      <c r="S569" s="97" t="s">
        <v>141</v>
      </c>
    </row>
    <row customHeight="true" ht="23.703703703703702" r="570">
      <c r="A570" s="93">
        <v>46100</v>
      </c>
      <c r="B570" s="79" t="s">
        <v>137</v>
      </c>
      <c r="C570" s="79"/>
      <c r="D570" s="94" cm="1">
        <f t="array" ref="D570:D570">_xlfn.XLOOKUP(B570&amp;S570,'净-价格-毛利'!A:A&amp;'净-价格-毛利'!B:B,'净-价格-毛利'!D:D,0)</f>
      </c>
      <c r="E570" s="81">
        <f t="shared" si="534"/>
      </c>
      <c r="F570" s="80" cm="1">
        <f t="array" ref="F570:F570">_xlfn.XLOOKUP(B570&amp;S570,'净-价格-毛利'!A:A&amp;'净-价格-毛利'!B:B,'净-价格-毛利'!C:C,0)</f>
      </c>
      <c r="G570" s="81"/>
      <c r="H570" s="81"/>
      <c r="I570" s="81">
        <f t="shared" si="163"/>
      </c>
      <c r="J570" s="81">
        <f>C570*F570-H570-I570</f>
      </c>
      <c r="K570" s="83">
        <f t="shared" si="290"/>
      </c>
      <c r="L570" s="81">
        <f>J570*7</f>
      </c>
      <c r="M570" s="81">
        <f>E570*7</f>
      </c>
      <c r="N570" s="83">
        <f t="shared" si="591"/>
      </c>
      <c r="O570" s="84"/>
      <c r="P570" s="84">
        <f t="shared" si="477"/>
      </c>
      <c r="Q570" s="85">
        <f t="shared" si="649"/>
      </c>
      <c r="R570" s="85"/>
      <c r="S570" s="96"/>
    </row>
    <row customHeight="true" ht="23.703703703703702" r="571">
      <c r="A571" s="93">
        <v>46100</v>
      </c>
      <c r="B571" s="79" t="s">
        <v>111</v>
      </c>
      <c r="C571" s="79">
        <f>SUM(C565:C570)</f>
      </c>
      <c r="D571" s="89"/>
      <c r="E571" s="81">
        <f>SUM(E565:E570)</f>
      </c>
      <c r="F571" s="82">
        <f>SUM(F565:F569)</f>
      </c>
      <c r="G571" s="81"/>
      <c r="H571" s="81"/>
      <c r="I571" s="81"/>
      <c r="J571" s="81">
        <f>SUM(J565:J570)</f>
      </c>
      <c r="K571" s="83">
        <f t="shared" si="290"/>
      </c>
      <c r="L571" s="81">
        <f>SUM(L565:L570)</f>
      </c>
      <c r="M571" s="81">
        <f>SUM(M565:M570)</f>
      </c>
      <c r="N571" s="83"/>
      <c r="O571" s="95">
        <f>SUM(O565:O569)</f>
      </c>
      <c r="P571" s="95">
        <f t="shared" si="477"/>
      </c>
      <c r="Q571" s="85">
        <f t="shared" si="649"/>
      </c>
      <c r="R571" s="85"/>
      <c r="S571" s="89"/>
    </row>
    <row customHeight="true" ht="23.703703703703702" r="572">
      <c r="B572" s="77" t="s">
        <v>138</v>
      </c>
    </row>
  </sheetData>
  <autoFilter ref="A1:S57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6" min="16" style="0" width="9.266666666666667"/>
    <col collapsed="false" customWidth="true" hidden="false" max="20" min="20" style="0" width="9.266666666666667"/>
    <col collapsed="false" customWidth="true" hidden="false" max="4" min="4" style="0" width="9.266666666666667"/>
    <col collapsed="false" customWidth="true" hidden="false" max="8" min="8" style="0" width="9.266666666666667"/>
    <col collapsed="false" customWidth="true" hidden="false" max="12" min="12" style="0" width="9.266666666666667"/>
    <col collapsed="false" customWidth="true" hidden="false" max="15" min="15" style="0" width="9.266666666666667"/>
    <col collapsed="false" customWidth="true" hidden="false" max="19" min="19" style="0" width="9.266666666666667"/>
    <col collapsed="false" customWidth="true" hidden="false" max="3" min="3" style="0" width="9.266666666666667"/>
    <col collapsed="false" customWidth="true" hidden="false" max="7" min="7" style="0" width="9.266666666666667"/>
    <col collapsed="false" customWidth="true" hidden="false" max="11" min="11" style="0" width="9.266666666666667"/>
    <col collapsed="false" customWidth="true" hidden="false" max="14" min="14" style="0" width="9.266666666666667"/>
    <col collapsed="false" customWidth="true" hidden="false" max="18" min="18" style="0" width="9.266666666666667"/>
    <col collapsed="false" customWidth="true" hidden="false" max="2" min="2" style="0" width="15.266666666666667"/>
    <col collapsed="false" customWidth="true" hidden="false" max="6" min="6" style="0" width="9.266666666666667"/>
    <col collapsed="false" customWidth="true" hidden="false" max="10" min="10" style="0" width="9.266666666666667"/>
    <col collapsed="false" customWidth="true" hidden="false" max="13" min="13" style="0" width="9.266666666666667"/>
    <col collapsed="false" customWidth="true" hidden="false" max="17" min="17" style="0" width="9.266666666666667"/>
    <col collapsed="false" customWidth="true" hidden="false" max="1" min="1" style="0" width="9.266666666666667"/>
    <col collapsed="false" customWidth="true" hidden="false" max="5" min="5" style="0" width="9.266666666666667"/>
    <col collapsed="false" customWidth="true" hidden="false" max="9" min="9" style="0" width="9.266666666666667"/>
  </cols>
  <sheetData>
    <row customHeight="true" ht="16.296296296296294" r="1">
      <c r="A1" s="105" t="s">
        <v>161</v>
      </c>
      <c r="B1" s="105" t="s">
        <v>162</v>
      </c>
      <c r="C1" s="106" t="s">
        <v>163</v>
      </c>
      <c r="D1" s="106" t="s">
        <v>164</v>
      </c>
      <c r="E1" s="106" t="s">
        <v>165</v>
      </c>
    </row>
    <row customHeight="true" ht="16.296296296296294" r="2">
      <c r="A2" s="107" t="s">
        <v>166</v>
      </c>
      <c r="B2" s="108" t="s">
        <v>167</v>
      </c>
      <c r="C2" s="109">
        <v>9.49</v>
      </c>
      <c r="D2" s="110">
        <v>34.5</v>
      </c>
      <c r="E2" s="110">
        <v>49.99</v>
      </c>
    </row>
    <row customHeight="true" ht="16.296296296296294" r="3">
      <c r="A3" s="107" t="s">
        <v>166</v>
      </c>
      <c r="B3" s="108" t="s">
        <v>168</v>
      </c>
      <c r="C3" s="109">
        <v>6.99</v>
      </c>
      <c r="D3" s="110">
        <v>34.5</v>
      </c>
      <c r="E3" s="110">
        <f>E2*0.95</f>
      </c>
    </row>
    <row customHeight="true" ht="16.296296296296294" r="4">
      <c r="A4" s="107" t="s">
        <v>166</v>
      </c>
      <c r="B4" s="108" t="s">
        <v>169</v>
      </c>
      <c r="C4" s="109">
        <v>4.49</v>
      </c>
      <c r="D4" s="110">
        <v>34.5</v>
      </c>
      <c r="E4" s="110">
        <f>49.99*0.9</f>
      </c>
    </row>
    <row customHeight="true" ht="16.296296296296294" r="5">
      <c r="A5" s="107" t="s">
        <v>166</v>
      </c>
      <c r="B5" s="108" t="s">
        <v>170</v>
      </c>
      <c r="C5" s="109">
        <v>1.99</v>
      </c>
      <c r="D5" s="110">
        <v>34.5</v>
      </c>
      <c r="E5" s="110">
        <f>49.99*0.85</f>
      </c>
    </row>
    <row customHeight="true" ht="16.296296296296294" r="6">
      <c r="A6" s="107" t="s">
        <v>166</v>
      </c>
      <c r="B6" s="108" t="s">
        <v>171</v>
      </c>
      <c r="C6" s="110">
        <v>2.93</v>
      </c>
      <c r="D6" s="110">
        <v>34.5</v>
      </c>
      <c r="E6" s="110"/>
    </row>
    <row customHeight="true" ht="16.296296296296294" r="7">
      <c r="A7" s="107" t="s">
        <v>166</v>
      </c>
      <c r="B7" s="108" t="s">
        <v>172</v>
      </c>
      <c r="C7" s="110">
        <v>1.68</v>
      </c>
      <c r="D7" s="110">
        <v>34.5</v>
      </c>
      <c r="E7" s="110">
        <v>42.49</v>
      </c>
    </row>
    <row customHeight="true" ht="16.296296296296294" r="8">
      <c r="A8" s="107" t="s">
        <v>166</v>
      </c>
      <c r="B8" s="108" t="s">
        <v>173</v>
      </c>
      <c r="C8" s="110">
        <v>1.74</v>
      </c>
      <c r="D8" s="110">
        <v>34.5</v>
      </c>
      <c r="E8" s="110">
        <v>42.49</v>
      </c>
    </row>
    <row customHeight="true" ht="16.296296296296294" r="9">
      <c r="A9" s="107" t="s">
        <v>166</v>
      </c>
      <c r="B9" s="108" t="s">
        <v>174</v>
      </c>
      <c r="C9" s="110">
        <v>6.68</v>
      </c>
      <c r="D9" s="110">
        <v>49.99</v>
      </c>
      <c r="E9" s="110">
        <v>49.99</v>
      </c>
    </row>
    <row customHeight="true" ht="16.296296296296294" r="10">
      <c r="A10" s="107" t="s">
        <v>166</v>
      </c>
      <c r="B10" s="108" t="s">
        <v>175</v>
      </c>
      <c r="C10" s="110">
        <v>8.85</v>
      </c>
      <c r="D10" s="110">
        <v>52.99</v>
      </c>
      <c r="E10" s="110">
        <v>52.99</v>
      </c>
    </row>
    <row customHeight="true" ht="16.296296296296294" r="11">
      <c r="A11" s="107" t="s">
        <v>176</v>
      </c>
      <c r="B11" s="108" t="s">
        <v>167</v>
      </c>
      <c r="C11" s="109">
        <v>8.77</v>
      </c>
      <c r="D11" s="110">
        <v>34.5</v>
      </c>
      <c r="E11" s="110">
        <v>51.99</v>
      </c>
    </row>
    <row customHeight="true" ht="16.296296296296294" r="12">
      <c r="A12" s="107" t="s">
        <v>176</v>
      </c>
      <c r="B12" s="108" t="s">
        <v>168</v>
      </c>
      <c r="C12" s="109">
        <v>6.27</v>
      </c>
      <c r="D12" s="110">
        <v>34.5</v>
      </c>
      <c r="E12" s="110">
        <f>E11*0.95</f>
      </c>
    </row>
    <row customHeight="true" ht="16.296296296296294" r="13">
      <c r="A13" s="107" t="s">
        <v>176</v>
      </c>
      <c r="B13" s="108" t="s">
        <v>169</v>
      </c>
      <c r="C13" s="109">
        <v>3.77</v>
      </c>
      <c r="D13" s="110">
        <v>34.5</v>
      </c>
      <c r="E13" s="110">
        <f>51.99*0.9</f>
      </c>
    </row>
    <row customHeight="true" ht="16.296296296296294" r="14">
      <c r="A14" s="107" t="s">
        <v>176</v>
      </c>
      <c r="B14" s="108" t="s">
        <v>170</v>
      </c>
      <c r="C14" s="109">
        <v>1.27</v>
      </c>
      <c r="D14" s="110">
        <v>34.5</v>
      </c>
      <c r="E14" s="110">
        <f>51.99*0.85</f>
      </c>
    </row>
    <row customHeight="true" ht="16.296296296296294" r="15">
      <c r="A15" s="107" t="s">
        <v>176</v>
      </c>
      <c r="B15" s="108" t="s">
        <v>172</v>
      </c>
      <c r="C15" s="110">
        <v>2.48</v>
      </c>
      <c r="D15" s="110">
        <v>34.5</v>
      </c>
      <c r="E15" s="110">
        <v>45.59</v>
      </c>
    </row>
    <row customHeight="true" ht="16.296296296296294" r="16">
      <c r="A16" s="107" t="s">
        <v>176</v>
      </c>
      <c r="B16" s="108" t="s">
        <v>177</v>
      </c>
      <c r="C16" s="110">
        <v>7.58</v>
      </c>
      <c r="D16" s="110">
        <v>34.5</v>
      </c>
      <c r="E16" s="110">
        <v>43.31</v>
      </c>
    </row>
    <row customHeight="true" ht="16.296296296296294" r="17">
      <c r="A17" s="107" t="s">
        <v>176</v>
      </c>
      <c r="B17" s="108" t="s">
        <v>178</v>
      </c>
      <c r="C17" s="110">
        <v>6.33</v>
      </c>
      <c r="D17" s="110">
        <v>51.99</v>
      </c>
      <c r="E17" s="110">
        <v>51.99</v>
      </c>
    </row>
    <row customHeight="true" ht="16.296296296296294" r="18">
      <c r="A18" s="107" t="s">
        <v>176</v>
      </c>
      <c r="B18" s="108" t="s">
        <v>179</v>
      </c>
      <c r="C18" s="110">
        <v>8.19</v>
      </c>
      <c r="D18" s="110">
        <v>54.99</v>
      </c>
      <c r="E18" s="110">
        <v>54.99</v>
      </c>
    </row>
    <row customHeight="true" ht="16.296296296296294" r="19">
      <c r="A19" s="107" t="s">
        <v>180</v>
      </c>
      <c r="B19" s="108" t="s">
        <v>167</v>
      </c>
      <c r="C19" s="109">
        <v>8.66</v>
      </c>
      <c r="D19" s="110">
        <v>34.5</v>
      </c>
      <c r="E19" s="110">
        <v>51.99</v>
      </c>
    </row>
    <row customHeight="true" ht="16.296296296296294" r="20">
      <c r="A20" s="107" t="s">
        <v>180</v>
      </c>
      <c r="B20" s="108" t="s">
        <v>168</v>
      </c>
      <c r="C20" s="109">
        <v>6.16</v>
      </c>
      <c r="D20" s="110">
        <v>34.5</v>
      </c>
      <c r="E20" s="110">
        <f>E19*0.95</f>
      </c>
    </row>
    <row customHeight="true" ht="16.296296296296294" r="21">
      <c r="A21" s="107" t="s">
        <v>180</v>
      </c>
      <c r="B21" s="108" t="s">
        <v>169</v>
      </c>
      <c r="C21" s="109">
        <v>3.66</v>
      </c>
      <c r="D21" s="110">
        <v>34.5</v>
      </c>
      <c r="E21" s="110">
        <f>51.99*0.9</f>
      </c>
    </row>
    <row customHeight="true" ht="16.296296296296294" r="22">
      <c r="A22" s="107" t="s">
        <v>180</v>
      </c>
      <c r="B22" s="108" t="s">
        <v>170</v>
      </c>
      <c r="C22" s="109">
        <v>1.16</v>
      </c>
      <c r="D22" s="110">
        <v>34.5</v>
      </c>
      <c r="E22" s="110">
        <f>51.99*0.85</f>
      </c>
    </row>
    <row customHeight="true" ht="16.296296296296294" r="23">
      <c r="A23" s="107" t="s">
        <v>180</v>
      </c>
      <c r="B23" s="108" t="s">
        <v>181</v>
      </c>
      <c r="C23" s="110">
        <v>1.12</v>
      </c>
      <c r="D23" s="110">
        <v>34.5</v>
      </c>
      <c r="E23" s="110">
        <v>46.74</v>
      </c>
    </row>
    <row customHeight="true" ht="16.296296296296294" r="24">
      <c r="A24" s="107" t="s">
        <v>180</v>
      </c>
      <c r="B24" s="108" t="s">
        <v>182</v>
      </c>
      <c r="C24" s="110">
        <v>2.35</v>
      </c>
      <c r="D24" s="110">
        <v>34.5</v>
      </c>
      <c r="E24" s="110">
        <v>39.72</v>
      </c>
    </row>
    <row customHeight="true" ht="16.296296296296294" r="25">
      <c r="A25" s="107" t="s">
        <v>180</v>
      </c>
      <c r="B25" s="108" t="s">
        <v>178</v>
      </c>
      <c r="C25" s="110">
        <v>8.11</v>
      </c>
      <c r="D25" s="110">
        <v>51.99</v>
      </c>
      <c r="E25" s="110">
        <v>51.99</v>
      </c>
    </row>
    <row customHeight="true" ht="16.296296296296294" r="26">
      <c r="A26" s="107" t="s">
        <v>183</v>
      </c>
      <c r="B26" s="108" t="s">
        <v>167</v>
      </c>
      <c r="C26" s="109">
        <v>8.21</v>
      </c>
      <c r="D26" s="110">
        <v>34.5</v>
      </c>
      <c r="E26" s="110">
        <v>51.99</v>
      </c>
    </row>
    <row customHeight="true" ht="16.296296296296294" r="27">
      <c r="A27" s="107" t="s">
        <v>183</v>
      </c>
      <c r="B27" s="108" t="s">
        <v>168</v>
      </c>
      <c r="C27" s="109">
        <v>5.71</v>
      </c>
      <c r="D27" s="110">
        <v>34.5</v>
      </c>
      <c r="E27" s="110">
        <f>E26*0.95</f>
      </c>
    </row>
    <row customHeight="true" ht="16.296296296296294" r="28">
      <c r="A28" s="107" t="s">
        <v>183</v>
      </c>
      <c r="B28" s="108" t="s">
        <v>169</v>
      </c>
      <c r="C28" s="109">
        <v>3.21</v>
      </c>
      <c r="D28" s="110">
        <v>34.5</v>
      </c>
      <c r="E28" s="110">
        <f>51.99*0.9</f>
      </c>
    </row>
    <row customHeight="true" ht="16.296296296296294" r="29">
      <c r="A29" s="107" t="s">
        <v>183</v>
      </c>
      <c r="B29" s="108" t="s">
        <v>170</v>
      </c>
      <c r="C29" s="109">
        <v>0.71</v>
      </c>
      <c r="D29" s="110">
        <v>34.5</v>
      </c>
      <c r="E29" s="110">
        <f>51.99*0.85</f>
      </c>
    </row>
    <row customHeight="true" ht="16.296296296296294" r="30">
      <c r="A30" s="107" t="s">
        <v>183</v>
      </c>
      <c r="B30" s="108" t="s">
        <v>184</v>
      </c>
      <c r="C30" s="110">
        <v>2.11</v>
      </c>
      <c r="D30" s="110">
        <v>34.5</v>
      </c>
      <c r="E30" s="110">
        <v>46.74</v>
      </c>
    </row>
    <row customHeight="true" ht="16.296296296296294" r="31">
      <c r="A31" s="107" t="s">
        <v>183</v>
      </c>
      <c r="B31" s="108" t="s">
        <v>185</v>
      </c>
      <c r="C31" s="110">
        <v>3.13</v>
      </c>
      <c r="D31" s="110">
        <v>34.5</v>
      </c>
      <c r="E31" s="110">
        <v>39.72</v>
      </c>
    </row>
    <row customHeight="true" ht="16.296296296296294" r="32">
      <c r="A32" s="107" t="s">
        <v>183</v>
      </c>
      <c r="B32" s="108" t="s">
        <v>178</v>
      </c>
      <c r="C32" s="110">
        <v>8.43</v>
      </c>
      <c r="D32" s="110">
        <v>51.99</v>
      </c>
      <c r="E32" s="110">
        <v>51.99</v>
      </c>
    </row>
    <row customHeight="true" ht="16.296296296296294" r="33">
      <c r="A33" s="107" t="s">
        <v>183</v>
      </c>
      <c r="B33" s="108" t="s">
        <v>179</v>
      </c>
      <c r="C33" s="110">
        <v>10.29</v>
      </c>
      <c r="D33" s="110">
        <v>54.99</v>
      </c>
      <c r="E33" s="110">
        <v>54.99</v>
      </c>
    </row>
    <row customHeight="true" ht="16.296296296296294" r="34">
      <c r="A34" s="107" t="s">
        <v>186</v>
      </c>
      <c r="B34" s="108" t="s">
        <v>167</v>
      </c>
      <c r="C34" s="110">
        <v>8.52</v>
      </c>
      <c r="D34" s="110">
        <v>27.5</v>
      </c>
      <c r="E34" s="110">
        <v>45.99</v>
      </c>
    </row>
    <row customHeight="true" ht="16.296296296296294" r="35">
      <c r="A35" s="107" t="s">
        <v>186</v>
      </c>
      <c r="B35" s="108" t="s">
        <v>169</v>
      </c>
      <c r="C35" s="110">
        <v>3.92</v>
      </c>
      <c r="D35" s="110">
        <v>27.5</v>
      </c>
      <c r="E35" s="110">
        <f>E34*0.9</f>
      </c>
    </row>
    <row customHeight="true" ht="16.296296296296294" r="36">
      <c r="A36" s="107" t="s">
        <v>186</v>
      </c>
      <c r="B36" s="108" t="s">
        <v>170</v>
      </c>
      <c r="C36" s="110">
        <v>1.63</v>
      </c>
      <c r="D36" s="110">
        <v>27.5</v>
      </c>
      <c r="E36" s="110">
        <f>E34*0.85</f>
      </c>
    </row>
    <row customHeight="true" ht="16.296296296296294" r="37">
      <c r="A37" s="107" t="s">
        <v>186</v>
      </c>
      <c r="B37" s="108" t="s">
        <v>187</v>
      </c>
      <c r="C37" s="110">
        <v>2.27</v>
      </c>
      <c r="D37" s="110">
        <v>27.5</v>
      </c>
      <c r="E37" s="110">
        <v>42.49</v>
      </c>
    </row>
    <row customHeight="true" ht="16.296296296296294" r="38">
      <c r="A38" s="107" t="s">
        <v>186</v>
      </c>
      <c r="B38" s="108" t="s">
        <v>188</v>
      </c>
      <c r="C38" s="110">
        <v>3.2</v>
      </c>
      <c r="D38" s="110">
        <v>27.5</v>
      </c>
      <c r="E38" s="110"/>
    </row>
    <row customHeight="true" ht="16.296296296296294" r="39">
      <c r="A39" s="107" t="s">
        <v>186</v>
      </c>
      <c r="B39" s="108" t="s">
        <v>189</v>
      </c>
      <c r="C39" s="110">
        <v>2.89</v>
      </c>
      <c r="D39" s="110">
        <v>27.5</v>
      </c>
      <c r="E39" s="110">
        <v>38.24</v>
      </c>
    </row>
    <row customHeight="true" ht="16.296296296296294" r="40">
      <c r="A40" s="107" t="s">
        <v>186</v>
      </c>
      <c r="B40" s="108" t="s">
        <v>190</v>
      </c>
      <c r="C40" s="110">
        <v>6.32</v>
      </c>
      <c r="D40" s="110">
        <v>45.99</v>
      </c>
      <c r="E40" s="110">
        <v>45.99</v>
      </c>
    </row>
  </sheetData>
  <autoFilter ref="A1:E40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9.666666666666666"/>
    <col collapsed="false" customWidth="true" hidden="false" max="10" min="10" style="0" width="11.266666666666667"/>
    <col collapsed="false" customWidth="true" hidden="false" max="14" min="14" style="0" width="10.466666666666667"/>
    <col collapsed="false" customWidth="true" hidden="false" max="18" min="18" style="0" width="9"/>
    <col collapsed="false" customWidth="true" hidden="false" max="2" min="2" style="0" width="6.066666666666666"/>
    <col collapsed="false" customWidth="true" hidden="false" max="5" min="5" style="0" width="12.466666666666667"/>
    <col collapsed="false" customWidth="true" hidden="false" max="9" min="9" style="0" width="9"/>
    <col collapsed="false" customWidth="true" hidden="false" max="13" min="13" style="0" width="14.466666666666667"/>
    <col collapsed="false" customWidth="true" hidden="false" max="17" min="17" style="0" width="15.133333333333333"/>
    <col collapsed="false" customWidth="true" hidden="false" max="1" min="1" style="0" width="11.533333333333333"/>
    <col collapsed="false" customWidth="true" hidden="false" max="8" min="8" style="0" width="10.466666666666667"/>
    <col collapsed="false" customWidth="true" hidden="false" max="12" min="12" style="0" width="13.533333333333333"/>
    <col collapsed="false" customWidth="true" hidden="false" max="16" min="16" style="0" width="10.466666666666667"/>
    <col collapsed="false" customWidth="true" hidden="false" max="20" min="20" style="0" width="29.933333333333334"/>
    <col collapsed="false" customWidth="true" hidden="false" max="4" min="4" style="0" width="9"/>
    <col collapsed="false" customWidth="true" hidden="false" max="7" min="7" style="0" width="10.466666666666667"/>
    <col collapsed="false" customWidth="true" hidden="false" max="11" min="11" style="0" width="8.2"/>
    <col collapsed="false" customWidth="true" hidden="false" max="15" min="15" style="0" width="10.466666666666667"/>
    <col collapsed="false" customWidth="true" hidden="false" max="19" min="19" style="0" width="14.2"/>
    <col collapsed="false" customWidth="true" hidden="false" max="3" min="3" style="0" width="6.066666666666666"/>
  </cols>
  <sheetData>
    <row customHeight="true" ht="23.703703703703702" r="1">
      <c r="A1" s="111" t="s">
        <v>191</v>
      </c>
      <c r="B1" s="112" t="s">
        <v>192</v>
      </c>
      <c r="C1" s="112" t="s">
        <v>193</v>
      </c>
      <c r="D1" s="112" t="s">
        <v>194</v>
      </c>
      <c r="E1" s="113" t="s">
        <v>195</v>
      </c>
      <c r="F1" s="114" t="s">
        <v>196</v>
      </c>
      <c r="G1" s="113" t="s">
        <v>197</v>
      </c>
      <c r="H1" s="113" t="s">
        <v>198</v>
      </c>
      <c r="I1" s="113" t="s">
        <v>199</v>
      </c>
      <c r="J1" s="113" t="s">
        <v>196</v>
      </c>
      <c r="K1" s="115" t="s">
        <v>200</v>
      </c>
      <c r="L1" s="113" t="s">
        <v>201</v>
      </c>
      <c r="M1" s="113" t="s">
        <v>202</v>
      </c>
      <c r="N1" s="112" t="s">
        <v>203</v>
      </c>
      <c r="O1" s="116" t="s">
        <v>204</v>
      </c>
      <c r="P1" s="116" t="s">
        <v>205</v>
      </c>
      <c r="Q1" s="115" t="s">
        <v>206</v>
      </c>
      <c r="R1" s="115" t="s">
        <v>207</v>
      </c>
      <c r="S1" s="117" t="s">
        <v>208</v>
      </c>
    </row>
    <row customHeight="true" ht="23.703703703703702" r="2">
      <c r="A2" s="118" t="s">
        <v>209</v>
      </c>
      <c r="B2" s="119" t="s">
        <v>210</v>
      </c>
      <c r="C2" s="119">
        <f t="shared" ref="C2:C7" si="372">SUMIFS($C$10:$C$666,$B$10:$B$666,B2,$A$10:$A$666,"&gt;="&amp;$A$3,$A$10:$A$666,"&lt;="&amp;$A$5)</f>
      </c>
      <c r="D2" s="120">
        <v>65</v>
      </c>
      <c r="E2" s="121">
        <f t="shared" ref="E2:E7" si="0">SUMIFS($E$10:$E$666,$B$10:$B$666,B2,$A$10:$A$666,"&gt;="&amp;$A$3,$A$10:$A$666,"&lt;="&amp;$A$5)</f>
      </c>
      <c r="F2" s="122"/>
      <c r="G2" s="121">
        <f t="shared" ref="G2:G7" si="32">SUMIFS($G$10:$G$666,$B$10:$B$666,B2,$A$10:$A$666,"&gt;="&amp;$A$3,$A$10:$A$666,"&lt;="&amp;$A$5)</f>
      </c>
      <c r="H2" s="121">
        <f t="shared" ref="H2:H7" si="94">SUMIFS($H$10:$H$666,$B$10:$B$666,B2,$A$10:$A$666,"&gt;="&amp;$A$3,$A$10:$A$666,"&lt;="&amp;$A$5)</f>
      </c>
      <c r="I2" s="121">
        <f t="shared" ref="I2:I7" si="156">SUMIFS($I$10:$I$666,$B$10:$B$666,B2,$A$10:$A$666,"&gt;="&amp;$A$3,$A$10:$A$666,"&lt;="&amp;$A$5)</f>
      </c>
      <c r="J2" s="121">
        <f t="shared" ref="J2:J7" si="218">SUMIFS($J$10:$J$666,$B$10:$B$666,B2,$A$10:$A$666,"&gt;="&amp;$A$3,$A$10:$A$666,"&lt;="&amp;$A$5)</f>
      </c>
      <c r="K2" s="123">
        <f t="shared" ref="K2:K7" si="250">J2/E2</f>
      </c>
      <c r="L2" s="121">
        <f t="shared" ref="L2:L7" si="311">SUMIFS($L$10:$L$666,$B$10:$B$666,B2,$A$10:$A$666,"&gt;="&amp;$A$3,$A$10:$A$666,"&lt;="&amp;$A$5)</f>
      </c>
      <c r="M2" s="121">
        <f t="shared" ref="M2:M7" si="373">SUMIFS($M$10:$M$666,$B$10:$B$666,B2,$A$10:$A$666,"&gt;="&amp;$A$3,$A$10:$A$666,"&lt;="&amp;$A$5)</f>
      </c>
      <c r="N2" s="123">
        <f t="shared" ref="N2:N7" si="1">H2/E2</f>
      </c>
      <c r="O2" s="124">
        <f t="shared" ref="O2:O7" si="33">SUMIFS($O$10:$O$666,$B$10:$B$666,B2,$A$10:$A$666,"&gt;="&amp;$A$3,$A$10:$A$666,"&lt;="&amp;$A$5)</f>
      </c>
      <c r="P2" s="124">
        <f t="shared" ref="P2:P8" si="95">C2-O2</f>
      </c>
      <c r="Q2" s="125">
        <f t="shared" ref="Q2:Q8" si="157">O2/C2</f>
      </c>
      <c r="R2" s="125">
        <f t="shared" ref="R2:R7" si="219">H2/(E2*Q2)</f>
      </c>
    </row>
    <row customHeight="true" ht="23.703703703703702" r="3">
      <c r="A3" s="126">
        <v>45931</v>
      </c>
      <c r="B3" s="119" t="s">
        <v>211</v>
      </c>
      <c r="C3" s="119">
        <f t="shared" si="372"/>
      </c>
      <c r="D3" s="120">
        <v>65</v>
      </c>
      <c r="E3" s="121">
        <f t="shared" si="0"/>
      </c>
      <c r="F3" s="122"/>
      <c r="G3" s="121">
        <f t="shared" si="32"/>
      </c>
      <c r="H3" s="121">
        <f t="shared" si="94"/>
      </c>
      <c r="I3" s="121">
        <f t="shared" si="156"/>
      </c>
      <c r="J3" s="121">
        <f t="shared" si="218"/>
      </c>
      <c r="K3" s="123">
        <f t="shared" si="250"/>
      </c>
      <c r="L3" s="121">
        <f t="shared" si="311"/>
      </c>
      <c r="M3" s="121">
        <f t="shared" si="373"/>
      </c>
      <c r="N3" s="123">
        <f t="shared" si="1"/>
      </c>
      <c r="O3" s="124">
        <f t="shared" si="33"/>
      </c>
      <c r="P3" s="124">
        <f t="shared" si="95"/>
      </c>
      <c r="Q3" s="125">
        <f t="shared" si="157"/>
      </c>
      <c r="R3" s="125">
        <f t="shared" si="219"/>
      </c>
    </row>
    <row customHeight="true" ht="23.703703703703702" r="4">
      <c r="A4" s="118" t="s">
        <v>212</v>
      </c>
      <c r="B4" s="119" t="s">
        <v>213</v>
      </c>
      <c r="C4" s="119">
        <f t="shared" si="372"/>
      </c>
      <c r="D4" s="120">
        <v>65</v>
      </c>
      <c r="E4" s="121">
        <f t="shared" si="0"/>
      </c>
      <c r="F4" s="122"/>
      <c r="G4" s="121">
        <f t="shared" si="32"/>
      </c>
      <c r="H4" s="121">
        <f t="shared" si="94"/>
      </c>
      <c r="I4" s="121">
        <f t="shared" si="156"/>
      </c>
      <c r="J4" s="121">
        <f t="shared" si="218"/>
      </c>
      <c r="K4" s="123">
        <f t="shared" si="250"/>
      </c>
      <c r="L4" s="121">
        <f t="shared" si="311"/>
      </c>
      <c r="M4" s="121">
        <f t="shared" si="373"/>
      </c>
      <c r="N4" s="123">
        <f t="shared" si="1"/>
      </c>
      <c r="O4" s="124">
        <f t="shared" si="33"/>
      </c>
      <c r="P4" s="124">
        <f t="shared" si="95"/>
      </c>
      <c r="Q4" s="125">
        <f t="shared" si="157"/>
      </c>
      <c r="R4" s="125">
        <f t="shared" si="219"/>
      </c>
    </row>
    <row customHeight="true" ht="23.703703703703702" r="5">
      <c r="A5" s="127">
        <f>NOW()</f>
      </c>
      <c r="B5" s="119" t="s">
        <v>214</v>
      </c>
      <c r="C5" s="119">
        <f t="shared" si="372"/>
      </c>
      <c r="D5" s="120">
        <v>65</v>
      </c>
      <c r="E5" s="121">
        <f t="shared" si="0"/>
      </c>
      <c r="F5" s="122"/>
      <c r="G5" s="121">
        <f t="shared" si="32"/>
      </c>
      <c r="H5" s="121">
        <f t="shared" si="94"/>
      </c>
      <c r="I5" s="121">
        <f t="shared" si="156"/>
      </c>
      <c r="J5" s="121">
        <f t="shared" si="218"/>
      </c>
      <c r="K5" s="123">
        <f t="shared" si="250"/>
      </c>
      <c r="L5" s="121">
        <f t="shared" si="311"/>
      </c>
      <c r="M5" s="121">
        <f t="shared" si="373"/>
      </c>
      <c r="N5" s="123">
        <f t="shared" si="1"/>
      </c>
      <c r="O5" s="124">
        <f t="shared" si="33"/>
      </c>
      <c r="P5" s="124">
        <f t="shared" si="95"/>
      </c>
      <c r="Q5" s="125">
        <f t="shared" si="157"/>
      </c>
      <c r="R5" s="125">
        <f t="shared" si="219"/>
      </c>
    </row>
    <row customHeight="true" ht="23.703703703703702" r="6">
      <c r="A6" s="118" t="s">
        <v>215</v>
      </c>
      <c r="B6" s="119" t="s">
        <v>216</v>
      </c>
      <c r="C6" s="119">
        <f t="shared" si="372"/>
      </c>
      <c r="D6" s="120"/>
      <c r="E6" s="121">
        <f t="shared" si="0"/>
      </c>
      <c r="F6" s="122"/>
      <c r="G6" s="121">
        <f t="shared" si="32"/>
      </c>
      <c r="H6" s="121">
        <f t="shared" si="94"/>
      </c>
      <c r="I6" s="121">
        <f t="shared" si="156"/>
      </c>
      <c r="J6" s="121">
        <f t="shared" si="218"/>
      </c>
      <c r="K6" s="123">
        <f t="shared" si="250"/>
      </c>
      <c r="L6" s="121">
        <f t="shared" si="311"/>
      </c>
      <c r="M6" s="121">
        <f t="shared" si="373"/>
      </c>
      <c r="N6" s="123">
        <f t="shared" si="1"/>
      </c>
      <c r="O6" s="124">
        <f t="shared" si="33"/>
      </c>
      <c r="P6" s="124">
        <f t="shared" si="95"/>
      </c>
      <c r="Q6" s="125">
        <f t="shared" si="157"/>
      </c>
      <c r="R6" s="125">
        <f t="shared" si="219"/>
      </c>
    </row>
    <row customHeight="true" ht="23.703703703703702" r="7">
      <c r="A7" s="127">
        <f>NOW()</f>
      </c>
      <c r="B7" s="119" t="s">
        <v>217</v>
      </c>
      <c r="C7" s="119">
        <f t="shared" si="372"/>
      </c>
      <c r="D7" s="120"/>
      <c r="E7" s="121">
        <f t="shared" si="0"/>
      </c>
      <c r="F7" s="122"/>
      <c r="G7" s="121">
        <f t="shared" si="32"/>
      </c>
      <c r="H7" s="121">
        <f t="shared" si="94"/>
      </c>
      <c r="I7" s="121">
        <f t="shared" si="156"/>
      </c>
      <c r="J7" s="121">
        <f t="shared" si="218"/>
      </c>
      <c r="K7" s="123">
        <f t="shared" si="250"/>
      </c>
      <c r="L7" s="121">
        <f t="shared" si="311"/>
      </c>
      <c r="M7" s="121">
        <f t="shared" si="373"/>
      </c>
      <c r="N7" s="123">
        <f t="shared" si="1"/>
      </c>
      <c r="O7" s="124">
        <f t="shared" si="33"/>
      </c>
      <c r="P7" s="124">
        <f t="shared" si="95"/>
      </c>
      <c r="Q7" s="125">
        <f t="shared" si="157"/>
      </c>
      <c r="R7" s="125">
        <f t="shared" si="219"/>
      </c>
    </row>
    <row customHeight="true" ht="23.703703703703702" r="8">
      <c r="A8" s="128"/>
      <c r="B8" s="119" t="s">
        <v>191</v>
      </c>
      <c r="C8" s="119">
        <f>SUM(C2:C7)</f>
      </c>
      <c r="D8" s="129"/>
      <c r="E8" s="121"/>
      <c r="F8" s="122"/>
      <c r="G8" s="121"/>
      <c r="H8" s="121"/>
      <c r="I8" s="121"/>
      <c r="J8" s="121"/>
      <c r="K8" s="123">
        <f>L8/M8</f>
      </c>
      <c r="L8" s="121">
        <f>SUM(L2:L7)</f>
      </c>
      <c r="M8" s="121">
        <f>SUM(M2:M7)</f>
      </c>
      <c r="N8" s="123"/>
      <c r="O8" s="124">
        <f>SUM(O2:O7)</f>
      </c>
      <c r="P8" s="124">
        <f t="shared" si="95"/>
      </c>
      <c r="Q8" s="125">
        <f t="shared" si="157"/>
      </c>
      <c r="R8" s="125"/>
    </row>
    <row customHeight="true" ht="23.703703703703702" r="9">
      <c r="B9" s="117" t="s">
        <v>218</v>
      </c>
    </row>
    <row customHeight="true" ht="23.703703703703702" r="10">
      <c r="A10" s="111" t="s">
        <v>219</v>
      </c>
      <c r="B10" s="112" t="s">
        <v>192</v>
      </c>
      <c r="C10" s="130" t="s">
        <v>193</v>
      </c>
      <c r="D10" s="112" t="s">
        <v>194</v>
      </c>
      <c r="E10" s="113" t="s">
        <v>195</v>
      </c>
      <c r="F10" s="114" t="s">
        <v>196</v>
      </c>
      <c r="G10" s="113" t="s">
        <v>197</v>
      </c>
      <c r="H10" s="131" t="s">
        <v>198</v>
      </c>
      <c r="I10" s="113" t="s">
        <v>199</v>
      </c>
      <c r="J10" s="113" t="s">
        <v>196</v>
      </c>
      <c r="K10" s="115" t="s">
        <v>200</v>
      </c>
      <c r="L10" s="113" t="s">
        <v>201</v>
      </c>
      <c r="M10" s="113" t="s">
        <v>202</v>
      </c>
      <c r="N10" s="112" t="s">
        <v>203</v>
      </c>
      <c r="O10" s="132" t="s">
        <v>204</v>
      </c>
      <c r="P10" s="116" t="s">
        <v>205</v>
      </c>
      <c r="Q10" s="115" t="s">
        <v>206</v>
      </c>
      <c r="R10" s="115" t="s">
        <v>207</v>
      </c>
      <c r="S10" s="115" t="s">
        <v>220</v>
      </c>
    </row>
    <row customHeight="true" ht="23.703703703703702" r="11">
      <c r="A11" s="133">
        <v>45931</v>
      </c>
      <c r="B11" s="119" t="s">
        <v>210</v>
      </c>
      <c r="C11" s="119">
        <v>0</v>
      </c>
      <c r="D11" s="134" cm="1">
        <f t="array" ref="D11:D11">_xlfn.XLOOKUP(B11&amp;S11,'气-价格-毛利'!A:A&amp;'气-价格-毛利'!B:B,'气-价格-毛利'!D:D,0)</f>
      </c>
      <c r="E11" s="121">
        <f t="shared" ref="E11:E21" si="34">C11*D11</f>
      </c>
      <c r="F11" s="120" cm="1">
        <f t="array" ref="F11:F11">_xlfn.XLOOKUP(B11&amp;S11,'气-价格-毛利'!A:A&amp;'气-价格-毛利'!B:B,'气-价格-毛利'!C:C,0)</f>
      </c>
      <c r="G11" s="121">
        <f>C11*8</f>
      </c>
      <c r="H11" s="121"/>
      <c r="I11" s="121">
        <f t="shared" ref="I11:I21" si="220">E11*0.025</f>
      </c>
      <c r="J11" s="121">
        <f t="shared" ref="J11:J20" si="251">F11*C11+G11-H11-I11</f>
      </c>
      <c r="K11" s="123">
        <f t="shared" ref="K11:K22" si="312">IFERROR(J11/E11,0)</f>
      </c>
      <c r="L11" s="121">
        <f t="shared" ref="L11:L18" si="374">J11*8</f>
      </c>
      <c r="M11" s="121">
        <f t="shared" ref="M11:M18" si="2">E11*8</f>
      </c>
      <c r="N11" s="123">
        <f t="shared" ref="N11:N21" si="64">IFERROR(H11/E11,0)</f>
      </c>
      <c r="O11" s="135"/>
      <c r="P11" s="135">
        <f t="shared" ref="P11:P22" si="96">C11-O11</f>
      </c>
      <c r="Q11" s="125">
        <f t="shared" ref="Q11:Q22" si="126">IFERROR(O11/C11,0)</f>
      </c>
      <c r="R11" s="125">
        <f t="shared" ref="R11:R20" si="188">IFERROR(H11/(E11*Q11),0)</f>
      </c>
      <c r="S11" s="123" t="s">
        <v>221</v>
      </c>
    </row>
    <row customHeight="true" ht="23.703703703703702" r="12">
      <c r="A12" s="133">
        <v>45931</v>
      </c>
      <c r="B12" s="119" t="s">
        <v>210</v>
      </c>
      <c r="C12" s="119">
        <v>1</v>
      </c>
      <c r="D12" s="134" cm="1">
        <f t="array" ref="D12:D12">_xlfn.XLOOKUP(B12&amp;S12,'气-价格-毛利'!A:A&amp;'气-价格-毛利'!B:B,'气-价格-毛利'!D:D,0)</f>
      </c>
      <c r="E12" s="121">
        <f t="shared" si="34"/>
      </c>
      <c r="F12" s="120" cm="1">
        <f t="array" ref="F12:F12">_xlfn.XLOOKUP(B12&amp;S12,'气-价格-毛利'!A:A&amp;'气-价格-毛利'!B:B,'气-价格-毛利'!C:C,0)</f>
      </c>
      <c r="G12" s="121">
        <f>C12*10</f>
      </c>
      <c r="H12" s="121"/>
      <c r="I12" s="121">
        <f t="shared" si="220"/>
      </c>
      <c r="J12" s="121">
        <f t="shared" si="251"/>
      </c>
      <c r="K12" s="123">
        <f t="shared" si="312"/>
      </c>
      <c r="L12" s="121">
        <f t="shared" si="374"/>
      </c>
      <c r="M12" s="121">
        <f t="shared" si="2"/>
      </c>
      <c r="N12" s="123">
        <f t="shared" si="64"/>
      </c>
      <c r="O12" s="124"/>
      <c r="P12" s="135">
        <f t="shared" si="96"/>
      </c>
      <c r="Q12" s="125">
        <f t="shared" si="126"/>
      </c>
      <c r="R12" s="125">
        <f t="shared" si="188"/>
      </c>
      <c r="S12" s="123" t="s">
        <v>222</v>
      </c>
      <c r="T12" s="136"/>
    </row>
    <row customHeight="true" ht="23.703703703703702" r="13">
      <c r="A13" s="133">
        <v>45931</v>
      </c>
      <c r="B13" s="119" t="s">
        <v>211</v>
      </c>
      <c r="C13" s="119">
        <v>0</v>
      </c>
      <c r="D13" s="134" cm="1">
        <f t="array" ref="D13:D13">_xlfn.XLOOKUP(B13&amp;S13,'气-价格-毛利'!A:A&amp;'气-价格-毛利'!B:B,'气-价格-毛利'!D:D,0)</f>
      </c>
      <c r="E13" s="121">
        <f t="shared" si="34"/>
      </c>
      <c r="F13" s="120" cm="1">
        <f t="array" ref="F13:F13">_xlfn.XLOOKUP(B13&amp;S13,'气-价格-毛利'!A:A&amp;'气-价格-毛利'!B:B,'气-价格-毛利'!C:C,0)</f>
      </c>
      <c r="G13" s="121">
        <f>C13*8</f>
      </c>
      <c r="H13" s="121"/>
      <c r="I13" s="121">
        <f t="shared" si="220"/>
      </c>
      <c r="J13" s="121">
        <f t="shared" si="251"/>
      </c>
      <c r="K13" s="123">
        <f t="shared" si="312"/>
      </c>
      <c r="L13" s="121">
        <f t="shared" si="374"/>
      </c>
      <c r="M13" s="121">
        <f t="shared" si="2"/>
      </c>
      <c r="N13" s="123">
        <f t="shared" si="64"/>
      </c>
      <c r="O13" s="135"/>
      <c r="P13" s="135">
        <f t="shared" si="96"/>
      </c>
      <c r="Q13" s="125">
        <f t="shared" si="126"/>
      </c>
      <c r="R13" s="125">
        <f t="shared" si="188"/>
      </c>
      <c r="S13" s="123" t="s">
        <v>221</v>
      </c>
      <c r="T13" s="136"/>
    </row>
    <row customHeight="true" ht="23.703703703703702" r="14">
      <c r="A14" s="133">
        <v>45931</v>
      </c>
      <c r="B14" s="119" t="s">
        <v>211</v>
      </c>
      <c r="C14" s="119">
        <v>0</v>
      </c>
      <c r="D14" s="134" cm="1">
        <f t="array" ref="D14:D14">_xlfn.XLOOKUP(B14&amp;S14,'气-价格-毛利'!A:A&amp;'气-价格-毛利'!B:B,'气-价格-毛利'!D:D,0)</f>
      </c>
      <c r="E14" s="121">
        <f t="shared" si="34"/>
      </c>
      <c r="F14" s="120" cm="1">
        <f t="array" ref="F14:F14">_xlfn.XLOOKUP(B14&amp;S14,'气-价格-毛利'!A:A&amp;'气-价格-毛利'!B:B,'气-价格-毛利'!C:C,0)</f>
      </c>
      <c r="G14" s="121">
        <f>C14*10</f>
      </c>
      <c r="H14" s="121"/>
      <c r="I14" s="121">
        <f t="shared" si="220"/>
      </c>
      <c r="J14" s="121">
        <f t="shared" si="251"/>
      </c>
      <c r="K14" s="123">
        <f t="shared" si="312"/>
      </c>
      <c r="L14" s="121">
        <f t="shared" si="374"/>
      </c>
      <c r="M14" s="121">
        <f t="shared" si="2"/>
      </c>
      <c r="N14" s="123">
        <f t="shared" si="64"/>
      </c>
      <c r="O14" s="135"/>
      <c r="P14" s="135">
        <f t="shared" si="96"/>
      </c>
      <c r="Q14" s="125">
        <f t="shared" si="126"/>
      </c>
      <c r="R14" s="125">
        <f t="shared" si="188"/>
      </c>
      <c r="S14" s="123" t="s">
        <v>222</v>
      </c>
      <c r="T14" s="136"/>
    </row>
    <row customHeight="true" ht="23.703703703703702" r="15">
      <c r="A15" s="133">
        <v>45931</v>
      </c>
      <c r="B15" s="119" t="s">
        <v>213</v>
      </c>
      <c r="C15" s="119">
        <v>0</v>
      </c>
      <c r="D15" s="134" cm="1">
        <f t="array" ref="D15:D15">_xlfn.XLOOKUP(B15&amp;S15,'气-价格-毛利'!A:A&amp;'气-价格-毛利'!B:B,'气-价格-毛利'!D:D,0)</f>
      </c>
      <c r="E15" s="121">
        <f t="shared" si="34"/>
      </c>
      <c r="F15" s="120" cm="1">
        <f t="array" ref="F15:F15">_xlfn.XLOOKUP(B15&amp;S15,'气-价格-毛利'!A:A&amp;'气-价格-毛利'!B:B,'气-价格-毛利'!C:C,0)</f>
      </c>
      <c r="G15" s="121">
        <f>C15*8</f>
      </c>
      <c r="H15" s="121"/>
      <c r="I15" s="121">
        <f t="shared" si="220"/>
      </c>
      <c r="J15" s="121">
        <f t="shared" si="251"/>
      </c>
      <c r="K15" s="123">
        <f t="shared" si="312"/>
      </c>
      <c r="L15" s="121">
        <f t="shared" si="374"/>
      </c>
      <c r="M15" s="121">
        <f t="shared" si="2"/>
      </c>
      <c r="N15" s="123">
        <f t="shared" si="64"/>
      </c>
      <c r="O15" s="135"/>
      <c r="P15" s="135">
        <f t="shared" si="96"/>
      </c>
      <c r="Q15" s="125">
        <f t="shared" si="126"/>
      </c>
      <c r="R15" s="125">
        <f t="shared" si="188"/>
      </c>
      <c r="S15" s="123" t="s">
        <v>221</v>
      </c>
      <c r="T15" s="136"/>
    </row>
    <row customHeight="true" ht="23.703703703703702" r="16">
      <c r="A16" s="133">
        <v>45931</v>
      </c>
      <c r="B16" s="119" t="s">
        <v>213</v>
      </c>
      <c r="C16" s="119">
        <v>3</v>
      </c>
      <c r="D16" s="134" cm="1">
        <f t="array" ref="D16:D16">_xlfn.XLOOKUP(B16&amp;S16,'气-价格-毛利'!A:A&amp;'气-价格-毛利'!B:B,'气-价格-毛利'!D:D,0)</f>
      </c>
      <c r="E16" s="121">
        <f t="shared" si="34"/>
      </c>
      <c r="F16" s="120" cm="1">
        <f t="array" ref="F16:F16">_xlfn.XLOOKUP(B16&amp;S16,'气-价格-毛利'!A:A&amp;'气-价格-毛利'!B:B,'气-价格-毛利'!C:C,0)</f>
      </c>
      <c r="G16" s="121">
        <f>C16*10</f>
      </c>
      <c r="H16" s="121"/>
      <c r="I16" s="121">
        <f t="shared" si="220"/>
      </c>
      <c r="J16" s="121">
        <f t="shared" si="251"/>
      </c>
      <c r="K16" s="123">
        <f t="shared" si="312"/>
      </c>
      <c r="L16" s="121">
        <f t="shared" si="374"/>
      </c>
      <c r="M16" s="121">
        <f t="shared" si="2"/>
      </c>
      <c r="N16" s="123">
        <f t="shared" si="64"/>
      </c>
      <c r="O16" s="124"/>
      <c r="P16" s="135">
        <f t="shared" si="96"/>
      </c>
      <c r="Q16" s="125">
        <f t="shared" si="126"/>
      </c>
      <c r="R16" s="125">
        <f t="shared" si="188"/>
      </c>
      <c r="S16" s="123" t="s">
        <v>222</v>
      </c>
      <c r="T16" s="136"/>
    </row>
    <row customHeight="true" ht="23.703703703703702" r="17">
      <c r="A17" s="133">
        <v>45931</v>
      </c>
      <c r="B17" s="119" t="s">
        <v>214</v>
      </c>
      <c r="C17" s="119">
        <v>0</v>
      </c>
      <c r="D17" s="134" cm="1">
        <f t="array" ref="D17:D17">_xlfn.XLOOKUP(B17&amp;S17,'气-价格-毛利'!A:A&amp;'气-价格-毛利'!B:B,'气-价格-毛利'!D:D,0)</f>
      </c>
      <c r="E17" s="121">
        <f t="shared" si="34"/>
      </c>
      <c r="F17" s="120" cm="1">
        <f t="array" ref="F17:F17">_xlfn.XLOOKUP(B17&amp;S17,'气-价格-毛利'!A:A&amp;'气-价格-毛利'!B:B,'气-价格-毛利'!C:C,0)</f>
      </c>
      <c r="G17" s="121">
        <f>C17*8</f>
      </c>
      <c r="H17" s="121"/>
      <c r="I17" s="121">
        <f t="shared" si="220"/>
      </c>
      <c r="J17" s="121">
        <f t="shared" si="251"/>
      </c>
      <c r="K17" s="123">
        <f t="shared" si="312"/>
      </c>
      <c r="L17" s="121">
        <f t="shared" si="374"/>
      </c>
      <c r="M17" s="121">
        <f t="shared" si="2"/>
      </c>
      <c r="N17" s="123">
        <f t="shared" si="64"/>
      </c>
      <c r="O17" s="135"/>
      <c r="P17" s="135">
        <f t="shared" si="96"/>
      </c>
      <c r="Q17" s="125">
        <f t="shared" si="126"/>
      </c>
      <c r="R17" s="125">
        <f t="shared" si="188"/>
      </c>
      <c r="S17" s="123" t="s">
        <v>221</v>
      </c>
      <c r="T17" s="136"/>
    </row>
    <row customHeight="true" ht="23.703703703703702" r="18">
      <c r="A18" s="133">
        <v>45931</v>
      </c>
      <c r="B18" s="119" t="s">
        <v>214</v>
      </c>
      <c r="C18" s="119">
        <v>1</v>
      </c>
      <c r="D18" s="134" cm="1">
        <f t="array" ref="D18:D18">_xlfn.XLOOKUP(B18&amp;S18,'气-价格-毛利'!A:A&amp;'气-价格-毛利'!B:B,'气-价格-毛利'!D:D,0)</f>
      </c>
      <c r="E18" s="121">
        <f t="shared" si="34"/>
      </c>
      <c r="F18" s="120" cm="1">
        <f t="array" ref="F18:F18">_xlfn.XLOOKUP(B18&amp;S18,'气-价格-毛利'!A:A&amp;'气-价格-毛利'!B:B,'气-价格-毛利'!C:C,0)</f>
      </c>
      <c r="G18" s="121">
        <f>C18*10</f>
      </c>
      <c r="H18" s="121"/>
      <c r="I18" s="121">
        <f t="shared" si="220"/>
      </c>
      <c r="J18" s="121">
        <f t="shared" si="251"/>
      </c>
      <c r="K18" s="123">
        <f t="shared" si="312"/>
      </c>
      <c r="L18" s="121">
        <f t="shared" si="374"/>
      </c>
      <c r="M18" s="121">
        <f t="shared" si="2"/>
      </c>
      <c r="N18" s="123">
        <f t="shared" si="64"/>
      </c>
      <c r="O18" s="135"/>
      <c r="P18" s="135">
        <f t="shared" si="96"/>
      </c>
      <c r="Q18" s="125">
        <f t="shared" si="126"/>
      </c>
      <c r="R18" s="125">
        <f t="shared" si="188"/>
      </c>
      <c r="S18" s="123" t="s">
        <v>222</v>
      </c>
      <c r="T18" s="136"/>
    </row>
    <row customHeight="true" ht="23.703703703703702" r="19">
      <c r="A19" s="133">
        <v>45931</v>
      </c>
      <c r="B19" s="119" t="s">
        <v>216</v>
      </c>
      <c r="C19" s="119"/>
      <c r="D19" s="134" cm="1">
        <f t="array" ref="D19:D19">_xlfn.XLOOKUP(B19&amp;S19,'气-价格-毛利'!A:A&amp;'气-价格-毛利'!B:B,'气-价格-毛利'!D:D,0)</f>
      </c>
      <c r="E19" s="121">
        <f t="shared" si="34"/>
      </c>
      <c r="F19" s="120" cm="1">
        <f t="array" ref="F19:F19">_xlfn.XLOOKUP(B19&amp;S19,'气-价格-毛利'!A:A&amp;'气-价格-毛利'!B:B,'气-价格-毛利'!C:C,0)</f>
      </c>
      <c r="G19" s="121">
        <f t="shared" ref="G19:G20" si="158">C19*8</f>
      </c>
      <c r="H19" s="121"/>
      <c r="I19" s="121">
        <f t="shared" si="220"/>
      </c>
      <c r="J19" s="121">
        <f t="shared" si="251"/>
      </c>
      <c r="K19" s="123">
        <f t="shared" si="312"/>
      </c>
      <c r="L19" s="121">
        <f t="shared" ref="L19:L20" si="281">J19*9</f>
      </c>
      <c r="M19" s="121">
        <f t="shared" ref="M19:M20" si="342">E19*9</f>
      </c>
      <c r="N19" s="123">
        <f t="shared" si="64"/>
      </c>
      <c r="O19" s="135"/>
      <c r="P19" s="135">
        <f t="shared" si="96"/>
      </c>
      <c r="Q19" s="125">
        <f t="shared" si="126"/>
      </c>
      <c r="R19" s="125">
        <f t="shared" si="188"/>
      </c>
      <c r="S19" s="125"/>
      <c r="T19" s="136"/>
    </row>
    <row customHeight="true" ht="23.703703703703702" r="20">
      <c r="A20" s="133">
        <v>45931</v>
      </c>
      <c r="B20" s="119" t="s">
        <v>216</v>
      </c>
      <c r="C20" s="119"/>
      <c r="D20" s="134" cm="1">
        <f t="array" ref="D20:D20">_xlfn.XLOOKUP(B20&amp;S20,'气-价格-毛利'!A:A&amp;'气-价格-毛利'!B:B,'气-价格-毛利'!D:D,0)</f>
      </c>
      <c r="E20" s="121">
        <f t="shared" si="34"/>
      </c>
      <c r="F20" s="120" cm="1">
        <f t="array" ref="F20:F20">_xlfn.XLOOKUP(B20&amp;S20,'气-价格-毛利'!A:A&amp;'气-价格-毛利'!B:B,'气-价格-毛利'!C:C,0)</f>
      </c>
      <c r="G20" s="121">
        <f t="shared" si="158"/>
      </c>
      <c r="H20" s="121"/>
      <c r="I20" s="121">
        <f t="shared" si="220"/>
      </c>
      <c r="J20" s="121">
        <f t="shared" si="251"/>
      </c>
      <c r="K20" s="123">
        <f t="shared" si="312"/>
      </c>
      <c r="L20" s="121">
        <f t="shared" si="281"/>
      </c>
      <c r="M20" s="121">
        <f t="shared" si="342"/>
      </c>
      <c r="N20" s="123">
        <f t="shared" si="64"/>
      </c>
      <c r="O20" s="135"/>
      <c r="P20" s="135">
        <f t="shared" si="96"/>
      </c>
      <c r="Q20" s="125">
        <f t="shared" si="126"/>
      </c>
      <c r="R20" s="125">
        <f t="shared" si="188"/>
      </c>
      <c r="S20" s="125"/>
      <c r="T20" s="136"/>
    </row>
    <row customHeight="true" ht="23.703703703703702" r="21">
      <c r="A21" s="133">
        <v>45931</v>
      </c>
      <c r="B21" s="119" t="s">
        <v>217</v>
      </c>
      <c r="C21" s="119"/>
      <c r="D21" s="134" cm="1">
        <f t="array" ref="D21:D21">_xlfn.XLOOKUP(B21&amp;S21,'气-价格-毛利'!A:A&amp;'气-价格-毛利'!B:B,'气-价格-毛利'!D:D,0)</f>
      </c>
      <c r="E21" s="121">
        <f t="shared" si="34"/>
      </c>
      <c r="F21" s="120" cm="1">
        <f t="array" ref="F21:F21">_xlfn.XLOOKUP(B21&amp;S21,'气-价格-毛利'!A:A&amp;'气-价格-毛利'!B:B,'气-价格-毛利'!C:C,0)</f>
      </c>
      <c r="G21" s="121"/>
      <c r="H21" s="121"/>
      <c r="I21" s="121">
        <f t="shared" si="220"/>
      </c>
      <c r="J21" s="121">
        <f>C21*F21-H21-I21</f>
      </c>
      <c r="K21" s="123">
        <f t="shared" si="312"/>
      </c>
      <c r="L21" s="121">
        <f>J21*7</f>
      </c>
      <c r="M21" s="121">
        <f>E21*7</f>
      </c>
      <c r="N21" s="123">
        <f t="shared" si="64"/>
      </c>
      <c r="O21" s="124"/>
      <c r="P21" s="124">
        <f t="shared" si="96"/>
      </c>
      <c r="Q21" s="125">
        <f t="shared" si="126"/>
      </c>
      <c r="R21" s="125"/>
      <c r="S21" s="137"/>
      <c r="T21" s="136"/>
    </row>
    <row customHeight="true" ht="23.703703703703702" r="22">
      <c r="A22" s="133">
        <v>45931</v>
      </c>
      <c r="B22" s="119" t="s">
        <v>191</v>
      </c>
      <c r="C22" s="119">
        <f>SUM(C11:C21)</f>
      </c>
      <c r="D22" s="129"/>
      <c r="E22" s="121">
        <f>SUM(E11:E21)</f>
      </c>
      <c r="F22" s="122">
        <f>SUM(F11:F20)</f>
      </c>
      <c r="G22" s="121"/>
      <c r="H22" s="121"/>
      <c r="I22" s="121"/>
      <c r="J22" s="121">
        <f>SUM(J11:J21)</f>
      </c>
      <c r="K22" s="123">
        <f t="shared" si="312"/>
      </c>
      <c r="L22" s="121">
        <f>SUM(L11:L21)</f>
      </c>
      <c r="M22" s="121">
        <f>SUM(M11:M21)</f>
      </c>
      <c r="N22" s="123"/>
      <c r="O22" s="135">
        <f>SUM(O11:O20)</f>
      </c>
      <c r="P22" s="135">
        <f t="shared" si="96"/>
      </c>
      <c r="Q22" s="125">
        <f t="shared" si="126"/>
      </c>
      <c r="R22" s="125"/>
      <c r="S22" s="129"/>
    </row>
    <row customHeight="true" ht="23.703703703703702" r="23">
      <c r="B23" s="117" t="s">
        <v>218</v>
      </c>
    </row>
    <row customHeight="true" ht="23.703703703703702" r="24">
      <c r="A24" s="111" t="s">
        <v>219</v>
      </c>
      <c r="B24" s="112" t="s">
        <v>192</v>
      </c>
      <c r="C24" s="130" t="s">
        <v>193</v>
      </c>
      <c r="D24" s="112" t="s">
        <v>194</v>
      </c>
      <c r="E24" s="113" t="s">
        <v>195</v>
      </c>
      <c r="F24" s="114" t="s">
        <v>196</v>
      </c>
      <c r="G24" s="113" t="s">
        <v>197</v>
      </c>
      <c r="H24" s="131" t="s">
        <v>198</v>
      </c>
      <c r="I24" s="113" t="s">
        <v>199</v>
      </c>
      <c r="J24" s="113" t="s">
        <v>196</v>
      </c>
      <c r="K24" s="115" t="s">
        <v>200</v>
      </c>
      <c r="L24" s="113" t="s">
        <v>201</v>
      </c>
      <c r="M24" s="113" t="s">
        <v>202</v>
      </c>
      <c r="N24" s="112" t="s">
        <v>203</v>
      </c>
      <c r="O24" s="132" t="s">
        <v>204</v>
      </c>
      <c r="P24" s="116" t="s">
        <v>205</v>
      </c>
      <c r="Q24" s="115" t="s">
        <v>206</v>
      </c>
      <c r="R24" s="115" t="s">
        <v>207</v>
      </c>
      <c r="S24" s="115" t="s">
        <v>220</v>
      </c>
    </row>
    <row customHeight="true" ht="23.703703703703702" r="25">
      <c r="A25" s="133">
        <v>45932</v>
      </c>
      <c r="B25" s="119" t="s">
        <v>210</v>
      </c>
      <c r="C25" s="119">
        <v>0</v>
      </c>
      <c r="D25" s="134" cm="1">
        <f t="array" ref="D25:D25">_xlfn.XLOOKUP(B25&amp;S25,'气-价格-毛利'!A:A&amp;'气-价格-毛利'!B:B,'气-价格-毛利'!D:D,0)</f>
      </c>
      <c r="E25" s="121">
        <f t="shared" ref="E25:E35" si="35">C25*D25</f>
      </c>
      <c r="F25" s="120" cm="1">
        <f t="array" ref="F25:F25">_xlfn.XLOOKUP(B25&amp;S25,'气-价格-毛利'!A:A&amp;'气-价格-毛利'!B:B,'气-价格-毛利'!C:C,0)</f>
      </c>
      <c r="G25" s="121">
        <f>C25*8</f>
      </c>
      <c r="H25" s="121"/>
      <c r="I25" s="121">
        <f t="shared" ref="I25:I35" si="221">E25*0.025</f>
      </c>
      <c r="J25" s="121">
        <f t="shared" ref="J25:J34" si="252">F25*C25+G25-H25-I25</f>
      </c>
      <c r="K25" s="123">
        <f t="shared" ref="K25:K36" si="313">IFERROR(J25/E25,0)</f>
      </c>
      <c r="L25" s="121">
        <f t="shared" ref="L25:L32" si="375">J25*8</f>
      </c>
      <c r="M25" s="121">
        <f t="shared" ref="M25:M32" si="3">E25*8</f>
      </c>
      <c r="N25" s="123">
        <f t="shared" ref="N25:N35" si="65">IFERROR(H25/E25,0)</f>
      </c>
      <c r="O25" s="135"/>
      <c r="P25" s="135">
        <f t="shared" ref="P25:P36" si="97">C25-O25</f>
      </c>
      <c r="Q25" s="125">
        <f t="shared" ref="Q25:Q36" si="127">IFERROR(O25/C25,0)</f>
      </c>
      <c r="R25" s="125">
        <f t="shared" ref="R25:R34" si="189">IFERROR(H25/(E25*Q25),0)</f>
      </c>
      <c r="S25" s="123" t="s">
        <v>221</v>
      </c>
    </row>
    <row customHeight="true" ht="23.703703703703702" r="26">
      <c r="A26" s="133">
        <v>45932</v>
      </c>
      <c r="B26" s="119" t="s">
        <v>210</v>
      </c>
      <c r="C26" s="119">
        <v>3</v>
      </c>
      <c r="D26" s="134" cm="1">
        <f t="array" ref="D26:D26">_xlfn.XLOOKUP(B26&amp;S26,'气-价格-毛利'!A:A&amp;'气-价格-毛利'!B:B,'气-价格-毛利'!D:D,0)</f>
      </c>
      <c r="E26" s="121">
        <f t="shared" si="35"/>
      </c>
      <c r="F26" s="120" cm="1">
        <f t="array" ref="F26:F26">_xlfn.XLOOKUP(B26&amp;S26,'气-价格-毛利'!A:A&amp;'气-价格-毛利'!B:B,'气-价格-毛利'!C:C,0)</f>
      </c>
      <c r="G26" s="121">
        <f>C26*10</f>
      </c>
      <c r="H26" s="121"/>
      <c r="I26" s="121">
        <f t="shared" si="221"/>
      </c>
      <c r="J26" s="121">
        <f t="shared" si="252"/>
      </c>
      <c r="K26" s="123">
        <f t="shared" si="313"/>
      </c>
      <c r="L26" s="121">
        <f t="shared" si="375"/>
      </c>
      <c r="M26" s="121">
        <f t="shared" si="3"/>
      </c>
      <c r="N26" s="123">
        <f t="shared" si="65"/>
      </c>
      <c r="O26" s="124"/>
      <c r="P26" s="135">
        <f t="shared" si="97"/>
      </c>
      <c r="Q26" s="125">
        <f t="shared" si="127"/>
      </c>
      <c r="R26" s="125">
        <f t="shared" si="189"/>
      </c>
      <c r="S26" s="123" t="s">
        <v>222</v>
      </c>
    </row>
    <row customHeight="true" ht="23.703703703703702" r="27">
      <c r="A27" s="133">
        <v>45932</v>
      </c>
      <c r="B27" s="119" t="s">
        <v>211</v>
      </c>
      <c r="C27" s="119">
        <v>0</v>
      </c>
      <c r="D27" s="134" cm="1">
        <f t="array" ref="D27:D27">_xlfn.XLOOKUP(B27&amp;S27,'气-价格-毛利'!A:A&amp;'气-价格-毛利'!B:B,'气-价格-毛利'!D:D,0)</f>
      </c>
      <c r="E27" s="121">
        <f t="shared" si="35"/>
      </c>
      <c r="F27" s="120" cm="1">
        <f t="array" ref="F27:F27">_xlfn.XLOOKUP(B27&amp;S27,'气-价格-毛利'!A:A&amp;'气-价格-毛利'!B:B,'气-价格-毛利'!C:C,0)</f>
      </c>
      <c r="G27" s="121">
        <f>C27*8</f>
      </c>
      <c r="H27" s="121"/>
      <c r="I27" s="121">
        <f t="shared" si="221"/>
      </c>
      <c r="J27" s="121">
        <f t="shared" si="252"/>
      </c>
      <c r="K27" s="123">
        <f t="shared" si="313"/>
      </c>
      <c r="L27" s="121">
        <f t="shared" si="375"/>
      </c>
      <c r="M27" s="121">
        <f t="shared" si="3"/>
      </c>
      <c r="N27" s="123">
        <f t="shared" si="65"/>
      </c>
      <c r="O27" s="135"/>
      <c r="P27" s="135">
        <f t="shared" si="97"/>
      </c>
      <c r="Q27" s="125">
        <f t="shared" si="127"/>
      </c>
      <c r="R27" s="125">
        <f t="shared" si="189"/>
      </c>
      <c r="S27" s="123" t="s">
        <v>221</v>
      </c>
    </row>
    <row customHeight="true" ht="23.703703703703702" r="28">
      <c r="A28" s="133">
        <v>45932</v>
      </c>
      <c r="B28" s="119" t="s">
        <v>211</v>
      </c>
      <c r="C28" s="119">
        <v>0</v>
      </c>
      <c r="D28" s="134" cm="1">
        <f t="array" ref="D28:D28">_xlfn.XLOOKUP(B28&amp;S28,'气-价格-毛利'!A:A&amp;'气-价格-毛利'!B:B,'气-价格-毛利'!D:D,0)</f>
      </c>
      <c r="E28" s="121">
        <f t="shared" si="35"/>
      </c>
      <c r="F28" s="120" cm="1">
        <f t="array" ref="F28:F28">_xlfn.XLOOKUP(B28&amp;S28,'气-价格-毛利'!A:A&amp;'气-价格-毛利'!B:B,'气-价格-毛利'!C:C,0)</f>
      </c>
      <c r="G28" s="121">
        <f>C28*10</f>
      </c>
      <c r="H28" s="121"/>
      <c r="I28" s="121">
        <f t="shared" si="221"/>
      </c>
      <c r="J28" s="121">
        <f t="shared" si="252"/>
      </c>
      <c r="K28" s="123">
        <f t="shared" si="313"/>
      </c>
      <c r="L28" s="121">
        <f t="shared" si="375"/>
      </c>
      <c r="M28" s="121">
        <f t="shared" si="3"/>
      </c>
      <c r="N28" s="123">
        <f t="shared" si="65"/>
      </c>
      <c r="O28" s="135"/>
      <c r="P28" s="135">
        <f t="shared" si="97"/>
      </c>
      <c r="Q28" s="125">
        <f t="shared" si="127"/>
      </c>
      <c r="R28" s="125">
        <f t="shared" si="189"/>
      </c>
      <c r="S28" s="123" t="s">
        <v>222</v>
      </c>
    </row>
    <row customHeight="true" ht="23.703703703703702" r="29">
      <c r="A29" s="133">
        <v>45932</v>
      </c>
      <c r="B29" s="119" t="s">
        <v>213</v>
      </c>
      <c r="C29" s="119">
        <v>0</v>
      </c>
      <c r="D29" s="134" cm="1">
        <f t="array" ref="D29:D29">_xlfn.XLOOKUP(B29&amp;S29,'气-价格-毛利'!A:A&amp;'气-价格-毛利'!B:B,'气-价格-毛利'!D:D,0)</f>
      </c>
      <c r="E29" s="121">
        <f t="shared" si="35"/>
      </c>
      <c r="F29" s="120" cm="1">
        <f t="array" ref="F29:F29">_xlfn.XLOOKUP(B29&amp;S29,'气-价格-毛利'!A:A&amp;'气-价格-毛利'!B:B,'气-价格-毛利'!C:C,0)</f>
      </c>
      <c r="G29" s="121">
        <f>C29*8</f>
      </c>
      <c r="H29" s="121"/>
      <c r="I29" s="121">
        <f t="shared" si="221"/>
      </c>
      <c r="J29" s="121">
        <f t="shared" si="252"/>
      </c>
      <c r="K29" s="123">
        <f t="shared" si="313"/>
      </c>
      <c r="L29" s="121">
        <f t="shared" si="375"/>
      </c>
      <c r="M29" s="121">
        <f t="shared" si="3"/>
      </c>
      <c r="N29" s="123">
        <f t="shared" si="65"/>
      </c>
      <c r="O29" s="135"/>
      <c r="P29" s="135">
        <f t="shared" si="97"/>
      </c>
      <c r="Q29" s="125">
        <f t="shared" si="127"/>
      </c>
      <c r="R29" s="125">
        <f t="shared" si="189"/>
      </c>
      <c r="S29" s="123" t="s">
        <v>221</v>
      </c>
    </row>
    <row customHeight="true" ht="23.703703703703702" r="30">
      <c r="A30" s="133">
        <v>45932</v>
      </c>
      <c r="B30" s="119" t="s">
        <v>213</v>
      </c>
      <c r="C30" s="119">
        <v>4</v>
      </c>
      <c r="D30" s="134" cm="1">
        <f t="array" ref="D30:D30">_xlfn.XLOOKUP(B30&amp;S30,'气-价格-毛利'!A:A&amp;'气-价格-毛利'!B:B,'气-价格-毛利'!D:D,0)</f>
      </c>
      <c r="E30" s="121">
        <f t="shared" si="35"/>
      </c>
      <c r="F30" s="120" cm="1">
        <f t="array" ref="F30:F30">_xlfn.XLOOKUP(B30&amp;S30,'气-价格-毛利'!A:A&amp;'气-价格-毛利'!B:B,'气-价格-毛利'!C:C,0)</f>
      </c>
      <c r="G30" s="121">
        <f>C30*10</f>
      </c>
      <c r="H30" s="121"/>
      <c r="I30" s="121">
        <f t="shared" si="221"/>
      </c>
      <c r="J30" s="121">
        <f t="shared" si="252"/>
      </c>
      <c r="K30" s="123">
        <f t="shared" si="313"/>
      </c>
      <c r="L30" s="121">
        <f t="shared" si="375"/>
      </c>
      <c r="M30" s="121">
        <f t="shared" si="3"/>
      </c>
      <c r="N30" s="123">
        <f t="shared" si="65"/>
      </c>
      <c r="O30" s="124"/>
      <c r="P30" s="135">
        <f t="shared" si="97"/>
      </c>
      <c r="Q30" s="125">
        <f t="shared" si="127"/>
      </c>
      <c r="R30" s="125">
        <f t="shared" si="189"/>
      </c>
      <c r="S30" s="123" t="s">
        <v>222</v>
      </c>
    </row>
    <row customHeight="true" ht="23.703703703703702" r="31">
      <c r="A31" s="133">
        <v>45932</v>
      </c>
      <c r="B31" s="119" t="s">
        <v>214</v>
      </c>
      <c r="C31" s="119">
        <v>0</v>
      </c>
      <c r="D31" s="134" cm="1">
        <f t="array" ref="D31:D31">_xlfn.XLOOKUP(B31&amp;S31,'气-价格-毛利'!A:A&amp;'气-价格-毛利'!B:B,'气-价格-毛利'!D:D,0)</f>
      </c>
      <c r="E31" s="121">
        <f t="shared" si="35"/>
      </c>
      <c r="F31" s="120" cm="1">
        <f t="array" ref="F31:F31">_xlfn.XLOOKUP(B31&amp;S31,'气-价格-毛利'!A:A&amp;'气-价格-毛利'!B:B,'气-价格-毛利'!C:C,0)</f>
      </c>
      <c r="G31" s="121">
        <f>C31*8</f>
      </c>
      <c r="H31" s="121"/>
      <c r="I31" s="121">
        <f t="shared" si="221"/>
      </c>
      <c r="J31" s="121">
        <f t="shared" si="252"/>
      </c>
      <c r="K31" s="123">
        <f t="shared" si="313"/>
      </c>
      <c r="L31" s="121">
        <f t="shared" si="375"/>
      </c>
      <c r="M31" s="121">
        <f t="shared" si="3"/>
      </c>
      <c r="N31" s="123">
        <f t="shared" si="65"/>
      </c>
      <c r="O31" s="135"/>
      <c r="P31" s="135">
        <f t="shared" si="97"/>
      </c>
      <c r="Q31" s="125">
        <f t="shared" si="127"/>
      </c>
      <c r="R31" s="125">
        <f t="shared" si="189"/>
      </c>
      <c r="S31" s="123" t="s">
        <v>221</v>
      </c>
    </row>
    <row customHeight="true" ht="23.703703703703702" r="32">
      <c r="A32" s="133">
        <v>45932</v>
      </c>
      <c r="B32" s="119" t="s">
        <v>214</v>
      </c>
      <c r="C32" s="119">
        <v>2</v>
      </c>
      <c r="D32" s="134" cm="1">
        <f t="array" ref="D32:D32">_xlfn.XLOOKUP(B32&amp;S32,'气-价格-毛利'!A:A&amp;'气-价格-毛利'!B:B,'气-价格-毛利'!D:D,0)</f>
      </c>
      <c r="E32" s="121">
        <f t="shared" si="35"/>
      </c>
      <c r="F32" s="120" cm="1">
        <f t="array" ref="F32:F32">_xlfn.XLOOKUP(B32&amp;S32,'气-价格-毛利'!A:A&amp;'气-价格-毛利'!B:B,'气-价格-毛利'!C:C,0)</f>
      </c>
      <c r="G32" s="121">
        <f>C32*10</f>
      </c>
      <c r="H32" s="121"/>
      <c r="I32" s="121">
        <f t="shared" si="221"/>
      </c>
      <c r="J32" s="121">
        <f t="shared" si="252"/>
      </c>
      <c r="K32" s="123">
        <f t="shared" si="313"/>
      </c>
      <c r="L32" s="121">
        <f t="shared" si="375"/>
      </c>
      <c r="M32" s="121">
        <f t="shared" si="3"/>
      </c>
      <c r="N32" s="123">
        <f t="shared" si="65"/>
      </c>
      <c r="O32" s="135"/>
      <c r="P32" s="135">
        <f t="shared" si="97"/>
      </c>
      <c r="Q32" s="125">
        <f t="shared" si="127"/>
      </c>
      <c r="R32" s="125">
        <f t="shared" si="189"/>
      </c>
      <c r="S32" s="123" t="s">
        <v>222</v>
      </c>
    </row>
    <row customHeight="true" ht="23.703703703703702" r="33">
      <c r="A33" s="133">
        <v>45932</v>
      </c>
      <c r="B33" s="119" t="s">
        <v>216</v>
      </c>
      <c r="C33" s="119"/>
      <c r="D33" s="134" cm="1">
        <f t="array" ref="D33:D33">_xlfn.XLOOKUP(B33&amp;S33,'气-价格-毛利'!A:A&amp;'气-价格-毛利'!B:B,'气-价格-毛利'!D:D,0)</f>
      </c>
      <c r="E33" s="121">
        <f t="shared" si="35"/>
      </c>
      <c r="F33" s="120" cm="1">
        <f t="array" ref="F33:F33">_xlfn.XLOOKUP(B33&amp;S33,'气-价格-毛利'!A:A&amp;'气-价格-毛利'!B:B,'气-价格-毛利'!C:C,0)</f>
      </c>
      <c r="G33" s="121">
        <f t="shared" ref="G33:G34" si="159">C33*8</f>
      </c>
      <c r="H33" s="121"/>
      <c r="I33" s="121">
        <f t="shared" si="221"/>
      </c>
      <c r="J33" s="121">
        <f t="shared" si="252"/>
      </c>
      <c r="K33" s="123">
        <f t="shared" si="313"/>
      </c>
      <c r="L33" s="121">
        <f t="shared" ref="L33:L34" si="282">J33*9</f>
      </c>
      <c r="M33" s="121">
        <f t="shared" ref="M33:M34" si="343">E33*9</f>
      </c>
      <c r="N33" s="123">
        <f t="shared" si="65"/>
      </c>
      <c r="O33" s="135"/>
      <c r="P33" s="135">
        <f t="shared" si="97"/>
      </c>
      <c r="Q33" s="125">
        <f t="shared" si="127"/>
      </c>
      <c r="R33" s="125">
        <f t="shared" si="189"/>
      </c>
      <c r="S33" s="125"/>
    </row>
    <row customHeight="true" ht="23.703703703703702" r="34">
      <c r="A34" s="133">
        <v>45932</v>
      </c>
      <c r="B34" s="119" t="s">
        <v>216</v>
      </c>
      <c r="C34" s="119"/>
      <c r="D34" s="134" cm="1">
        <f t="array" ref="D34:D34">_xlfn.XLOOKUP(B34&amp;S34,'气-价格-毛利'!A:A&amp;'气-价格-毛利'!B:B,'气-价格-毛利'!D:D,0)</f>
      </c>
      <c r="E34" s="121">
        <f t="shared" si="35"/>
      </c>
      <c r="F34" s="120" cm="1">
        <f t="array" ref="F34:F34">_xlfn.XLOOKUP(B34&amp;S34,'气-价格-毛利'!A:A&amp;'气-价格-毛利'!B:B,'气-价格-毛利'!C:C,0)</f>
      </c>
      <c r="G34" s="121">
        <f t="shared" si="159"/>
      </c>
      <c r="H34" s="121"/>
      <c r="I34" s="121">
        <f t="shared" si="221"/>
      </c>
      <c r="J34" s="121">
        <f t="shared" si="252"/>
      </c>
      <c r="K34" s="123">
        <f t="shared" si="313"/>
      </c>
      <c r="L34" s="121">
        <f t="shared" si="282"/>
      </c>
      <c r="M34" s="121">
        <f t="shared" si="343"/>
      </c>
      <c r="N34" s="123">
        <f t="shared" si="65"/>
      </c>
      <c r="O34" s="135"/>
      <c r="P34" s="135">
        <f t="shared" si="97"/>
      </c>
      <c r="Q34" s="125">
        <f t="shared" si="127"/>
      </c>
      <c r="R34" s="125">
        <f t="shared" si="189"/>
      </c>
      <c r="S34" s="125"/>
    </row>
    <row customHeight="true" ht="23.703703703703702" r="35">
      <c r="A35" s="133">
        <v>45932</v>
      </c>
      <c r="B35" s="119" t="s">
        <v>217</v>
      </c>
      <c r="C35" s="119"/>
      <c r="D35" s="134" cm="1">
        <f t="array" ref="D35:D35">_xlfn.XLOOKUP(B35&amp;S35,'气-价格-毛利'!A:A&amp;'气-价格-毛利'!B:B,'气-价格-毛利'!D:D,0)</f>
      </c>
      <c r="E35" s="121">
        <f t="shared" si="35"/>
      </c>
      <c r="F35" s="120" cm="1">
        <f t="array" ref="F35:F35">_xlfn.XLOOKUP(B35&amp;S35,'气-价格-毛利'!A:A&amp;'气-价格-毛利'!B:B,'气-价格-毛利'!C:C,0)</f>
      </c>
      <c r="G35" s="121"/>
      <c r="H35" s="121"/>
      <c r="I35" s="121">
        <f t="shared" si="221"/>
      </c>
      <c r="J35" s="121">
        <f>C35*F35-H35-I35</f>
      </c>
      <c r="K35" s="123">
        <f t="shared" si="313"/>
      </c>
      <c r="L35" s="121">
        <f>J35*7</f>
      </c>
      <c r="M35" s="121">
        <f>E35*7</f>
      </c>
      <c r="N35" s="123">
        <f t="shared" si="65"/>
      </c>
      <c r="O35" s="124"/>
      <c r="P35" s="124">
        <f t="shared" si="97"/>
      </c>
      <c r="Q35" s="125">
        <f t="shared" si="127"/>
      </c>
      <c r="R35" s="125"/>
      <c r="S35" s="137"/>
    </row>
    <row customHeight="true" ht="23.703703703703702" r="36">
      <c r="A36" s="133">
        <v>45932</v>
      </c>
      <c r="B36" s="119" t="s">
        <v>191</v>
      </c>
      <c r="C36" s="119">
        <f>SUM(C25:C35)</f>
      </c>
      <c r="D36" s="129"/>
      <c r="E36" s="121">
        <f>SUM(E25:E35)</f>
      </c>
      <c r="F36" s="122">
        <f>SUM(F25:F34)</f>
      </c>
      <c r="G36" s="121"/>
      <c r="H36" s="121"/>
      <c r="I36" s="121"/>
      <c r="J36" s="121">
        <f>SUM(J25:J35)</f>
      </c>
      <c r="K36" s="123">
        <f t="shared" si="313"/>
      </c>
      <c r="L36" s="121">
        <f>SUM(L25:L35)</f>
      </c>
      <c r="M36" s="121">
        <f>SUM(M25:M35)</f>
      </c>
      <c r="N36" s="123"/>
      <c r="O36" s="135">
        <f>SUM(O25:O34)</f>
      </c>
      <c r="P36" s="135">
        <f t="shared" si="97"/>
      </c>
      <c r="Q36" s="125">
        <f t="shared" si="127"/>
      </c>
      <c r="R36" s="125"/>
      <c r="S36" s="129"/>
    </row>
    <row customHeight="true" ht="23.703703703703702" r="37">
      <c r="B37" s="117" t="s">
        <v>218</v>
      </c>
    </row>
    <row customHeight="true" ht="23.703703703703702" r="38">
      <c r="A38" s="111" t="s">
        <v>219</v>
      </c>
      <c r="B38" s="112" t="s">
        <v>192</v>
      </c>
      <c r="C38" s="130" t="s">
        <v>193</v>
      </c>
      <c r="D38" s="112" t="s">
        <v>194</v>
      </c>
      <c r="E38" s="113" t="s">
        <v>195</v>
      </c>
      <c r="F38" s="114" t="s">
        <v>196</v>
      </c>
      <c r="G38" s="113" t="s">
        <v>197</v>
      </c>
      <c r="H38" s="131" t="s">
        <v>198</v>
      </c>
      <c r="I38" s="113" t="s">
        <v>199</v>
      </c>
      <c r="J38" s="113" t="s">
        <v>196</v>
      </c>
      <c r="K38" s="115" t="s">
        <v>200</v>
      </c>
      <c r="L38" s="113" t="s">
        <v>201</v>
      </c>
      <c r="M38" s="113" t="s">
        <v>202</v>
      </c>
      <c r="N38" s="112" t="s">
        <v>203</v>
      </c>
      <c r="O38" s="132" t="s">
        <v>204</v>
      </c>
      <c r="P38" s="116" t="s">
        <v>205</v>
      </c>
      <c r="Q38" s="115" t="s">
        <v>206</v>
      </c>
      <c r="R38" s="115" t="s">
        <v>207</v>
      </c>
      <c r="S38" s="115" t="s">
        <v>220</v>
      </c>
    </row>
    <row customHeight="true" ht="23.703703703703702" r="39">
      <c r="A39" s="133">
        <v>45933</v>
      </c>
      <c r="B39" s="119" t="s">
        <v>210</v>
      </c>
      <c r="C39" s="119">
        <v>0</v>
      </c>
      <c r="D39" s="134" cm="1">
        <f t="array" ref="D39:D39">_xlfn.XLOOKUP(B39&amp;S39,'气-价格-毛利'!A:A&amp;'气-价格-毛利'!B:B,'气-价格-毛利'!D:D,0)</f>
      </c>
      <c r="E39" s="121">
        <f t="shared" ref="E39:E49" si="36">C39*D39</f>
      </c>
      <c r="F39" s="120" cm="1">
        <f t="array" ref="F39:F39">_xlfn.XLOOKUP(B39&amp;S39,'气-价格-毛利'!A:A&amp;'气-价格-毛利'!B:B,'气-价格-毛利'!C:C,0)</f>
      </c>
      <c r="G39" s="121">
        <f>C39*8</f>
      </c>
      <c r="H39" s="121"/>
      <c r="I39" s="121">
        <f t="shared" ref="I39:I49" si="222">E39*0.025</f>
      </c>
      <c r="J39" s="121">
        <f t="shared" ref="J39:J48" si="253">F39*C39+G39-H39-I39</f>
      </c>
      <c r="K39" s="123">
        <f t="shared" ref="K39:K50" si="314">IFERROR(J39/E39,0)</f>
      </c>
      <c r="L39" s="121">
        <f t="shared" ref="L39:L46" si="376">J39*8</f>
      </c>
      <c r="M39" s="121">
        <f t="shared" ref="M39:M46" si="4">E39*8</f>
      </c>
      <c r="N39" s="123">
        <f t="shared" ref="N39:N49" si="66">IFERROR(H39/E39,0)</f>
      </c>
      <c r="O39" s="135"/>
      <c r="P39" s="135">
        <f t="shared" ref="P39:P50" si="98">C39-O39</f>
      </c>
      <c r="Q39" s="125">
        <f t="shared" ref="Q39:Q50" si="128">IFERROR(O39/C39,0)</f>
      </c>
      <c r="R39" s="125">
        <f t="shared" ref="R39:R48" si="190">IFERROR(H39/(E39*Q39),0)</f>
      </c>
      <c r="S39" s="123" t="s">
        <v>221</v>
      </c>
    </row>
    <row customHeight="true" ht="23.703703703703702" r="40">
      <c r="A40" s="133">
        <v>45933</v>
      </c>
      <c r="B40" s="119" t="s">
        <v>210</v>
      </c>
      <c r="C40" s="119">
        <v>1</v>
      </c>
      <c r="D40" s="134" cm="1">
        <f t="array" ref="D40:D40">_xlfn.XLOOKUP(B40&amp;S40,'气-价格-毛利'!A:A&amp;'气-价格-毛利'!B:B,'气-价格-毛利'!D:D,0)</f>
      </c>
      <c r="E40" s="121">
        <f t="shared" si="36"/>
      </c>
      <c r="F40" s="120" cm="1">
        <f t="array" ref="F40:F40">_xlfn.XLOOKUP(B40&amp;S40,'气-价格-毛利'!A:A&amp;'气-价格-毛利'!B:B,'气-价格-毛利'!C:C,0)</f>
      </c>
      <c r="G40" s="121">
        <f>C40*10</f>
      </c>
      <c r="H40" s="121"/>
      <c r="I40" s="121">
        <f t="shared" si="222"/>
      </c>
      <c r="J40" s="121">
        <f t="shared" si="253"/>
      </c>
      <c r="K40" s="123">
        <f t="shared" si="314"/>
      </c>
      <c r="L40" s="121">
        <f t="shared" si="376"/>
      </c>
      <c r="M40" s="121">
        <f t="shared" si="4"/>
      </c>
      <c r="N40" s="123">
        <f t="shared" si="66"/>
      </c>
      <c r="O40" s="124"/>
      <c r="P40" s="135">
        <f t="shared" si="98"/>
      </c>
      <c r="Q40" s="125">
        <f t="shared" si="128"/>
      </c>
      <c r="R40" s="125">
        <f t="shared" si="190"/>
      </c>
      <c r="S40" s="123" t="s">
        <v>222</v>
      </c>
    </row>
    <row customHeight="true" ht="23.703703703703702" r="41">
      <c r="A41" s="133">
        <v>45933</v>
      </c>
      <c r="B41" s="119" t="s">
        <v>211</v>
      </c>
      <c r="C41" s="119">
        <v>0</v>
      </c>
      <c r="D41" s="134" cm="1">
        <f t="array" ref="D41:D41">_xlfn.XLOOKUP(B41&amp;S41,'气-价格-毛利'!A:A&amp;'气-价格-毛利'!B:B,'气-价格-毛利'!D:D,0)</f>
      </c>
      <c r="E41" s="121">
        <f t="shared" si="36"/>
      </c>
      <c r="F41" s="120" cm="1">
        <f t="array" ref="F41:F41">_xlfn.XLOOKUP(B41&amp;S41,'气-价格-毛利'!A:A&amp;'气-价格-毛利'!B:B,'气-价格-毛利'!C:C,0)</f>
      </c>
      <c r="G41" s="121">
        <f>C41*8</f>
      </c>
      <c r="H41" s="121"/>
      <c r="I41" s="121">
        <f t="shared" si="222"/>
      </c>
      <c r="J41" s="121">
        <f t="shared" si="253"/>
      </c>
      <c r="K41" s="123">
        <f t="shared" si="314"/>
      </c>
      <c r="L41" s="121">
        <f t="shared" si="376"/>
      </c>
      <c r="M41" s="121">
        <f t="shared" si="4"/>
      </c>
      <c r="N41" s="123">
        <f t="shared" si="66"/>
      </c>
      <c r="O41" s="135"/>
      <c r="P41" s="135">
        <f t="shared" si="98"/>
      </c>
      <c r="Q41" s="125">
        <f t="shared" si="128"/>
      </c>
      <c r="R41" s="125">
        <f t="shared" si="190"/>
      </c>
      <c r="S41" s="123" t="s">
        <v>221</v>
      </c>
    </row>
    <row customHeight="true" ht="23.703703703703702" r="42">
      <c r="A42" s="133">
        <v>45933</v>
      </c>
      <c r="B42" s="119" t="s">
        <v>211</v>
      </c>
      <c r="C42" s="119">
        <v>0</v>
      </c>
      <c r="D42" s="134" cm="1">
        <f t="array" ref="D42:D42">_xlfn.XLOOKUP(B42&amp;S42,'气-价格-毛利'!A:A&amp;'气-价格-毛利'!B:B,'气-价格-毛利'!D:D,0)</f>
      </c>
      <c r="E42" s="121">
        <f t="shared" si="36"/>
      </c>
      <c r="F42" s="120" cm="1">
        <f t="array" ref="F42:F42">_xlfn.XLOOKUP(B42&amp;S42,'气-价格-毛利'!A:A&amp;'气-价格-毛利'!B:B,'气-价格-毛利'!C:C,0)</f>
      </c>
      <c r="G42" s="121">
        <f>C42*10</f>
      </c>
      <c r="H42" s="121"/>
      <c r="I42" s="121">
        <f t="shared" si="222"/>
      </c>
      <c r="J42" s="121">
        <f t="shared" si="253"/>
      </c>
      <c r="K42" s="123">
        <f t="shared" si="314"/>
      </c>
      <c r="L42" s="121">
        <f t="shared" si="376"/>
      </c>
      <c r="M42" s="121">
        <f t="shared" si="4"/>
      </c>
      <c r="N42" s="123">
        <f t="shared" si="66"/>
      </c>
      <c r="O42" s="135"/>
      <c r="P42" s="135">
        <f t="shared" si="98"/>
      </c>
      <c r="Q42" s="125">
        <f t="shared" si="128"/>
      </c>
      <c r="R42" s="125">
        <f t="shared" si="190"/>
      </c>
      <c r="S42" s="123" t="s">
        <v>222</v>
      </c>
    </row>
    <row customHeight="true" ht="23.703703703703702" r="43">
      <c r="A43" s="133">
        <v>45933</v>
      </c>
      <c r="B43" s="119" t="s">
        <v>213</v>
      </c>
      <c r="C43" s="119">
        <v>0</v>
      </c>
      <c r="D43" s="134" cm="1">
        <f t="array" ref="D43:D43">_xlfn.XLOOKUP(B43&amp;S43,'气-价格-毛利'!A:A&amp;'气-价格-毛利'!B:B,'气-价格-毛利'!D:D,0)</f>
      </c>
      <c r="E43" s="121">
        <f t="shared" si="36"/>
      </c>
      <c r="F43" s="120" cm="1">
        <f t="array" ref="F43:F43">_xlfn.XLOOKUP(B43&amp;S43,'气-价格-毛利'!A:A&amp;'气-价格-毛利'!B:B,'气-价格-毛利'!C:C,0)</f>
      </c>
      <c r="G43" s="121">
        <f>C43*8</f>
      </c>
      <c r="H43" s="121"/>
      <c r="I43" s="121">
        <f t="shared" si="222"/>
      </c>
      <c r="J43" s="121">
        <f t="shared" si="253"/>
      </c>
      <c r="K43" s="123">
        <f t="shared" si="314"/>
      </c>
      <c r="L43" s="121">
        <f t="shared" si="376"/>
      </c>
      <c r="M43" s="121">
        <f t="shared" si="4"/>
      </c>
      <c r="N43" s="123">
        <f t="shared" si="66"/>
      </c>
      <c r="O43" s="135"/>
      <c r="P43" s="135">
        <f t="shared" si="98"/>
      </c>
      <c r="Q43" s="125">
        <f t="shared" si="128"/>
      </c>
      <c r="R43" s="125">
        <f t="shared" si="190"/>
      </c>
      <c r="S43" s="123" t="s">
        <v>221</v>
      </c>
    </row>
    <row customHeight="true" ht="23.703703703703702" r="44">
      <c r="A44" s="133">
        <v>45933</v>
      </c>
      <c r="B44" s="119" t="s">
        <v>213</v>
      </c>
      <c r="C44" s="119">
        <v>3</v>
      </c>
      <c r="D44" s="134" cm="1">
        <f t="array" ref="D44:D44">_xlfn.XLOOKUP(B44&amp;S44,'气-价格-毛利'!A:A&amp;'气-价格-毛利'!B:B,'气-价格-毛利'!D:D,0)</f>
      </c>
      <c r="E44" s="121">
        <f t="shared" si="36"/>
      </c>
      <c r="F44" s="120" cm="1">
        <f t="array" ref="F44:F44">_xlfn.XLOOKUP(B44&amp;S44,'气-价格-毛利'!A:A&amp;'气-价格-毛利'!B:B,'气-价格-毛利'!C:C,0)</f>
      </c>
      <c r="G44" s="121">
        <f>C44*10</f>
      </c>
      <c r="H44" s="121"/>
      <c r="I44" s="121">
        <f t="shared" si="222"/>
      </c>
      <c r="J44" s="121">
        <f t="shared" si="253"/>
      </c>
      <c r="K44" s="123">
        <f t="shared" si="314"/>
      </c>
      <c r="L44" s="121">
        <f t="shared" si="376"/>
      </c>
      <c r="M44" s="121">
        <f t="shared" si="4"/>
      </c>
      <c r="N44" s="123">
        <f t="shared" si="66"/>
      </c>
      <c r="O44" s="124"/>
      <c r="P44" s="135">
        <f t="shared" si="98"/>
      </c>
      <c r="Q44" s="125">
        <f t="shared" si="128"/>
      </c>
      <c r="R44" s="125">
        <f t="shared" si="190"/>
      </c>
      <c r="S44" s="123" t="s">
        <v>222</v>
      </c>
    </row>
    <row customHeight="true" ht="23.703703703703702" r="45">
      <c r="A45" s="133">
        <v>45933</v>
      </c>
      <c r="B45" s="119" t="s">
        <v>214</v>
      </c>
      <c r="C45" s="119">
        <v>0</v>
      </c>
      <c r="D45" s="134" cm="1">
        <f t="array" ref="D45:D45">_xlfn.XLOOKUP(B45&amp;S45,'气-价格-毛利'!A:A&amp;'气-价格-毛利'!B:B,'气-价格-毛利'!D:D,0)</f>
      </c>
      <c r="E45" s="121">
        <f t="shared" si="36"/>
      </c>
      <c r="F45" s="120" cm="1">
        <f t="array" ref="F45:F45">_xlfn.XLOOKUP(B45&amp;S45,'气-价格-毛利'!A:A&amp;'气-价格-毛利'!B:B,'气-价格-毛利'!C:C,0)</f>
      </c>
      <c r="G45" s="121">
        <f>C45*8</f>
      </c>
      <c r="H45" s="121"/>
      <c r="I45" s="121">
        <f t="shared" si="222"/>
      </c>
      <c r="J45" s="121">
        <f t="shared" si="253"/>
      </c>
      <c r="K45" s="123">
        <f t="shared" si="314"/>
      </c>
      <c r="L45" s="121">
        <f t="shared" si="376"/>
      </c>
      <c r="M45" s="121">
        <f t="shared" si="4"/>
      </c>
      <c r="N45" s="123">
        <f t="shared" si="66"/>
      </c>
      <c r="O45" s="135"/>
      <c r="P45" s="135">
        <f t="shared" si="98"/>
      </c>
      <c r="Q45" s="125">
        <f t="shared" si="128"/>
      </c>
      <c r="R45" s="125">
        <f t="shared" si="190"/>
      </c>
      <c r="S45" s="123" t="s">
        <v>221</v>
      </c>
    </row>
    <row customHeight="true" ht="23.703703703703702" r="46">
      <c r="A46" s="133">
        <v>45933</v>
      </c>
      <c r="B46" s="119" t="s">
        <v>214</v>
      </c>
      <c r="C46" s="119">
        <v>1</v>
      </c>
      <c r="D46" s="134" cm="1">
        <f t="array" ref="D46:D46">_xlfn.XLOOKUP(B46&amp;S46,'气-价格-毛利'!A:A&amp;'气-价格-毛利'!B:B,'气-价格-毛利'!D:D,0)</f>
      </c>
      <c r="E46" s="121">
        <f t="shared" si="36"/>
      </c>
      <c r="F46" s="120" cm="1">
        <f t="array" ref="F46:F46">_xlfn.XLOOKUP(B46&amp;S46,'气-价格-毛利'!A:A&amp;'气-价格-毛利'!B:B,'气-价格-毛利'!C:C,0)</f>
      </c>
      <c r="G46" s="121">
        <f>C46*10</f>
      </c>
      <c r="H46" s="121"/>
      <c r="I46" s="121">
        <f t="shared" si="222"/>
      </c>
      <c r="J46" s="121">
        <f t="shared" si="253"/>
      </c>
      <c r="K46" s="123">
        <f t="shared" si="314"/>
      </c>
      <c r="L46" s="121">
        <f t="shared" si="376"/>
      </c>
      <c r="M46" s="121">
        <f t="shared" si="4"/>
      </c>
      <c r="N46" s="123">
        <f t="shared" si="66"/>
      </c>
      <c r="O46" s="135"/>
      <c r="P46" s="135">
        <f t="shared" si="98"/>
      </c>
      <c r="Q46" s="125">
        <f t="shared" si="128"/>
      </c>
      <c r="R46" s="125">
        <f t="shared" si="190"/>
      </c>
      <c r="S46" s="123" t="s">
        <v>222</v>
      </c>
    </row>
    <row customHeight="true" ht="23.703703703703702" r="47">
      <c r="A47" s="133">
        <v>45933</v>
      </c>
      <c r="B47" s="119" t="s">
        <v>216</v>
      </c>
      <c r="C47" s="119"/>
      <c r="D47" s="134" cm="1">
        <f t="array" ref="D47:D47">_xlfn.XLOOKUP(B47&amp;S47,'气-价格-毛利'!A:A&amp;'气-价格-毛利'!B:B,'气-价格-毛利'!D:D,0)</f>
      </c>
      <c r="E47" s="121">
        <f t="shared" si="36"/>
      </c>
      <c r="F47" s="120" cm="1">
        <f t="array" ref="F47:F47">_xlfn.XLOOKUP(B47&amp;S47,'气-价格-毛利'!A:A&amp;'气-价格-毛利'!B:B,'气-价格-毛利'!C:C,0)</f>
      </c>
      <c r="G47" s="121">
        <f t="shared" ref="G47:G48" si="160">C47*8</f>
      </c>
      <c r="H47" s="121"/>
      <c r="I47" s="121">
        <f t="shared" si="222"/>
      </c>
      <c r="J47" s="121">
        <f t="shared" si="253"/>
      </c>
      <c r="K47" s="123">
        <f t="shared" si="314"/>
      </c>
      <c r="L47" s="121">
        <f t="shared" ref="L47:L48" si="283">J47*9</f>
      </c>
      <c r="M47" s="121">
        <f t="shared" ref="M47:M48" si="344">E47*9</f>
      </c>
      <c r="N47" s="123">
        <f t="shared" si="66"/>
      </c>
      <c r="O47" s="135"/>
      <c r="P47" s="135">
        <f t="shared" si="98"/>
      </c>
      <c r="Q47" s="125">
        <f t="shared" si="128"/>
      </c>
      <c r="R47" s="125">
        <f t="shared" si="190"/>
      </c>
      <c r="S47" s="125"/>
    </row>
    <row customHeight="true" ht="23.703703703703702" r="48">
      <c r="A48" s="133">
        <v>45933</v>
      </c>
      <c r="B48" s="119" t="s">
        <v>216</v>
      </c>
      <c r="C48" s="119"/>
      <c r="D48" s="134" cm="1">
        <f t="array" ref="D48:D48">_xlfn.XLOOKUP(B48&amp;S48,'气-价格-毛利'!A:A&amp;'气-价格-毛利'!B:B,'气-价格-毛利'!D:D,0)</f>
      </c>
      <c r="E48" s="121">
        <f t="shared" si="36"/>
      </c>
      <c r="F48" s="120" cm="1">
        <f t="array" ref="F48:F48">_xlfn.XLOOKUP(B48&amp;S48,'气-价格-毛利'!A:A&amp;'气-价格-毛利'!B:B,'气-价格-毛利'!C:C,0)</f>
      </c>
      <c r="G48" s="121">
        <f t="shared" si="160"/>
      </c>
      <c r="H48" s="121"/>
      <c r="I48" s="121">
        <f t="shared" si="222"/>
      </c>
      <c r="J48" s="121">
        <f t="shared" si="253"/>
      </c>
      <c r="K48" s="123">
        <f t="shared" si="314"/>
      </c>
      <c r="L48" s="121">
        <f t="shared" si="283"/>
      </c>
      <c r="M48" s="121">
        <f t="shared" si="344"/>
      </c>
      <c r="N48" s="123">
        <f t="shared" si="66"/>
      </c>
      <c r="O48" s="135"/>
      <c r="P48" s="135">
        <f t="shared" si="98"/>
      </c>
      <c r="Q48" s="125">
        <f t="shared" si="128"/>
      </c>
      <c r="R48" s="125">
        <f t="shared" si="190"/>
      </c>
      <c r="S48" s="125"/>
    </row>
    <row customHeight="true" ht="23.703703703703702" r="49">
      <c r="A49" s="133">
        <v>45933</v>
      </c>
      <c r="B49" s="119" t="s">
        <v>217</v>
      </c>
      <c r="C49" s="119"/>
      <c r="D49" s="134" cm="1">
        <f t="array" ref="D49:D49">_xlfn.XLOOKUP(B49&amp;S49,'气-价格-毛利'!A:A&amp;'气-价格-毛利'!B:B,'气-价格-毛利'!D:D,0)</f>
      </c>
      <c r="E49" s="121">
        <f t="shared" si="36"/>
      </c>
      <c r="F49" s="120" cm="1">
        <f t="array" ref="F49:F49">_xlfn.XLOOKUP(B49&amp;S49,'气-价格-毛利'!A:A&amp;'气-价格-毛利'!B:B,'气-价格-毛利'!C:C,0)</f>
      </c>
      <c r="G49" s="121"/>
      <c r="H49" s="121"/>
      <c r="I49" s="121">
        <f t="shared" si="222"/>
      </c>
      <c r="J49" s="121">
        <f>C49*F49-H49-I49</f>
      </c>
      <c r="K49" s="123">
        <f t="shared" si="314"/>
      </c>
      <c r="L49" s="121">
        <f>J49*7</f>
      </c>
      <c r="M49" s="121">
        <f>E49*7</f>
      </c>
      <c r="N49" s="123">
        <f t="shared" si="66"/>
      </c>
      <c r="O49" s="124"/>
      <c r="P49" s="124">
        <f t="shared" si="98"/>
      </c>
      <c r="Q49" s="125">
        <f t="shared" si="128"/>
      </c>
      <c r="R49" s="125"/>
      <c r="S49" s="137"/>
    </row>
    <row customHeight="true" ht="23.703703703703702" r="50">
      <c r="A50" s="133">
        <v>45933</v>
      </c>
      <c r="B50" s="119" t="s">
        <v>191</v>
      </c>
      <c r="C50" s="119">
        <f>SUM(C39:C49)</f>
      </c>
      <c r="D50" s="129"/>
      <c r="E50" s="121">
        <f>SUM(E39:E49)</f>
      </c>
      <c r="F50" s="122">
        <f>SUM(F39:F48)</f>
      </c>
      <c r="G50" s="121"/>
      <c r="H50" s="121"/>
      <c r="I50" s="121"/>
      <c r="J50" s="121">
        <f>SUM(J39:J49)</f>
      </c>
      <c r="K50" s="123">
        <f t="shared" si="314"/>
      </c>
      <c r="L50" s="121">
        <f>SUM(L39:L49)</f>
      </c>
      <c r="M50" s="121">
        <f>SUM(M39:M49)</f>
      </c>
      <c r="N50" s="123"/>
      <c r="O50" s="135">
        <f>SUM(O39:O48)</f>
      </c>
      <c r="P50" s="135">
        <f t="shared" si="98"/>
      </c>
      <c r="Q50" s="125">
        <f t="shared" si="128"/>
      </c>
      <c r="R50" s="125"/>
      <c r="S50" s="129"/>
    </row>
    <row customHeight="true" ht="23.703703703703702" r="51">
      <c r="B51" s="117" t="s">
        <v>218</v>
      </c>
    </row>
    <row customHeight="true" ht="23.703703703703702" r="52">
      <c r="A52" s="111" t="s">
        <v>219</v>
      </c>
      <c r="B52" s="112" t="s">
        <v>192</v>
      </c>
      <c r="C52" s="130" t="s">
        <v>193</v>
      </c>
      <c r="D52" s="112" t="s">
        <v>194</v>
      </c>
      <c r="E52" s="113" t="s">
        <v>195</v>
      </c>
      <c r="F52" s="114" t="s">
        <v>196</v>
      </c>
      <c r="G52" s="113" t="s">
        <v>197</v>
      </c>
      <c r="H52" s="131" t="s">
        <v>198</v>
      </c>
      <c r="I52" s="113" t="s">
        <v>199</v>
      </c>
      <c r="J52" s="113" t="s">
        <v>196</v>
      </c>
      <c r="K52" s="115" t="s">
        <v>200</v>
      </c>
      <c r="L52" s="113" t="s">
        <v>201</v>
      </c>
      <c r="M52" s="113" t="s">
        <v>202</v>
      </c>
      <c r="N52" s="112" t="s">
        <v>203</v>
      </c>
      <c r="O52" s="132" t="s">
        <v>204</v>
      </c>
      <c r="P52" s="116" t="s">
        <v>205</v>
      </c>
      <c r="Q52" s="115" t="s">
        <v>206</v>
      </c>
      <c r="R52" s="115" t="s">
        <v>207</v>
      </c>
      <c r="S52" s="115" t="s">
        <v>220</v>
      </c>
    </row>
    <row customHeight="true" ht="23.703703703703702" r="53">
      <c r="A53" s="133">
        <v>45934</v>
      </c>
      <c r="B53" s="119" t="s">
        <v>210</v>
      </c>
      <c r="C53" s="119">
        <v>0</v>
      </c>
      <c r="D53" s="134" cm="1">
        <f t="array" ref="D53:D53">_xlfn.XLOOKUP(B53&amp;S53,'气-价格-毛利'!A:A&amp;'气-价格-毛利'!B:B,'气-价格-毛利'!D:D,0)</f>
      </c>
      <c r="E53" s="121">
        <f t="shared" ref="E53:E63" si="37">C53*D53</f>
      </c>
      <c r="F53" s="120" cm="1">
        <f t="array" ref="F53:F53">_xlfn.XLOOKUP(B53&amp;S53,'气-价格-毛利'!A:A&amp;'气-价格-毛利'!B:B,'气-价格-毛利'!C:C,0)</f>
      </c>
      <c r="G53" s="121">
        <f>C53*8</f>
      </c>
      <c r="H53" s="121"/>
      <c r="I53" s="121">
        <f t="shared" ref="I53:I63" si="223">E53*0.025</f>
      </c>
      <c r="J53" s="121">
        <f t="shared" ref="J53:J62" si="254">F53*C53+G53-H53-I53</f>
      </c>
      <c r="K53" s="123">
        <f t="shared" ref="K53:K64" si="315">IFERROR(J53/E53,0)</f>
      </c>
      <c r="L53" s="121">
        <f t="shared" ref="L53:L60" si="377">J53*8</f>
      </c>
      <c r="M53" s="121">
        <f t="shared" ref="M53:M60" si="5">E53*8</f>
      </c>
      <c r="N53" s="123">
        <f t="shared" ref="N53:N63" si="67">IFERROR(H53/E53,0)</f>
      </c>
      <c r="O53" s="135"/>
      <c r="P53" s="135">
        <f t="shared" ref="P53:P64" si="99">C53-O53</f>
      </c>
      <c r="Q53" s="125">
        <f t="shared" ref="Q53:Q64" si="129">IFERROR(O53/C53,0)</f>
      </c>
      <c r="R53" s="125">
        <f t="shared" ref="R53:R62" si="191">IFERROR(H53/(E53*Q53),0)</f>
      </c>
      <c r="S53" s="123" t="s">
        <v>221</v>
      </c>
    </row>
    <row customHeight="true" ht="23.703703703703702" r="54">
      <c r="A54" s="133">
        <v>45934</v>
      </c>
      <c r="B54" s="119" t="s">
        <v>210</v>
      </c>
      <c r="C54" s="119">
        <v>0</v>
      </c>
      <c r="D54" s="134" cm="1">
        <f t="array" ref="D54:D54">_xlfn.XLOOKUP(B54&amp;S54,'气-价格-毛利'!A:A&amp;'气-价格-毛利'!B:B,'气-价格-毛利'!D:D,0)</f>
      </c>
      <c r="E54" s="121">
        <f t="shared" si="37"/>
      </c>
      <c r="F54" s="120" cm="1">
        <f t="array" ref="F54:F54">_xlfn.XLOOKUP(B54&amp;S54,'气-价格-毛利'!A:A&amp;'气-价格-毛利'!B:B,'气-价格-毛利'!C:C,0)</f>
      </c>
      <c r="G54" s="121">
        <f>C54*10</f>
      </c>
      <c r="H54" s="121"/>
      <c r="I54" s="121">
        <f t="shared" si="223"/>
      </c>
      <c r="J54" s="121">
        <f t="shared" si="254"/>
      </c>
      <c r="K54" s="123">
        <f t="shared" si="315"/>
      </c>
      <c r="L54" s="121">
        <f t="shared" si="377"/>
      </c>
      <c r="M54" s="121">
        <f t="shared" si="5"/>
      </c>
      <c r="N54" s="123">
        <f t="shared" si="67"/>
      </c>
      <c r="O54" s="124"/>
      <c r="P54" s="135">
        <f t="shared" si="99"/>
      </c>
      <c r="Q54" s="125">
        <f t="shared" si="129"/>
      </c>
      <c r="R54" s="125">
        <f t="shared" si="191"/>
      </c>
      <c r="S54" s="123" t="s">
        <v>222</v>
      </c>
    </row>
    <row customHeight="true" ht="23.703703703703702" r="55">
      <c r="A55" s="133">
        <v>45934</v>
      </c>
      <c r="B55" s="119" t="s">
        <v>211</v>
      </c>
      <c r="C55" s="119">
        <v>0</v>
      </c>
      <c r="D55" s="134" cm="1">
        <f t="array" ref="D55:D55">_xlfn.XLOOKUP(B55&amp;S55,'气-价格-毛利'!A:A&amp;'气-价格-毛利'!B:B,'气-价格-毛利'!D:D,0)</f>
      </c>
      <c r="E55" s="121">
        <f t="shared" si="37"/>
      </c>
      <c r="F55" s="120" cm="1">
        <f t="array" ref="F55:F55">_xlfn.XLOOKUP(B55&amp;S55,'气-价格-毛利'!A:A&amp;'气-价格-毛利'!B:B,'气-价格-毛利'!C:C,0)</f>
      </c>
      <c r="G55" s="121">
        <f>C55*8</f>
      </c>
      <c r="H55" s="121"/>
      <c r="I55" s="121">
        <f t="shared" si="223"/>
      </c>
      <c r="J55" s="121">
        <f t="shared" si="254"/>
      </c>
      <c r="K55" s="123">
        <f t="shared" si="315"/>
      </c>
      <c r="L55" s="121">
        <f t="shared" si="377"/>
      </c>
      <c r="M55" s="121">
        <f t="shared" si="5"/>
      </c>
      <c r="N55" s="123">
        <f t="shared" si="67"/>
      </c>
      <c r="O55" s="135"/>
      <c r="P55" s="135">
        <f t="shared" si="99"/>
      </c>
      <c r="Q55" s="125">
        <f t="shared" si="129"/>
      </c>
      <c r="R55" s="125">
        <f t="shared" si="191"/>
      </c>
      <c r="S55" s="123" t="s">
        <v>221</v>
      </c>
    </row>
    <row customHeight="true" ht="23.703703703703702" r="56">
      <c r="A56" s="133">
        <v>45934</v>
      </c>
      <c r="B56" s="119" t="s">
        <v>211</v>
      </c>
      <c r="C56" s="119">
        <v>0</v>
      </c>
      <c r="D56" s="134" cm="1">
        <f t="array" ref="D56:D56">_xlfn.XLOOKUP(B56&amp;S56,'气-价格-毛利'!A:A&amp;'气-价格-毛利'!B:B,'气-价格-毛利'!D:D,0)</f>
      </c>
      <c r="E56" s="121">
        <f t="shared" si="37"/>
      </c>
      <c r="F56" s="120" cm="1">
        <f t="array" ref="F56:F56">_xlfn.XLOOKUP(B56&amp;S56,'气-价格-毛利'!A:A&amp;'气-价格-毛利'!B:B,'气-价格-毛利'!C:C,0)</f>
      </c>
      <c r="G56" s="121">
        <f>C56*10</f>
      </c>
      <c r="H56" s="121"/>
      <c r="I56" s="121">
        <f t="shared" si="223"/>
      </c>
      <c r="J56" s="121">
        <f t="shared" si="254"/>
      </c>
      <c r="K56" s="123">
        <f t="shared" si="315"/>
      </c>
      <c r="L56" s="121">
        <f t="shared" si="377"/>
      </c>
      <c r="M56" s="121">
        <f t="shared" si="5"/>
      </c>
      <c r="N56" s="123">
        <f t="shared" si="67"/>
      </c>
      <c r="O56" s="135"/>
      <c r="P56" s="135">
        <f t="shared" si="99"/>
      </c>
      <c r="Q56" s="125">
        <f t="shared" si="129"/>
      </c>
      <c r="R56" s="125">
        <f t="shared" si="191"/>
      </c>
      <c r="S56" s="123" t="s">
        <v>222</v>
      </c>
    </row>
    <row customHeight="true" ht="23.703703703703702" r="57">
      <c r="A57" s="133">
        <v>45934</v>
      </c>
      <c r="B57" s="119" t="s">
        <v>213</v>
      </c>
      <c r="C57" s="119">
        <v>0</v>
      </c>
      <c r="D57" s="134" cm="1">
        <f t="array" ref="D57:D57">_xlfn.XLOOKUP(B57&amp;S57,'气-价格-毛利'!A:A&amp;'气-价格-毛利'!B:B,'气-价格-毛利'!D:D,0)</f>
      </c>
      <c r="E57" s="121">
        <f t="shared" si="37"/>
      </c>
      <c r="F57" s="120" cm="1">
        <f t="array" ref="F57:F57">_xlfn.XLOOKUP(B57&amp;S57,'气-价格-毛利'!A:A&amp;'气-价格-毛利'!B:B,'气-价格-毛利'!C:C,0)</f>
      </c>
      <c r="G57" s="121">
        <f>C57*8</f>
      </c>
      <c r="H57" s="121"/>
      <c r="I57" s="121">
        <f t="shared" si="223"/>
      </c>
      <c r="J57" s="121">
        <f t="shared" si="254"/>
      </c>
      <c r="K57" s="123">
        <f t="shared" si="315"/>
      </c>
      <c r="L57" s="121">
        <f t="shared" si="377"/>
      </c>
      <c r="M57" s="121">
        <f t="shared" si="5"/>
      </c>
      <c r="N57" s="123">
        <f t="shared" si="67"/>
      </c>
      <c r="O57" s="135"/>
      <c r="P57" s="135">
        <f t="shared" si="99"/>
      </c>
      <c r="Q57" s="125">
        <f t="shared" si="129"/>
      </c>
      <c r="R57" s="125">
        <f t="shared" si="191"/>
      </c>
      <c r="S57" s="123" t="s">
        <v>221</v>
      </c>
    </row>
    <row customHeight="true" ht="23.703703703703702" r="58">
      <c r="A58" s="133">
        <v>45934</v>
      </c>
      <c r="B58" s="119" t="s">
        <v>213</v>
      </c>
      <c r="C58" s="119">
        <v>2</v>
      </c>
      <c r="D58" s="134" cm="1">
        <f t="array" ref="D58:D58">_xlfn.XLOOKUP(B58&amp;S58,'气-价格-毛利'!A:A&amp;'气-价格-毛利'!B:B,'气-价格-毛利'!D:D,0)</f>
      </c>
      <c r="E58" s="121">
        <f t="shared" si="37"/>
      </c>
      <c r="F58" s="120" cm="1">
        <f t="array" ref="F58:F58">_xlfn.XLOOKUP(B58&amp;S58,'气-价格-毛利'!A:A&amp;'气-价格-毛利'!B:B,'气-价格-毛利'!C:C,0)</f>
      </c>
      <c r="G58" s="121">
        <f>C58*10</f>
      </c>
      <c r="H58" s="121"/>
      <c r="I58" s="121">
        <f t="shared" si="223"/>
      </c>
      <c r="J58" s="121">
        <f t="shared" si="254"/>
      </c>
      <c r="K58" s="123">
        <f t="shared" si="315"/>
      </c>
      <c r="L58" s="121">
        <f t="shared" si="377"/>
      </c>
      <c r="M58" s="121">
        <f t="shared" si="5"/>
      </c>
      <c r="N58" s="123">
        <f t="shared" si="67"/>
      </c>
      <c r="O58" s="124"/>
      <c r="P58" s="135">
        <f t="shared" si="99"/>
      </c>
      <c r="Q58" s="125">
        <f t="shared" si="129"/>
      </c>
      <c r="R58" s="125">
        <f t="shared" si="191"/>
      </c>
      <c r="S58" s="123" t="s">
        <v>222</v>
      </c>
    </row>
    <row customHeight="true" ht="23.703703703703702" r="59">
      <c r="A59" s="133">
        <v>45934</v>
      </c>
      <c r="B59" s="119" t="s">
        <v>214</v>
      </c>
      <c r="C59" s="119">
        <v>0</v>
      </c>
      <c r="D59" s="134" cm="1">
        <f t="array" ref="D59:D59">_xlfn.XLOOKUP(B59&amp;S59,'气-价格-毛利'!A:A&amp;'气-价格-毛利'!B:B,'气-价格-毛利'!D:D,0)</f>
      </c>
      <c r="E59" s="121">
        <f t="shared" si="37"/>
      </c>
      <c r="F59" s="120" cm="1">
        <f t="array" ref="F59:F59">_xlfn.XLOOKUP(B59&amp;S59,'气-价格-毛利'!A:A&amp;'气-价格-毛利'!B:B,'气-价格-毛利'!C:C,0)</f>
      </c>
      <c r="G59" s="121">
        <f>C59*8</f>
      </c>
      <c r="H59" s="121"/>
      <c r="I59" s="121">
        <f t="shared" si="223"/>
      </c>
      <c r="J59" s="121">
        <f t="shared" si="254"/>
      </c>
      <c r="K59" s="123">
        <f t="shared" si="315"/>
      </c>
      <c r="L59" s="121">
        <f t="shared" si="377"/>
      </c>
      <c r="M59" s="121">
        <f t="shared" si="5"/>
      </c>
      <c r="N59" s="123">
        <f t="shared" si="67"/>
      </c>
      <c r="O59" s="135"/>
      <c r="P59" s="135">
        <f t="shared" si="99"/>
      </c>
      <c r="Q59" s="125">
        <f t="shared" si="129"/>
      </c>
      <c r="R59" s="125">
        <f t="shared" si="191"/>
      </c>
      <c r="S59" s="123" t="s">
        <v>221</v>
      </c>
    </row>
    <row customHeight="true" ht="23.703703703703702" r="60">
      <c r="A60" s="133">
        <v>45934</v>
      </c>
      <c r="B60" s="119" t="s">
        <v>214</v>
      </c>
      <c r="C60" s="119">
        <v>1</v>
      </c>
      <c r="D60" s="134" cm="1">
        <f t="array" ref="D60:D60">_xlfn.XLOOKUP(B60&amp;S60,'气-价格-毛利'!A:A&amp;'气-价格-毛利'!B:B,'气-价格-毛利'!D:D,0)</f>
      </c>
      <c r="E60" s="121">
        <f t="shared" si="37"/>
      </c>
      <c r="F60" s="120" cm="1">
        <f t="array" ref="F60:F60">_xlfn.XLOOKUP(B60&amp;S60,'气-价格-毛利'!A:A&amp;'气-价格-毛利'!B:B,'气-价格-毛利'!C:C,0)</f>
      </c>
      <c r="G60" s="121">
        <f>C60*10</f>
      </c>
      <c r="H60" s="121"/>
      <c r="I60" s="121">
        <f t="shared" si="223"/>
      </c>
      <c r="J60" s="121">
        <f t="shared" si="254"/>
      </c>
      <c r="K60" s="123">
        <f t="shared" si="315"/>
      </c>
      <c r="L60" s="121">
        <f t="shared" si="377"/>
      </c>
      <c r="M60" s="121">
        <f t="shared" si="5"/>
      </c>
      <c r="N60" s="123">
        <f t="shared" si="67"/>
      </c>
      <c r="O60" s="135"/>
      <c r="P60" s="135">
        <f t="shared" si="99"/>
      </c>
      <c r="Q60" s="125">
        <f t="shared" si="129"/>
      </c>
      <c r="R60" s="125">
        <f t="shared" si="191"/>
      </c>
      <c r="S60" s="123" t="s">
        <v>222</v>
      </c>
    </row>
    <row customHeight="true" ht="23.703703703703702" r="61">
      <c r="A61" s="133">
        <v>45934</v>
      </c>
      <c r="B61" s="119" t="s">
        <v>216</v>
      </c>
      <c r="C61" s="119"/>
      <c r="D61" s="134" cm="1">
        <f t="array" ref="D61:D61">_xlfn.XLOOKUP(B61&amp;S61,'气-价格-毛利'!A:A&amp;'气-价格-毛利'!B:B,'气-价格-毛利'!D:D,0)</f>
      </c>
      <c r="E61" s="121">
        <f t="shared" si="37"/>
      </c>
      <c r="F61" s="120" cm="1">
        <f t="array" ref="F61:F61">_xlfn.XLOOKUP(B61&amp;S61,'气-价格-毛利'!A:A&amp;'气-价格-毛利'!B:B,'气-价格-毛利'!C:C,0)</f>
      </c>
      <c r="G61" s="121">
        <f t="shared" ref="G61:G62" si="161">C61*8</f>
      </c>
      <c r="H61" s="121"/>
      <c r="I61" s="121">
        <f t="shared" si="223"/>
      </c>
      <c r="J61" s="121">
        <f t="shared" si="254"/>
      </c>
      <c r="K61" s="123">
        <f t="shared" si="315"/>
      </c>
      <c r="L61" s="121">
        <f t="shared" ref="L61:L62" si="284">J61*9</f>
      </c>
      <c r="M61" s="121">
        <f t="shared" ref="M61:M62" si="345">E61*9</f>
      </c>
      <c r="N61" s="123">
        <f t="shared" si="67"/>
      </c>
      <c r="O61" s="135"/>
      <c r="P61" s="135">
        <f t="shared" si="99"/>
      </c>
      <c r="Q61" s="125">
        <f t="shared" si="129"/>
      </c>
      <c r="R61" s="125">
        <f t="shared" si="191"/>
      </c>
      <c r="S61" s="125"/>
    </row>
    <row customHeight="true" ht="23.703703703703702" r="62">
      <c r="A62" s="133">
        <v>45934</v>
      </c>
      <c r="B62" s="119" t="s">
        <v>216</v>
      </c>
      <c r="C62" s="119"/>
      <c r="D62" s="134" cm="1">
        <f t="array" ref="D62:D62">_xlfn.XLOOKUP(B62&amp;S62,'气-价格-毛利'!A:A&amp;'气-价格-毛利'!B:B,'气-价格-毛利'!D:D,0)</f>
      </c>
      <c r="E62" s="121">
        <f t="shared" si="37"/>
      </c>
      <c r="F62" s="120" cm="1">
        <f t="array" ref="F62:F62">_xlfn.XLOOKUP(B62&amp;S62,'气-价格-毛利'!A:A&amp;'气-价格-毛利'!B:B,'气-价格-毛利'!C:C,0)</f>
      </c>
      <c r="G62" s="121">
        <f t="shared" si="161"/>
      </c>
      <c r="H62" s="121"/>
      <c r="I62" s="121">
        <f t="shared" si="223"/>
      </c>
      <c r="J62" s="121">
        <f t="shared" si="254"/>
      </c>
      <c r="K62" s="123">
        <f t="shared" si="315"/>
      </c>
      <c r="L62" s="121">
        <f t="shared" si="284"/>
      </c>
      <c r="M62" s="121">
        <f t="shared" si="345"/>
      </c>
      <c r="N62" s="123">
        <f t="shared" si="67"/>
      </c>
      <c r="O62" s="135"/>
      <c r="P62" s="135">
        <f t="shared" si="99"/>
      </c>
      <c r="Q62" s="125">
        <f t="shared" si="129"/>
      </c>
      <c r="R62" s="125">
        <f t="shared" si="191"/>
      </c>
      <c r="S62" s="125"/>
    </row>
    <row customHeight="true" ht="23.703703703703702" r="63">
      <c r="A63" s="133">
        <v>45934</v>
      </c>
      <c r="B63" s="119" t="s">
        <v>217</v>
      </c>
      <c r="C63" s="119"/>
      <c r="D63" s="134" cm="1">
        <f t="array" ref="D63:D63">_xlfn.XLOOKUP(B63&amp;S63,'气-价格-毛利'!A:A&amp;'气-价格-毛利'!B:B,'气-价格-毛利'!D:D,0)</f>
      </c>
      <c r="E63" s="121">
        <f t="shared" si="37"/>
      </c>
      <c r="F63" s="120" cm="1">
        <f t="array" ref="F63:F63">_xlfn.XLOOKUP(B63&amp;S63,'气-价格-毛利'!A:A&amp;'气-价格-毛利'!B:B,'气-价格-毛利'!C:C,0)</f>
      </c>
      <c r="G63" s="121"/>
      <c r="H63" s="121"/>
      <c r="I63" s="121">
        <f t="shared" si="223"/>
      </c>
      <c r="J63" s="121">
        <f>C63*F63-H63-I63</f>
      </c>
      <c r="K63" s="123">
        <f t="shared" si="315"/>
      </c>
      <c r="L63" s="121">
        <f>J63*7</f>
      </c>
      <c r="M63" s="121">
        <f>E63*7</f>
      </c>
      <c r="N63" s="123">
        <f t="shared" si="67"/>
      </c>
      <c r="O63" s="124"/>
      <c r="P63" s="124">
        <f t="shared" si="99"/>
      </c>
      <c r="Q63" s="125">
        <f t="shared" si="129"/>
      </c>
      <c r="R63" s="125"/>
      <c r="S63" s="137"/>
    </row>
    <row customHeight="true" ht="23.703703703703702" r="64">
      <c r="A64" s="133">
        <v>45934</v>
      </c>
      <c r="B64" s="119" t="s">
        <v>191</v>
      </c>
      <c r="C64" s="119">
        <f>SUM(C53:C63)</f>
      </c>
      <c r="D64" s="129"/>
      <c r="E64" s="121">
        <f>SUM(E53:E63)</f>
      </c>
      <c r="F64" s="122">
        <f>SUM(F53:F62)</f>
      </c>
      <c r="G64" s="121"/>
      <c r="H64" s="121"/>
      <c r="I64" s="121"/>
      <c r="J64" s="121">
        <f>SUM(J53:J63)</f>
      </c>
      <c r="K64" s="123">
        <f t="shared" si="315"/>
      </c>
      <c r="L64" s="121">
        <f>SUM(L53:L63)</f>
      </c>
      <c r="M64" s="121">
        <f>SUM(M53:M63)</f>
      </c>
      <c r="N64" s="123"/>
      <c r="O64" s="135">
        <f>SUM(O53:O62)</f>
      </c>
      <c r="P64" s="135">
        <f t="shared" si="99"/>
      </c>
      <c r="Q64" s="125">
        <f t="shared" si="129"/>
      </c>
      <c r="R64" s="125"/>
      <c r="S64" s="129"/>
    </row>
    <row customHeight="true" ht="23.703703703703702" r="65">
      <c r="B65" s="117" t="s">
        <v>218</v>
      </c>
    </row>
    <row customHeight="true" ht="23.703703703703702" r="66">
      <c r="A66" s="111" t="s">
        <v>219</v>
      </c>
      <c r="B66" s="112" t="s">
        <v>192</v>
      </c>
      <c r="C66" s="130" t="s">
        <v>193</v>
      </c>
      <c r="D66" s="112" t="s">
        <v>194</v>
      </c>
      <c r="E66" s="113" t="s">
        <v>195</v>
      </c>
      <c r="F66" s="114" t="s">
        <v>196</v>
      </c>
      <c r="G66" s="113" t="s">
        <v>197</v>
      </c>
      <c r="H66" s="131" t="s">
        <v>198</v>
      </c>
      <c r="I66" s="113" t="s">
        <v>199</v>
      </c>
      <c r="J66" s="113" t="s">
        <v>196</v>
      </c>
      <c r="K66" s="115" t="s">
        <v>200</v>
      </c>
      <c r="L66" s="113" t="s">
        <v>201</v>
      </c>
      <c r="M66" s="113" t="s">
        <v>202</v>
      </c>
      <c r="N66" s="112" t="s">
        <v>203</v>
      </c>
      <c r="O66" s="132" t="s">
        <v>204</v>
      </c>
      <c r="P66" s="116" t="s">
        <v>205</v>
      </c>
      <c r="Q66" s="115" t="s">
        <v>206</v>
      </c>
      <c r="R66" s="115" t="s">
        <v>207</v>
      </c>
      <c r="S66" s="115" t="s">
        <v>220</v>
      </c>
    </row>
    <row customHeight="true" ht="23.703703703703702" r="67">
      <c r="A67" s="133">
        <v>45935</v>
      </c>
      <c r="B67" s="119" t="s">
        <v>210</v>
      </c>
      <c r="C67" s="119">
        <v>0</v>
      </c>
      <c r="D67" s="134" cm="1">
        <f t="array" ref="D67:D67">_xlfn.XLOOKUP(B67&amp;S67,'气-价格-毛利'!A:A&amp;'气-价格-毛利'!B:B,'气-价格-毛利'!D:D,0)</f>
      </c>
      <c r="E67" s="121">
        <f t="shared" ref="E67:E77" si="38">C67*D67</f>
      </c>
      <c r="F67" s="120" cm="1">
        <f t="array" ref="F67:F67">_xlfn.XLOOKUP(B67&amp;S67,'气-价格-毛利'!A:A&amp;'气-价格-毛利'!B:B,'气-价格-毛利'!C:C,0)</f>
      </c>
      <c r="G67" s="121">
        <f>C67*8</f>
      </c>
      <c r="H67" s="121"/>
      <c r="I67" s="121">
        <f t="shared" ref="I67:I77" si="224">E67*0.025</f>
      </c>
      <c r="J67" s="121">
        <f t="shared" ref="J67:J76" si="255">F67*C67+G67-H67-I67</f>
      </c>
      <c r="K67" s="123">
        <f t="shared" ref="K67:K78" si="316">IFERROR(J67/E67,0)</f>
      </c>
      <c r="L67" s="121">
        <f t="shared" ref="L67:L74" si="378">J67*8</f>
      </c>
      <c r="M67" s="121">
        <f t="shared" ref="M67:M74" si="6">E67*8</f>
      </c>
      <c r="N67" s="123">
        <f t="shared" ref="N67:N77" si="68">IFERROR(H67/E67,0)</f>
      </c>
      <c r="O67" s="135"/>
      <c r="P67" s="135">
        <f t="shared" ref="P67:P78" si="100">C67-O67</f>
      </c>
      <c r="Q67" s="125">
        <f t="shared" ref="Q67:Q78" si="130">IFERROR(O67/C67,0)</f>
      </c>
      <c r="R67" s="125">
        <f t="shared" ref="R67:R76" si="192">IFERROR(H67/(E67*Q67),0)</f>
      </c>
      <c r="S67" s="123" t="s">
        <v>221</v>
      </c>
    </row>
    <row customHeight="true" ht="23.703703703703702" r="68">
      <c r="A68" s="133">
        <v>45935</v>
      </c>
      <c r="B68" s="119" t="s">
        <v>210</v>
      </c>
      <c r="C68" s="119">
        <v>1</v>
      </c>
      <c r="D68" s="134" cm="1">
        <f t="array" ref="D68:D68">_xlfn.XLOOKUP(B68&amp;S68,'气-价格-毛利'!A:A&amp;'气-价格-毛利'!B:B,'气-价格-毛利'!D:D,0)</f>
      </c>
      <c r="E68" s="121">
        <f t="shared" si="38"/>
      </c>
      <c r="F68" s="120" cm="1">
        <f t="array" ref="F68:F68">_xlfn.XLOOKUP(B68&amp;S68,'气-价格-毛利'!A:A&amp;'气-价格-毛利'!B:B,'气-价格-毛利'!C:C,0)</f>
      </c>
      <c r="G68" s="121">
        <f>C68*10</f>
      </c>
      <c r="H68" s="121"/>
      <c r="I68" s="121">
        <f t="shared" si="224"/>
      </c>
      <c r="J68" s="121">
        <f t="shared" si="255"/>
      </c>
      <c r="K68" s="123">
        <f t="shared" si="316"/>
      </c>
      <c r="L68" s="121">
        <f t="shared" si="378"/>
      </c>
      <c r="M68" s="121">
        <f t="shared" si="6"/>
      </c>
      <c r="N68" s="123">
        <f t="shared" si="68"/>
      </c>
      <c r="O68" s="124"/>
      <c r="P68" s="135">
        <f t="shared" si="100"/>
      </c>
      <c r="Q68" s="125">
        <f t="shared" si="130"/>
      </c>
      <c r="R68" s="125">
        <f t="shared" si="192"/>
      </c>
      <c r="S68" s="123" t="s">
        <v>222</v>
      </c>
    </row>
    <row customHeight="true" ht="23.703703703703702" r="69">
      <c r="A69" s="133">
        <v>45935</v>
      </c>
      <c r="B69" s="119" t="s">
        <v>211</v>
      </c>
      <c r="C69" s="119">
        <v>0</v>
      </c>
      <c r="D69" s="134" cm="1">
        <f t="array" ref="D69:D69">_xlfn.XLOOKUP(B69&amp;S69,'气-价格-毛利'!A:A&amp;'气-价格-毛利'!B:B,'气-价格-毛利'!D:D,0)</f>
      </c>
      <c r="E69" s="121">
        <f t="shared" si="38"/>
      </c>
      <c r="F69" s="120" cm="1">
        <f t="array" ref="F69:F69">_xlfn.XLOOKUP(B69&amp;S69,'气-价格-毛利'!A:A&amp;'气-价格-毛利'!B:B,'气-价格-毛利'!C:C,0)</f>
      </c>
      <c r="G69" s="121">
        <f>C69*8</f>
      </c>
      <c r="H69" s="121"/>
      <c r="I69" s="121">
        <f t="shared" si="224"/>
      </c>
      <c r="J69" s="121">
        <f t="shared" si="255"/>
      </c>
      <c r="K69" s="123">
        <f t="shared" si="316"/>
      </c>
      <c r="L69" s="121">
        <f t="shared" si="378"/>
      </c>
      <c r="M69" s="121">
        <f t="shared" si="6"/>
      </c>
      <c r="N69" s="123">
        <f t="shared" si="68"/>
      </c>
      <c r="O69" s="135"/>
      <c r="P69" s="135">
        <f t="shared" si="100"/>
      </c>
      <c r="Q69" s="125">
        <f t="shared" si="130"/>
      </c>
      <c r="R69" s="125">
        <f t="shared" si="192"/>
      </c>
      <c r="S69" s="123" t="s">
        <v>221</v>
      </c>
    </row>
    <row customHeight="true" ht="23.703703703703702" r="70">
      <c r="A70" s="133">
        <v>45935</v>
      </c>
      <c r="B70" s="119" t="s">
        <v>211</v>
      </c>
      <c r="C70" s="119">
        <v>0</v>
      </c>
      <c r="D70" s="134" cm="1">
        <f t="array" ref="D70:D70">_xlfn.XLOOKUP(B70&amp;S70,'气-价格-毛利'!A:A&amp;'气-价格-毛利'!B:B,'气-价格-毛利'!D:D,0)</f>
      </c>
      <c r="E70" s="121">
        <f t="shared" si="38"/>
      </c>
      <c r="F70" s="120" cm="1">
        <f t="array" ref="F70:F70">_xlfn.XLOOKUP(B70&amp;S70,'气-价格-毛利'!A:A&amp;'气-价格-毛利'!B:B,'气-价格-毛利'!C:C,0)</f>
      </c>
      <c r="G70" s="121">
        <f>C70*10</f>
      </c>
      <c r="H70" s="121"/>
      <c r="I70" s="121">
        <f t="shared" si="224"/>
      </c>
      <c r="J70" s="121">
        <f t="shared" si="255"/>
      </c>
      <c r="K70" s="123">
        <f t="shared" si="316"/>
      </c>
      <c r="L70" s="121">
        <f t="shared" si="378"/>
      </c>
      <c r="M70" s="121">
        <f t="shared" si="6"/>
      </c>
      <c r="N70" s="123">
        <f t="shared" si="68"/>
      </c>
      <c r="O70" s="135"/>
      <c r="P70" s="135">
        <f t="shared" si="100"/>
      </c>
      <c r="Q70" s="125">
        <f t="shared" si="130"/>
      </c>
      <c r="R70" s="125">
        <f t="shared" si="192"/>
      </c>
      <c r="S70" s="123" t="s">
        <v>222</v>
      </c>
    </row>
    <row customHeight="true" ht="23.703703703703702" r="71">
      <c r="A71" s="133">
        <v>45935</v>
      </c>
      <c r="B71" s="119" t="s">
        <v>213</v>
      </c>
      <c r="C71" s="119">
        <v>0</v>
      </c>
      <c r="D71" s="134" cm="1">
        <f t="array" ref="D71:D71">_xlfn.XLOOKUP(B71&amp;S71,'气-价格-毛利'!A:A&amp;'气-价格-毛利'!B:B,'气-价格-毛利'!D:D,0)</f>
      </c>
      <c r="E71" s="121">
        <f t="shared" si="38"/>
      </c>
      <c r="F71" s="120" cm="1">
        <f t="array" ref="F71:F71">_xlfn.XLOOKUP(B71&amp;S71,'气-价格-毛利'!A:A&amp;'气-价格-毛利'!B:B,'气-价格-毛利'!C:C,0)</f>
      </c>
      <c r="G71" s="121">
        <f>C71*8</f>
      </c>
      <c r="H71" s="121"/>
      <c r="I71" s="121">
        <f t="shared" si="224"/>
      </c>
      <c r="J71" s="121">
        <f t="shared" si="255"/>
      </c>
      <c r="K71" s="123">
        <f t="shared" si="316"/>
      </c>
      <c r="L71" s="121">
        <f t="shared" si="378"/>
      </c>
      <c r="M71" s="121">
        <f t="shared" si="6"/>
      </c>
      <c r="N71" s="123">
        <f t="shared" si="68"/>
      </c>
      <c r="O71" s="135"/>
      <c r="P71" s="135">
        <f t="shared" si="100"/>
      </c>
      <c r="Q71" s="125">
        <f t="shared" si="130"/>
      </c>
      <c r="R71" s="125">
        <f t="shared" si="192"/>
      </c>
      <c r="S71" s="123" t="s">
        <v>221</v>
      </c>
    </row>
    <row customHeight="true" ht="23.703703703703702" r="72">
      <c r="A72" s="133">
        <v>45935</v>
      </c>
      <c r="B72" s="119" t="s">
        <v>213</v>
      </c>
      <c r="C72" s="119">
        <v>2</v>
      </c>
      <c r="D72" s="134" cm="1">
        <f t="array" ref="D72:D72">_xlfn.XLOOKUP(B72&amp;S72,'气-价格-毛利'!A:A&amp;'气-价格-毛利'!B:B,'气-价格-毛利'!D:D,0)</f>
      </c>
      <c r="E72" s="121">
        <f t="shared" si="38"/>
      </c>
      <c r="F72" s="120" cm="1">
        <f t="array" ref="F72:F72">_xlfn.XLOOKUP(B72&amp;S72,'气-价格-毛利'!A:A&amp;'气-价格-毛利'!B:B,'气-价格-毛利'!C:C,0)</f>
      </c>
      <c r="G72" s="121">
        <f>C72*10</f>
      </c>
      <c r="H72" s="121"/>
      <c r="I72" s="121">
        <f t="shared" si="224"/>
      </c>
      <c r="J72" s="121">
        <f t="shared" si="255"/>
      </c>
      <c r="K72" s="123">
        <f t="shared" si="316"/>
      </c>
      <c r="L72" s="121">
        <f t="shared" si="378"/>
      </c>
      <c r="M72" s="121">
        <f t="shared" si="6"/>
      </c>
      <c r="N72" s="123">
        <f t="shared" si="68"/>
      </c>
      <c r="O72" s="124"/>
      <c r="P72" s="135">
        <f t="shared" si="100"/>
      </c>
      <c r="Q72" s="125">
        <f t="shared" si="130"/>
      </c>
      <c r="R72" s="125">
        <f t="shared" si="192"/>
      </c>
      <c r="S72" s="123" t="s">
        <v>222</v>
      </c>
    </row>
    <row customHeight="true" ht="23.703703703703702" r="73">
      <c r="A73" s="133">
        <v>45935</v>
      </c>
      <c r="B73" s="119" t="s">
        <v>214</v>
      </c>
      <c r="C73" s="119">
        <v>0</v>
      </c>
      <c r="D73" s="134" cm="1">
        <f t="array" ref="D73:D73">_xlfn.XLOOKUP(B73&amp;S73,'气-价格-毛利'!A:A&amp;'气-价格-毛利'!B:B,'气-价格-毛利'!D:D,0)</f>
      </c>
      <c r="E73" s="121">
        <f t="shared" si="38"/>
      </c>
      <c r="F73" s="120" cm="1">
        <f t="array" ref="F73:F73">_xlfn.XLOOKUP(B73&amp;S73,'气-价格-毛利'!A:A&amp;'气-价格-毛利'!B:B,'气-价格-毛利'!C:C,0)</f>
      </c>
      <c r="G73" s="121">
        <f>C73*8</f>
      </c>
      <c r="H73" s="121"/>
      <c r="I73" s="121">
        <f t="shared" si="224"/>
      </c>
      <c r="J73" s="121">
        <f t="shared" si="255"/>
      </c>
      <c r="K73" s="123">
        <f t="shared" si="316"/>
      </c>
      <c r="L73" s="121">
        <f t="shared" si="378"/>
      </c>
      <c r="M73" s="121">
        <f t="shared" si="6"/>
      </c>
      <c r="N73" s="123">
        <f t="shared" si="68"/>
      </c>
      <c r="O73" s="135"/>
      <c r="P73" s="135">
        <f t="shared" si="100"/>
      </c>
      <c r="Q73" s="125">
        <f t="shared" si="130"/>
      </c>
      <c r="R73" s="125">
        <f t="shared" si="192"/>
      </c>
      <c r="S73" s="123" t="s">
        <v>221</v>
      </c>
    </row>
    <row customHeight="true" ht="23.703703703703702" r="74">
      <c r="A74" s="133">
        <v>45935</v>
      </c>
      <c r="B74" s="119" t="s">
        <v>214</v>
      </c>
      <c r="C74" s="119">
        <v>2</v>
      </c>
      <c r="D74" s="134" cm="1">
        <f t="array" ref="D74:D74">_xlfn.XLOOKUP(B74&amp;S74,'气-价格-毛利'!A:A&amp;'气-价格-毛利'!B:B,'气-价格-毛利'!D:D,0)</f>
      </c>
      <c r="E74" s="121">
        <f t="shared" si="38"/>
      </c>
      <c r="F74" s="120" cm="1">
        <f t="array" ref="F74:F74">_xlfn.XLOOKUP(B74&amp;S74,'气-价格-毛利'!A:A&amp;'气-价格-毛利'!B:B,'气-价格-毛利'!C:C,0)</f>
      </c>
      <c r="G74" s="121">
        <f>C74*10</f>
      </c>
      <c r="H74" s="121"/>
      <c r="I74" s="121">
        <f t="shared" si="224"/>
      </c>
      <c r="J74" s="121">
        <f t="shared" si="255"/>
      </c>
      <c r="K74" s="123">
        <f t="shared" si="316"/>
      </c>
      <c r="L74" s="121">
        <f t="shared" si="378"/>
      </c>
      <c r="M74" s="121">
        <f t="shared" si="6"/>
      </c>
      <c r="N74" s="123">
        <f t="shared" si="68"/>
      </c>
      <c r="O74" s="135"/>
      <c r="P74" s="135">
        <f t="shared" si="100"/>
      </c>
      <c r="Q74" s="125">
        <f t="shared" si="130"/>
      </c>
      <c r="R74" s="125">
        <f t="shared" si="192"/>
      </c>
      <c r="S74" s="123" t="s">
        <v>222</v>
      </c>
    </row>
    <row customHeight="true" ht="23.703703703703702" r="75">
      <c r="A75" s="133">
        <v>45935</v>
      </c>
      <c r="B75" s="119" t="s">
        <v>216</v>
      </c>
      <c r="C75" s="119"/>
      <c r="D75" s="134" cm="1">
        <f t="array" ref="D75:D75">_xlfn.XLOOKUP(B75&amp;S75,'气-价格-毛利'!A:A&amp;'气-价格-毛利'!B:B,'气-价格-毛利'!D:D,0)</f>
      </c>
      <c r="E75" s="121">
        <f t="shared" si="38"/>
      </c>
      <c r="F75" s="120" cm="1">
        <f t="array" ref="F75:F75">_xlfn.XLOOKUP(B75&amp;S75,'气-价格-毛利'!A:A&amp;'气-价格-毛利'!B:B,'气-价格-毛利'!C:C,0)</f>
      </c>
      <c r="G75" s="121">
        <f t="shared" ref="G75:G76" si="162">C75*8</f>
      </c>
      <c r="H75" s="121"/>
      <c r="I75" s="121">
        <f t="shared" si="224"/>
      </c>
      <c r="J75" s="121">
        <f t="shared" si="255"/>
      </c>
      <c r="K75" s="123">
        <f t="shared" si="316"/>
      </c>
      <c r="L75" s="121">
        <f t="shared" ref="L75:L76" si="285">J75*9</f>
      </c>
      <c r="M75" s="121">
        <f t="shared" ref="M75:M76" si="346">E75*9</f>
      </c>
      <c r="N75" s="123">
        <f t="shared" si="68"/>
      </c>
      <c r="O75" s="135"/>
      <c r="P75" s="135">
        <f t="shared" si="100"/>
      </c>
      <c r="Q75" s="125">
        <f t="shared" si="130"/>
      </c>
      <c r="R75" s="125">
        <f t="shared" si="192"/>
      </c>
      <c r="S75" s="125"/>
    </row>
    <row customHeight="true" ht="23.703703703703702" r="76">
      <c r="A76" s="133">
        <v>45935</v>
      </c>
      <c r="B76" s="119" t="s">
        <v>216</v>
      </c>
      <c r="C76" s="119"/>
      <c r="D76" s="134" cm="1">
        <f t="array" ref="D76:D76">_xlfn.XLOOKUP(B76&amp;S76,'气-价格-毛利'!A:A&amp;'气-价格-毛利'!B:B,'气-价格-毛利'!D:D,0)</f>
      </c>
      <c r="E76" s="121">
        <f t="shared" si="38"/>
      </c>
      <c r="F76" s="120" cm="1">
        <f t="array" ref="F76:F76">_xlfn.XLOOKUP(B76&amp;S76,'气-价格-毛利'!A:A&amp;'气-价格-毛利'!B:B,'气-价格-毛利'!C:C,0)</f>
      </c>
      <c r="G76" s="121">
        <f t="shared" si="162"/>
      </c>
      <c r="H76" s="121"/>
      <c r="I76" s="121">
        <f t="shared" si="224"/>
      </c>
      <c r="J76" s="121">
        <f t="shared" si="255"/>
      </c>
      <c r="K76" s="123">
        <f t="shared" si="316"/>
      </c>
      <c r="L76" s="121">
        <f t="shared" si="285"/>
      </c>
      <c r="M76" s="121">
        <f t="shared" si="346"/>
      </c>
      <c r="N76" s="123">
        <f t="shared" si="68"/>
      </c>
      <c r="O76" s="135"/>
      <c r="P76" s="135">
        <f t="shared" si="100"/>
      </c>
      <c r="Q76" s="125">
        <f t="shared" si="130"/>
      </c>
      <c r="R76" s="125">
        <f t="shared" si="192"/>
      </c>
      <c r="S76" s="125"/>
    </row>
    <row customHeight="true" ht="23.703703703703702" r="77">
      <c r="A77" s="133">
        <v>45935</v>
      </c>
      <c r="B77" s="119" t="s">
        <v>217</v>
      </c>
      <c r="C77" s="119"/>
      <c r="D77" s="134" cm="1">
        <f t="array" ref="D77:D77">_xlfn.XLOOKUP(B77&amp;S77,'气-价格-毛利'!A:A&amp;'气-价格-毛利'!B:B,'气-价格-毛利'!D:D,0)</f>
      </c>
      <c r="E77" s="121">
        <f t="shared" si="38"/>
      </c>
      <c r="F77" s="120" cm="1">
        <f t="array" ref="F77:F77">_xlfn.XLOOKUP(B77&amp;S77,'气-价格-毛利'!A:A&amp;'气-价格-毛利'!B:B,'气-价格-毛利'!C:C,0)</f>
      </c>
      <c r="G77" s="121"/>
      <c r="H77" s="121"/>
      <c r="I77" s="121">
        <f t="shared" si="224"/>
      </c>
      <c r="J77" s="121">
        <f>C77*F77-H77-I77</f>
      </c>
      <c r="K77" s="123">
        <f t="shared" si="316"/>
      </c>
      <c r="L77" s="121">
        <f>J77*7</f>
      </c>
      <c r="M77" s="121">
        <f>E77*7</f>
      </c>
      <c r="N77" s="123">
        <f t="shared" si="68"/>
      </c>
      <c r="O77" s="124"/>
      <c r="P77" s="124">
        <f t="shared" si="100"/>
      </c>
      <c r="Q77" s="125">
        <f t="shared" si="130"/>
      </c>
      <c r="R77" s="125"/>
      <c r="S77" s="137"/>
    </row>
    <row customHeight="true" ht="23.703703703703702" r="78">
      <c r="A78" s="133">
        <v>45935</v>
      </c>
      <c r="B78" s="119" t="s">
        <v>191</v>
      </c>
      <c r="C78" s="119">
        <f>SUM(C67:C77)</f>
      </c>
      <c r="D78" s="129"/>
      <c r="E78" s="121">
        <f>SUM(E67:E77)</f>
      </c>
      <c r="F78" s="122">
        <f>SUM(F67:F76)</f>
      </c>
      <c r="G78" s="121"/>
      <c r="H78" s="121"/>
      <c r="I78" s="121"/>
      <c r="J78" s="121">
        <f>SUM(J67:J77)</f>
      </c>
      <c r="K78" s="123">
        <f t="shared" si="316"/>
      </c>
      <c r="L78" s="121">
        <f>SUM(L67:L77)</f>
      </c>
      <c r="M78" s="121">
        <f>SUM(M67:M77)</f>
      </c>
      <c r="N78" s="123"/>
      <c r="O78" s="135">
        <f>SUM(O67:O76)</f>
      </c>
      <c r="P78" s="135">
        <f t="shared" si="100"/>
      </c>
      <c r="Q78" s="125">
        <f t="shared" si="130"/>
      </c>
      <c r="R78" s="125"/>
      <c r="S78" s="129"/>
    </row>
    <row customHeight="true" ht="23.703703703703702" r="79">
      <c r="B79" s="117" t="s">
        <v>218</v>
      </c>
    </row>
    <row customHeight="true" ht="23.703703703703702" r="80">
      <c r="A80" s="111" t="s">
        <v>219</v>
      </c>
      <c r="B80" s="112" t="s">
        <v>192</v>
      </c>
      <c r="C80" s="130" t="s">
        <v>193</v>
      </c>
      <c r="D80" s="112" t="s">
        <v>194</v>
      </c>
      <c r="E80" s="113" t="s">
        <v>195</v>
      </c>
      <c r="F80" s="114" t="s">
        <v>196</v>
      </c>
      <c r="G80" s="113" t="s">
        <v>197</v>
      </c>
      <c r="H80" s="131" t="s">
        <v>198</v>
      </c>
      <c r="I80" s="113" t="s">
        <v>199</v>
      </c>
      <c r="J80" s="113" t="s">
        <v>196</v>
      </c>
      <c r="K80" s="115" t="s">
        <v>200</v>
      </c>
      <c r="L80" s="113" t="s">
        <v>201</v>
      </c>
      <c r="M80" s="113" t="s">
        <v>202</v>
      </c>
      <c r="N80" s="112" t="s">
        <v>203</v>
      </c>
      <c r="O80" s="132" t="s">
        <v>204</v>
      </c>
      <c r="P80" s="116" t="s">
        <v>205</v>
      </c>
      <c r="Q80" s="115" t="s">
        <v>206</v>
      </c>
      <c r="R80" s="115" t="s">
        <v>207</v>
      </c>
      <c r="S80" s="115" t="s">
        <v>220</v>
      </c>
    </row>
    <row customHeight="true" ht="23.703703703703702" r="81">
      <c r="A81" s="133">
        <v>45936</v>
      </c>
      <c r="B81" s="119" t="s">
        <v>210</v>
      </c>
      <c r="C81" s="119">
        <v>0</v>
      </c>
      <c r="D81" s="134" cm="1">
        <f t="array" ref="D81:D81">_xlfn.XLOOKUP(B81&amp;S81,'气-价格-毛利'!A:A&amp;'气-价格-毛利'!B:B,'气-价格-毛利'!D:D,0)</f>
      </c>
      <c r="E81" s="121">
        <f t="shared" ref="E81:E91" si="39">C81*D81</f>
      </c>
      <c r="F81" s="120" cm="1">
        <f t="array" ref="F81:F81">_xlfn.XLOOKUP(B81&amp;S81,'气-价格-毛利'!A:A&amp;'气-价格-毛利'!B:B,'气-价格-毛利'!C:C,0)</f>
      </c>
      <c r="G81" s="121">
        <f>C81*8</f>
      </c>
      <c r="H81" s="121"/>
      <c r="I81" s="121">
        <f t="shared" ref="I81:I91" si="225">E81*0.025</f>
      </c>
      <c r="J81" s="121">
        <f t="shared" ref="J81:J90" si="256">F81*C81+G81-H81-I81</f>
      </c>
      <c r="K81" s="123">
        <f t="shared" ref="K81:K92" si="317">IFERROR(J81/E81,0)</f>
      </c>
      <c r="L81" s="121">
        <f t="shared" ref="L81:L88" si="379">J81*8</f>
      </c>
      <c r="M81" s="121">
        <f t="shared" ref="M81:M88" si="7">E81*8</f>
      </c>
      <c r="N81" s="123">
        <f t="shared" ref="N81:N91" si="69">IFERROR(H81/E81,0)</f>
      </c>
      <c r="O81" s="135"/>
      <c r="P81" s="135">
        <f t="shared" ref="P81:P92" si="101">C81-O81</f>
      </c>
      <c r="Q81" s="125">
        <f t="shared" ref="Q81:Q92" si="131">IFERROR(O81/C81,0)</f>
      </c>
      <c r="R81" s="125">
        <f t="shared" ref="R81:R90" si="193">IFERROR(H81/(E81*Q81),0)</f>
      </c>
      <c r="S81" s="123" t="s">
        <v>221</v>
      </c>
    </row>
    <row customHeight="true" ht="23.703703703703702" r="82">
      <c r="A82" s="133">
        <v>45936</v>
      </c>
      <c r="B82" s="119" t="s">
        <v>210</v>
      </c>
      <c r="C82" s="119">
        <v>0</v>
      </c>
      <c r="D82" s="134" cm="1">
        <f t="array" ref="D82:D82">_xlfn.XLOOKUP(B82&amp;S82,'气-价格-毛利'!A:A&amp;'气-价格-毛利'!B:B,'气-价格-毛利'!D:D,0)</f>
      </c>
      <c r="E82" s="121">
        <f t="shared" si="39"/>
      </c>
      <c r="F82" s="120" cm="1">
        <f t="array" ref="F82:F82">_xlfn.XLOOKUP(B82&amp;S82,'气-价格-毛利'!A:A&amp;'气-价格-毛利'!B:B,'气-价格-毛利'!C:C,0)</f>
      </c>
      <c r="G82" s="121">
        <f>C82*10</f>
      </c>
      <c r="H82" s="121"/>
      <c r="I82" s="121">
        <f t="shared" si="225"/>
      </c>
      <c r="J82" s="121">
        <f t="shared" si="256"/>
      </c>
      <c r="K82" s="123">
        <f t="shared" si="317"/>
      </c>
      <c r="L82" s="121">
        <f t="shared" si="379"/>
      </c>
      <c r="M82" s="121">
        <f t="shared" si="7"/>
      </c>
      <c r="N82" s="123">
        <f t="shared" si="69"/>
      </c>
      <c r="O82" s="124"/>
      <c r="P82" s="135">
        <f t="shared" si="101"/>
      </c>
      <c r="Q82" s="125">
        <f t="shared" si="131"/>
      </c>
      <c r="R82" s="125">
        <f t="shared" si="193"/>
      </c>
      <c r="S82" s="123" t="s">
        <v>222</v>
      </c>
    </row>
    <row customHeight="true" ht="23.703703703703702" r="83">
      <c r="A83" s="133">
        <v>45936</v>
      </c>
      <c r="B83" s="119" t="s">
        <v>211</v>
      </c>
      <c r="C83" s="119">
        <v>0</v>
      </c>
      <c r="D83" s="134" cm="1">
        <f t="array" ref="D83:D83">_xlfn.XLOOKUP(B83&amp;S83,'气-价格-毛利'!A:A&amp;'气-价格-毛利'!B:B,'气-价格-毛利'!D:D,0)</f>
      </c>
      <c r="E83" s="121">
        <f t="shared" si="39"/>
      </c>
      <c r="F83" s="120" cm="1">
        <f t="array" ref="F83:F83">_xlfn.XLOOKUP(B83&amp;S83,'气-价格-毛利'!A:A&amp;'气-价格-毛利'!B:B,'气-价格-毛利'!C:C,0)</f>
      </c>
      <c r="G83" s="121">
        <f>C83*8</f>
      </c>
      <c r="H83" s="121"/>
      <c r="I83" s="121">
        <f t="shared" si="225"/>
      </c>
      <c r="J83" s="121">
        <f t="shared" si="256"/>
      </c>
      <c r="K83" s="123">
        <f t="shared" si="317"/>
      </c>
      <c r="L83" s="121">
        <f t="shared" si="379"/>
      </c>
      <c r="M83" s="121">
        <f t="shared" si="7"/>
      </c>
      <c r="N83" s="123">
        <f t="shared" si="69"/>
      </c>
      <c r="O83" s="135"/>
      <c r="P83" s="135">
        <f t="shared" si="101"/>
      </c>
      <c r="Q83" s="125">
        <f t="shared" si="131"/>
      </c>
      <c r="R83" s="125">
        <f t="shared" si="193"/>
      </c>
      <c r="S83" s="123" t="s">
        <v>221</v>
      </c>
    </row>
    <row customHeight="true" ht="23.703703703703702" r="84">
      <c r="A84" s="133">
        <v>45936</v>
      </c>
      <c r="B84" s="119" t="s">
        <v>211</v>
      </c>
      <c r="C84" s="119">
        <v>1</v>
      </c>
      <c r="D84" s="134" cm="1">
        <f t="array" ref="D84:D84">_xlfn.XLOOKUP(B84&amp;S84,'气-价格-毛利'!A:A&amp;'气-价格-毛利'!B:B,'气-价格-毛利'!D:D,0)</f>
      </c>
      <c r="E84" s="121">
        <f t="shared" si="39"/>
      </c>
      <c r="F84" s="120" cm="1">
        <f t="array" ref="F84:F84">_xlfn.XLOOKUP(B84&amp;S84,'气-价格-毛利'!A:A&amp;'气-价格-毛利'!B:B,'气-价格-毛利'!C:C,0)</f>
      </c>
      <c r="G84" s="121">
        <f>C84*10</f>
      </c>
      <c r="H84" s="121"/>
      <c r="I84" s="121">
        <f t="shared" si="225"/>
      </c>
      <c r="J84" s="121">
        <f t="shared" si="256"/>
      </c>
      <c r="K84" s="123">
        <f t="shared" si="317"/>
      </c>
      <c r="L84" s="121">
        <f t="shared" si="379"/>
      </c>
      <c r="M84" s="121">
        <f t="shared" si="7"/>
      </c>
      <c r="N84" s="123">
        <f t="shared" si="69"/>
      </c>
      <c r="O84" s="135"/>
      <c r="P84" s="135">
        <f t="shared" si="101"/>
      </c>
      <c r="Q84" s="125">
        <f t="shared" si="131"/>
      </c>
      <c r="R84" s="125">
        <f t="shared" si="193"/>
      </c>
      <c r="S84" s="123" t="s">
        <v>222</v>
      </c>
    </row>
    <row customHeight="true" ht="23.703703703703702" r="85">
      <c r="A85" s="133">
        <v>45936</v>
      </c>
      <c r="B85" s="119" t="s">
        <v>213</v>
      </c>
      <c r="C85" s="119">
        <v>0</v>
      </c>
      <c r="D85" s="134" cm="1">
        <f t="array" ref="D85:D85">_xlfn.XLOOKUP(B85&amp;S85,'气-价格-毛利'!A:A&amp;'气-价格-毛利'!B:B,'气-价格-毛利'!D:D,0)</f>
      </c>
      <c r="E85" s="121">
        <f t="shared" si="39"/>
      </c>
      <c r="F85" s="120" cm="1">
        <f t="array" ref="F85:F85">_xlfn.XLOOKUP(B85&amp;S85,'气-价格-毛利'!A:A&amp;'气-价格-毛利'!B:B,'气-价格-毛利'!C:C,0)</f>
      </c>
      <c r="G85" s="121">
        <f>C85*8</f>
      </c>
      <c r="H85" s="121"/>
      <c r="I85" s="121">
        <f t="shared" si="225"/>
      </c>
      <c r="J85" s="121">
        <f t="shared" si="256"/>
      </c>
      <c r="K85" s="123">
        <f t="shared" si="317"/>
      </c>
      <c r="L85" s="121">
        <f t="shared" si="379"/>
      </c>
      <c r="M85" s="121">
        <f t="shared" si="7"/>
      </c>
      <c r="N85" s="123">
        <f t="shared" si="69"/>
      </c>
      <c r="O85" s="135"/>
      <c r="P85" s="135">
        <f t="shared" si="101"/>
      </c>
      <c r="Q85" s="125">
        <f t="shared" si="131"/>
      </c>
      <c r="R85" s="125">
        <f t="shared" si="193"/>
      </c>
      <c r="S85" s="123" t="s">
        <v>221</v>
      </c>
    </row>
    <row customHeight="true" ht="23.703703703703702" r="86">
      <c r="A86" s="133">
        <v>45936</v>
      </c>
      <c r="B86" s="119" t="s">
        <v>213</v>
      </c>
      <c r="C86" s="119">
        <v>3</v>
      </c>
      <c r="D86" s="134" cm="1">
        <f t="array" ref="D86:D86">_xlfn.XLOOKUP(B86&amp;S86,'气-价格-毛利'!A:A&amp;'气-价格-毛利'!B:B,'气-价格-毛利'!D:D,0)</f>
      </c>
      <c r="E86" s="121">
        <f t="shared" si="39"/>
      </c>
      <c r="F86" s="120" cm="1">
        <f t="array" ref="F86:F86">_xlfn.XLOOKUP(B86&amp;S86,'气-价格-毛利'!A:A&amp;'气-价格-毛利'!B:B,'气-价格-毛利'!C:C,0)</f>
      </c>
      <c r="G86" s="121">
        <f>C86*10</f>
      </c>
      <c r="H86" s="121"/>
      <c r="I86" s="121">
        <f t="shared" si="225"/>
      </c>
      <c r="J86" s="121">
        <f t="shared" si="256"/>
      </c>
      <c r="K86" s="123">
        <f t="shared" si="317"/>
      </c>
      <c r="L86" s="121">
        <f t="shared" si="379"/>
      </c>
      <c r="M86" s="121">
        <f t="shared" si="7"/>
      </c>
      <c r="N86" s="123">
        <f t="shared" si="69"/>
      </c>
      <c r="O86" s="124"/>
      <c r="P86" s="135">
        <f t="shared" si="101"/>
      </c>
      <c r="Q86" s="125">
        <f t="shared" si="131"/>
      </c>
      <c r="R86" s="125">
        <f t="shared" si="193"/>
      </c>
      <c r="S86" s="123" t="s">
        <v>222</v>
      </c>
    </row>
    <row customHeight="true" ht="23.703703703703702" r="87">
      <c r="A87" s="133">
        <v>45936</v>
      </c>
      <c r="B87" s="119" t="s">
        <v>214</v>
      </c>
      <c r="C87" s="119">
        <v>0</v>
      </c>
      <c r="D87" s="134" cm="1">
        <f t="array" ref="D87:D87">_xlfn.XLOOKUP(B87&amp;S87,'气-价格-毛利'!A:A&amp;'气-价格-毛利'!B:B,'气-价格-毛利'!D:D,0)</f>
      </c>
      <c r="E87" s="121">
        <f t="shared" si="39"/>
      </c>
      <c r="F87" s="120" cm="1">
        <f t="array" ref="F87:F87">_xlfn.XLOOKUP(B87&amp;S87,'气-价格-毛利'!A:A&amp;'气-价格-毛利'!B:B,'气-价格-毛利'!C:C,0)</f>
      </c>
      <c r="G87" s="121">
        <f>C87*8</f>
      </c>
      <c r="H87" s="121"/>
      <c r="I87" s="121">
        <f t="shared" si="225"/>
      </c>
      <c r="J87" s="121">
        <f t="shared" si="256"/>
      </c>
      <c r="K87" s="123">
        <f t="shared" si="317"/>
      </c>
      <c r="L87" s="121">
        <f t="shared" si="379"/>
      </c>
      <c r="M87" s="121">
        <f t="shared" si="7"/>
      </c>
      <c r="N87" s="123">
        <f t="shared" si="69"/>
      </c>
      <c r="O87" s="135"/>
      <c r="P87" s="135">
        <f t="shared" si="101"/>
      </c>
      <c r="Q87" s="125">
        <f t="shared" si="131"/>
      </c>
      <c r="R87" s="125">
        <f t="shared" si="193"/>
      </c>
      <c r="S87" s="123" t="s">
        <v>221</v>
      </c>
    </row>
    <row customHeight="true" ht="23.703703703703702" r="88">
      <c r="A88" s="133">
        <v>45936</v>
      </c>
      <c r="B88" s="119" t="s">
        <v>214</v>
      </c>
      <c r="C88" s="119">
        <v>0</v>
      </c>
      <c r="D88" s="134" cm="1">
        <f t="array" ref="D88:D88">_xlfn.XLOOKUP(B88&amp;S88,'气-价格-毛利'!A:A&amp;'气-价格-毛利'!B:B,'气-价格-毛利'!D:D,0)</f>
      </c>
      <c r="E88" s="121">
        <f t="shared" si="39"/>
      </c>
      <c r="F88" s="120" cm="1">
        <f t="array" ref="F88:F88">_xlfn.XLOOKUP(B88&amp;S88,'气-价格-毛利'!A:A&amp;'气-价格-毛利'!B:B,'气-价格-毛利'!C:C,0)</f>
      </c>
      <c r="G88" s="121">
        <f>C88*10</f>
      </c>
      <c r="H88" s="121"/>
      <c r="I88" s="121">
        <f t="shared" si="225"/>
      </c>
      <c r="J88" s="121">
        <f t="shared" si="256"/>
      </c>
      <c r="K88" s="123">
        <f t="shared" si="317"/>
      </c>
      <c r="L88" s="121">
        <f t="shared" si="379"/>
      </c>
      <c r="M88" s="121">
        <f t="shared" si="7"/>
      </c>
      <c r="N88" s="123">
        <f t="shared" si="69"/>
      </c>
      <c r="O88" s="135"/>
      <c r="P88" s="135">
        <f t="shared" si="101"/>
      </c>
      <c r="Q88" s="125">
        <f t="shared" si="131"/>
      </c>
      <c r="R88" s="125">
        <f t="shared" si="193"/>
      </c>
      <c r="S88" s="123" t="s">
        <v>222</v>
      </c>
    </row>
    <row customHeight="true" ht="23.703703703703702" r="89">
      <c r="A89" s="133">
        <v>45936</v>
      </c>
      <c r="B89" s="119" t="s">
        <v>216</v>
      </c>
      <c r="C89" s="119"/>
      <c r="D89" s="134" cm="1">
        <f t="array" ref="D89:D89">_xlfn.XLOOKUP(B89&amp;S89,'气-价格-毛利'!A:A&amp;'气-价格-毛利'!B:B,'气-价格-毛利'!D:D,0)</f>
      </c>
      <c r="E89" s="121">
        <f t="shared" si="39"/>
      </c>
      <c r="F89" s="120" cm="1">
        <f t="array" ref="F89:F89">_xlfn.XLOOKUP(B89&amp;S89,'气-价格-毛利'!A:A&amp;'气-价格-毛利'!B:B,'气-价格-毛利'!C:C,0)</f>
      </c>
      <c r="G89" s="121">
        <f t="shared" ref="G89:G90" si="163">C89*8</f>
      </c>
      <c r="H89" s="121"/>
      <c r="I89" s="121">
        <f t="shared" si="225"/>
      </c>
      <c r="J89" s="121">
        <f t="shared" si="256"/>
      </c>
      <c r="K89" s="123">
        <f t="shared" si="317"/>
      </c>
      <c r="L89" s="121">
        <f t="shared" ref="L89:L90" si="286">J89*9</f>
      </c>
      <c r="M89" s="121">
        <f t="shared" ref="M89:M90" si="347">E89*9</f>
      </c>
      <c r="N89" s="123">
        <f t="shared" si="69"/>
      </c>
      <c r="O89" s="135"/>
      <c r="P89" s="135">
        <f t="shared" si="101"/>
      </c>
      <c r="Q89" s="125">
        <f t="shared" si="131"/>
      </c>
      <c r="R89" s="125">
        <f t="shared" si="193"/>
      </c>
      <c r="S89" s="125"/>
    </row>
    <row customHeight="true" ht="23.703703703703702" r="90">
      <c r="A90" s="133">
        <v>45936</v>
      </c>
      <c r="B90" s="119" t="s">
        <v>216</v>
      </c>
      <c r="C90" s="119"/>
      <c r="D90" s="134" cm="1">
        <f t="array" ref="D90:D90">_xlfn.XLOOKUP(B90&amp;S90,'气-价格-毛利'!A:A&amp;'气-价格-毛利'!B:B,'气-价格-毛利'!D:D,0)</f>
      </c>
      <c r="E90" s="121">
        <f t="shared" si="39"/>
      </c>
      <c r="F90" s="120" cm="1">
        <f t="array" ref="F90:F90">_xlfn.XLOOKUP(B90&amp;S90,'气-价格-毛利'!A:A&amp;'气-价格-毛利'!B:B,'气-价格-毛利'!C:C,0)</f>
      </c>
      <c r="G90" s="121">
        <f t="shared" si="163"/>
      </c>
      <c r="H90" s="121"/>
      <c r="I90" s="121">
        <f t="shared" si="225"/>
      </c>
      <c r="J90" s="121">
        <f t="shared" si="256"/>
      </c>
      <c r="K90" s="123">
        <f t="shared" si="317"/>
      </c>
      <c r="L90" s="121">
        <f t="shared" si="286"/>
      </c>
      <c r="M90" s="121">
        <f t="shared" si="347"/>
      </c>
      <c r="N90" s="123">
        <f t="shared" si="69"/>
      </c>
      <c r="O90" s="135"/>
      <c r="P90" s="135">
        <f t="shared" si="101"/>
      </c>
      <c r="Q90" s="125">
        <f t="shared" si="131"/>
      </c>
      <c r="R90" s="125">
        <f t="shared" si="193"/>
      </c>
      <c r="S90" s="125"/>
    </row>
    <row customHeight="true" ht="23.703703703703702" r="91">
      <c r="A91" s="133">
        <v>45936</v>
      </c>
      <c r="B91" s="119" t="s">
        <v>217</v>
      </c>
      <c r="C91" s="119"/>
      <c r="D91" s="134" cm="1">
        <f t="array" ref="D91:D91">_xlfn.XLOOKUP(B91&amp;S91,'气-价格-毛利'!A:A&amp;'气-价格-毛利'!B:B,'气-价格-毛利'!D:D,0)</f>
      </c>
      <c r="E91" s="121">
        <f t="shared" si="39"/>
      </c>
      <c r="F91" s="120" cm="1">
        <f t="array" ref="F91:F91">_xlfn.XLOOKUP(B91&amp;S91,'气-价格-毛利'!A:A&amp;'气-价格-毛利'!B:B,'气-价格-毛利'!C:C,0)</f>
      </c>
      <c r="G91" s="121"/>
      <c r="H91" s="121"/>
      <c r="I91" s="121">
        <f t="shared" si="225"/>
      </c>
      <c r="J91" s="121">
        <f>C91*F91-H91-I91</f>
      </c>
      <c r="K91" s="123">
        <f t="shared" si="317"/>
      </c>
      <c r="L91" s="121">
        <f>J91*7</f>
      </c>
      <c r="M91" s="121">
        <f>E91*7</f>
      </c>
      <c r="N91" s="123">
        <f t="shared" si="69"/>
      </c>
      <c r="O91" s="124"/>
      <c r="P91" s="124">
        <f t="shared" si="101"/>
      </c>
      <c r="Q91" s="125">
        <f t="shared" si="131"/>
      </c>
      <c r="R91" s="125"/>
      <c r="S91" s="137"/>
    </row>
    <row customHeight="true" ht="23.703703703703702" r="92">
      <c r="A92" s="133">
        <v>45936</v>
      </c>
      <c r="B92" s="119" t="s">
        <v>191</v>
      </c>
      <c r="C92" s="119">
        <f>SUM(C81:C91)</f>
      </c>
      <c r="D92" s="129"/>
      <c r="E92" s="121">
        <f>SUM(E81:E91)</f>
      </c>
      <c r="F92" s="122">
        <f>SUM(F81:F90)</f>
      </c>
      <c r="G92" s="121"/>
      <c r="H92" s="121"/>
      <c r="I92" s="121"/>
      <c r="J92" s="121">
        <f>SUM(J81:J91)</f>
      </c>
      <c r="K92" s="123">
        <f t="shared" si="317"/>
      </c>
      <c r="L92" s="121">
        <f>SUM(L81:L91)</f>
      </c>
      <c r="M92" s="121">
        <f>SUM(M81:M91)</f>
      </c>
      <c r="N92" s="123"/>
      <c r="O92" s="135">
        <f>SUM(O81:O90)</f>
      </c>
      <c r="P92" s="135">
        <f t="shared" si="101"/>
      </c>
      <c r="Q92" s="125">
        <f t="shared" si="131"/>
      </c>
      <c r="R92" s="125"/>
      <c r="S92" s="129"/>
    </row>
    <row customHeight="true" ht="23.703703703703702" r="93">
      <c r="B93" s="117" t="s">
        <v>218</v>
      </c>
    </row>
    <row customHeight="true" ht="23.703703703703702" r="94">
      <c r="A94" s="111" t="s">
        <v>219</v>
      </c>
      <c r="B94" s="112" t="s">
        <v>192</v>
      </c>
      <c r="C94" s="130" t="s">
        <v>193</v>
      </c>
      <c r="D94" s="112" t="s">
        <v>194</v>
      </c>
      <c r="E94" s="113" t="s">
        <v>195</v>
      </c>
      <c r="F94" s="114" t="s">
        <v>196</v>
      </c>
      <c r="G94" s="113" t="s">
        <v>197</v>
      </c>
      <c r="H94" s="131" t="s">
        <v>198</v>
      </c>
      <c r="I94" s="113" t="s">
        <v>199</v>
      </c>
      <c r="J94" s="113" t="s">
        <v>196</v>
      </c>
      <c r="K94" s="115" t="s">
        <v>200</v>
      </c>
      <c r="L94" s="113" t="s">
        <v>201</v>
      </c>
      <c r="M94" s="113" t="s">
        <v>202</v>
      </c>
      <c r="N94" s="112" t="s">
        <v>203</v>
      </c>
      <c r="O94" s="132" t="s">
        <v>204</v>
      </c>
      <c r="P94" s="116" t="s">
        <v>205</v>
      </c>
      <c r="Q94" s="115" t="s">
        <v>206</v>
      </c>
      <c r="R94" s="115" t="s">
        <v>207</v>
      </c>
      <c r="S94" s="115" t="s">
        <v>220</v>
      </c>
    </row>
    <row customHeight="true" ht="23.703703703703702" r="95">
      <c r="A95" s="133">
        <v>45937</v>
      </c>
      <c r="B95" s="119" t="s">
        <v>210</v>
      </c>
      <c r="C95" s="119">
        <v>0</v>
      </c>
      <c r="D95" s="134" cm="1">
        <f t="array" ref="D95:D95">_xlfn.XLOOKUP(B95&amp;S95,'气-价格-毛利'!A:A&amp;'气-价格-毛利'!B:B,'气-价格-毛利'!D:D,0)</f>
      </c>
      <c r="E95" s="121">
        <f t="shared" ref="E95:E105" si="40">C95*D95</f>
      </c>
      <c r="F95" s="120" cm="1">
        <f t="array" ref="F95:F95">_xlfn.XLOOKUP(B95&amp;S95,'气-价格-毛利'!A:A&amp;'气-价格-毛利'!B:B,'气-价格-毛利'!C:C,0)</f>
      </c>
      <c r="G95" s="121">
        <f>C95*8</f>
      </c>
      <c r="H95" s="121"/>
      <c r="I95" s="121">
        <f t="shared" ref="I95:I105" si="226">E95*0.025</f>
      </c>
      <c r="J95" s="121">
        <f t="shared" ref="J95:J104" si="257">F95*C95+G95-H95-I95</f>
      </c>
      <c r="K95" s="123">
        <f t="shared" ref="K95:K106" si="318">IFERROR(J95/E95,0)</f>
      </c>
      <c r="L95" s="121">
        <f t="shared" ref="L95:L102" si="380">J95*8</f>
      </c>
      <c r="M95" s="121">
        <f t="shared" ref="M95:M102" si="8">E95*8</f>
      </c>
      <c r="N95" s="123">
        <f t="shared" ref="N95:N105" si="70">IFERROR(H95/E95,0)</f>
      </c>
      <c r="O95" s="135"/>
      <c r="P95" s="135">
        <f t="shared" ref="P95:P106" si="102">C95-O95</f>
      </c>
      <c r="Q95" s="125">
        <f t="shared" ref="Q95:Q106" si="132">IFERROR(O95/C95,0)</f>
      </c>
      <c r="R95" s="125">
        <f t="shared" ref="R95:R104" si="194">IFERROR(H95/(E95*Q95),0)</f>
      </c>
      <c r="S95" s="123" t="s">
        <v>221</v>
      </c>
    </row>
    <row customHeight="true" ht="23.703703703703702" r="96">
      <c r="A96" s="133">
        <v>45937</v>
      </c>
      <c r="B96" s="119" t="s">
        <v>210</v>
      </c>
      <c r="C96" s="119">
        <v>1</v>
      </c>
      <c r="D96" s="134" cm="1">
        <f t="array" ref="D96:D96">_xlfn.XLOOKUP(B96&amp;S96,'气-价格-毛利'!A:A&amp;'气-价格-毛利'!B:B,'气-价格-毛利'!D:D,0)</f>
      </c>
      <c r="E96" s="121">
        <f t="shared" si="40"/>
      </c>
      <c r="F96" s="120" cm="1">
        <f t="array" ref="F96:F96">_xlfn.XLOOKUP(B96&amp;S96,'气-价格-毛利'!A:A&amp;'气-价格-毛利'!B:B,'气-价格-毛利'!C:C,0)</f>
      </c>
      <c r="G96" s="121">
        <f>C96*10</f>
      </c>
      <c r="H96" s="121"/>
      <c r="I96" s="121">
        <f t="shared" si="226"/>
      </c>
      <c r="J96" s="121">
        <f t="shared" si="257"/>
      </c>
      <c r="K96" s="123">
        <f t="shared" si="318"/>
      </c>
      <c r="L96" s="121">
        <f t="shared" si="380"/>
      </c>
      <c r="M96" s="121">
        <f t="shared" si="8"/>
      </c>
      <c r="N96" s="123">
        <f t="shared" si="70"/>
      </c>
      <c r="O96" s="124"/>
      <c r="P96" s="135">
        <f t="shared" si="102"/>
      </c>
      <c r="Q96" s="125">
        <f t="shared" si="132"/>
      </c>
      <c r="R96" s="125">
        <f t="shared" si="194"/>
      </c>
      <c r="S96" s="123" t="s">
        <v>222</v>
      </c>
    </row>
    <row customHeight="true" ht="23.703703703703702" r="97">
      <c r="A97" s="133">
        <v>45937</v>
      </c>
      <c r="B97" s="119" t="s">
        <v>211</v>
      </c>
      <c r="C97" s="119">
        <v>0</v>
      </c>
      <c r="D97" s="134" cm="1">
        <f t="array" ref="D97:D97">_xlfn.XLOOKUP(B97&amp;S97,'气-价格-毛利'!A:A&amp;'气-价格-毛利'!B:B,'气-价格-毛利'!D:D,0)</f>
      </c>
      <c r="E97" s="121">
        <f t="shared" si="40"/>
      </c>
      <c r="F97" s="120" cm="1">
        <f t="array" ref="F97:F97">_xlfn.XLOOKUP(B97&amp;S97,'气-价格-毛利'!A:A&amp;'气-价格-毛利'!B:B,'气-价格-毛利'!C:C,0)</f>
      </c>
      <c r="G97" s="121">
        <f>C97*8</f>
      </c>
      <c r="H97" s="121"/>
      <c r="I97" s="121">
        <f t="shared" si="226"/>
      </c>
      <c r="J97" s="121">
        <f t="shared" si="257"/>
      </c>
      <c r="K97" s="123">
        <f t="shared" si="318"/>
      </c>
      <c r="L97" s="121">
        <f t="shared" si="380"/>
      </c>
      <c r="M97" s="121">
        <f t="shared" si="8"/>
      </c>
      <c r="N97" s="123">
        <f t="shared" si="70"/>
      </c>
      <c r="O97" s="135"/>
      <c r="P97" s="135">
        <f t="shared" si="102"/>
      </c>
      <c r="Q97" s="125">
        <f t="shared" si="132"/>
      </c>
      <c r="R97" s="125">
        <f t="shared" si="194"/>
      </c>
      <c r="S97" s="123" t="s">
        <v>221</v>
      </c>
    </row>
    <row customHeight="true" ht="23.703703703703702" r="98">
      <c r="A98" s="133">
        <v>45937</v>
      </c>
      <c r="B98" s="119" t="s">
        <v>211</v>
      </c>
      <c r="C98" s="119">
        <v>0</v>
      </c>
      <c r="D98" s="134" cm="1">
        <f t="array" ref="D98:D98">_xlfn.XLOOKUP(B98&amp;S98,'气-价格-毛利'!A:A&amp;'气-价格-毛利'!B:B,'气-价格-毛利'!D:D,0)</f>
      </c>
      <c r="E98" s="121">
        <f t="shared" si="40"/>
      </c>
      <c r="F98" s="120" cm="1">
        <f t="array" ref="F98:F98">_xlfn.XLOOKUP(B98&amp;S98,'气-价格-毛利'!A:A&amp;'气-价格-毛利'!B:B,'气-价格-毛利'!C:C,0)</f>
      </c>
      <c r="G98" s="121">
        <f>C98*10</f>
      </c>
      <c r="H98" s="121"/>
      <c r="I98" s="121">
        <f t="shared" si="226"/>
      </c>
      <c r="J98" s="121">
        <f t="shared" si="257"/>
      </c>
      <c r="K98" s="123">
        <f t="shared" si="318"/>
      </c>
      <c r="L98" s="121">
        <f t="shared" si="380"/>
      </c>
      <c r="M98" s="121">
        <f t="shared" si="8"/>
      </c>
      <c r="N98" s="123">
        <f t="shared" si="70"/>
      </c>
      <c r="O98" s="135"/>
      <c r="P98" s="135">
        <f t="shared" si="102"/>
      </c>
      <c r="Q98" s="125">
        <f t="shared" si="132"/>
      </c>
      <c r="R98" s="125">
        <f t="shared" si="194"/>
      </c>
      <c r="S98" s="123" t="s">
        <v>222</v>
      </c>
    </row>
    <row customHeight="true" ht="23.703703703703702" r="99">
      <c r="A99" s="133">
        <v>45937</v>
      </c>
      <c r="B99" s="119" t="s">
        <v>213</v>
      </c>
      <c r="C99" s="119">
        <v>0</v>
      </c>
      <c r="D99" s="134" cm="1">
        <f t="array" ref="D99:D99">_xlfn.XLOOKUP(B99&amp;S99,'气-价格-毛利'!A:A&amp;'气-价格-毛利'!B:B,'气-价格-毛利'!D:D,0)</f>
      </c>
      <c r="E99" s="121">
        <f t="shared" si="40"/>
      </c>
      <c r="F99" s="120" cm="1">
        <f t="array" ref="F99:F99">_xlfn.XLOOKUP(B99&amp;S99,'气-价格-毛利'!A:A&amp;'气-价格-毛利'!B:B,'气-价格-毛利'!C:C,0)</f>
      </c>
      <c r="G99" s="121">
        <f>C99*8</f>
      </c>
      <c r="H99" s="121"/>
      <c r="I99" s="121">
        <f t="shared" si="226"/>
      </c>
      <c r="J99" s="121">
        <f t="shared" si="257"/>
      </c>
      <c r="K99" s="123">
        <f t="shared" si="318"/>
      </c>
      <c r="L99" s="121">
        <f t="shared" si="380"/>
      </c>
      <c r="M99" s="121">
        <f t="shared" si="8"/>
      </c>
      <c r="N99" s="123">
        <f t="shared" si="70"/>
      </c>
      <c r="O99" s="135"/>
      <c r="P99" s="135">
        <f t="shared" si="102"/>
      </c>
      <c r="Q99" s="125">
        <f t="shared" si="132"/>
      </c>
      <c r="R99" s="125">
        <f t="shared" si="194"/>
      </c>
      <c r="S99" s="123" t="s">
        <v>221</v>
      </c>
    </row>
    <row customHeight="true" ht="23.703703703703702" r="100">
      <c r="A100" s="133">
        <v>45937</v>
      </c>
      <c r="B100" s="119" t="s">
        <v>213</v>
      </c>
      <c r="C100" s="119">
        <v>0</v>
      </c>
      <c r="D100" s="134" cm="1">
        <f t="array" ref="D100:D100">_xlfn.XLOOKUP(B100&amp;S100,'气-价格-毛利'!A:A&amp;'气-价格-毛利'!B:B,'气-价格-毛利'!D:D,0)</f>
      </c>
      <c r="E100" s="121">
        <f t="shared" si="40"/>
      </c>
      <c r="F100" s="120" cm="1">
        <f t="array" ref="F100:F100">_xlfn.XLOOKUP(B100&amp;S100,'气-价格-毛利'!A:A&amp;'气-价格-毛利'!B:B,'气-价格-毛利'!C:C,0)</f>
      </c>
      <c r="G100" s="121">
        <f>C100*10</f>
      </c>
      <c r="H100" s="121"/>
      <c r="I100" s="121">
        <f t="shared" si="226"/>
      </c>
      <c r="J100" s="121">
        <f t="shared" si="257"/>
      </c>
      <c r="K100" s="123">
        <f t="shared" si="318"/>
      </c>
      <c r="L100" s="121">
        <f t="shared" si="380"/>
      </c>
      <c r="M100" s="121">
        <f t="shared" si="8"/>
      </c>
      <c r="N100" s="123">
        <f t="shared" si="70"/>
      </c>
      <c r="O100" s="124"/>
      <c r="P100" s="135">
        <f t="shared" si="102"/>
      </c>
      <c r="Q100" s="125">
        <f t="shared" si="132"/>
      </c>
      <c r="R100" s="125">
        <f t="shared" si="194"/>
      </c>
      <c r="S100" s="123" t="s">
        <v>223</v>
      </c>
    </row>
    <row customHeight="true" ht="23.703703703703702" r="101">
      <c r="A101" s="133">
        <v>45937</v>
      </c>
      <c r="B101" s="119" t="s">
        <v>214</v>
      </c>
      <c r="C101" s="119">
        <v>0</v>
      </c>
      <c r="D101" s="134" cm="1">
        <f t="array" ref="D101:D101">_xlfn.XLOOKUP(B101&amp;S101,'气-价格-毛利'!A:A&amp;'气-价格-毛利'!B:B,'气-价格-毛利'!D:D,0)</f>
      </c>
      <c r="E101" s="121">
        <f t="shared" si="40"/>
      </c>
      <c r="F101" s="120" cm="1">
        <f t="array" ref="F101:F101">_xlfn.XLOOKUP(B101&amp;S101,'气-价格-毛利'!A:A&amp;'气-价格-毛利'!B:B,'气-价格-毛利'!C:C,0)</f>
      </c>
      <c r="G101" s="121">
        <f>C101*8</f>
      </c>
      <c r="H101" s="121"/>
      <c r="I101" s="121">
        <f t="shared" si="226"/>
      </c>
      <c r="J101" s="121">
        <f t="shared" si="257"/>
      </c>
      <c r="K101" s="123">
        <f t="shared" si="318"/>
      </c>
      <c r="L101" s="121">
        <f t="shared" si="380"/>
      </c>
      <c r="M101" s="121">
        <f t="shared" si="8"/>
      </c>
      <c r="N101" s="123">
        <f t="shared" si="70"/>
      </c>
      <c r="O101" s="135"/>
      <c r="P101" s="135">
        <f t="shared" si="102"/>
      </c>
      <c r="Q101" s="125">
        <f t="shared" si="132"/>
      </c>
      <c r="R101" s="125">
        <f t="shared" si="194"/>
      </c>
      <c r="S101" s="123" t="s">
        <v>221</v>
      </c>
    </row>
    <row customHeight="true" ht="23.703703703703702" r="102">
      <c r="A102" s="133">
        <v>45937</v>
      </c>
      <c r="B102" s="119" t="s">
        <v>214</v>
      </c>
      <c r="C102" s="119">
        <v>0</v>
      </c>
      <c r="D102" s="134" cm="1">
        <f t="array" ref="D102:D102">_xlfn.XLOOKUP(B102&amp;S102,'气-价格-毛利'!A:A&amp;'气-价格-毛利'!B:B,'气-价格-毛利'!D:D,0)</f>
      </c>
      <c r="E102" s="121">
        <f t="shared" si="40"/>
      </c>
      <c r="F102" s="120" cm="1">
        <f t="array" ref="F102:F102">_xlfn.XLOOKUP(B102&amp;S102,'气-价格-毛利'!A:A&amp;'气-价格-毛利'!B:B,'气-价格-毛利'!C:C,0)</f>
      </c>
      <c r="G102" s="121">
        <f>C102*10</f>
      </c>
      <c r="H102" s="121"/>
      <c r="I102" s="121">
        <f t="shared" si="226"/>
      </c>
      <c r="J102" s="121">
        <f t="shared" si="257"/>
      </c>
      <c r="K102" s="123">
        <f t="shared" si="318"/>
      </c>
      <c r="L102" s="121">
        <f t="shared" si="380"/>
      </c>
      <c r="M102" s="121">
        <f t="shared" si="8"/>
      </c>
      <c r="N102" s="123">
        <f t="shared" si="70"/>
      </c>
      <c r="O102" s="135"/>
      <c r="P102" s="135">
        <f t="shared" si="102"/>
      </c>
      <c r="Q102" s="125">
        <f t="shared" si="132"/>
      </c>
      <c r="R102" s="125">
        <f t="shared" si="194"/>
      </c>
      <c r="S102" s="123" t="s">
        <v>223</v>
      </c>
    </row>
    <row customHeight="true" ht="23.703703703703702" r="103">
      <c r="A103" s="133">
        <v>45937</v>
      </c>
      <c r="B103" s="119" t="s">
        <v>216</v>
      </c>
      <c r="C103" s="119"/>
      <c r="D103" s="134" cm="1">
        <f t="array" ref="D103:D103">_xlfn.XLOOKUP(B103&amp;S103,'气-价格-毛利'!A:A&amp;'气-价格-毛利'!B:B,'气-价格-毛利'!D:D,0)</f>
      </c>
      <c r="E103" s="121">
        <f t="shared" si="40"/>
      </c>
      <c r="F103" s="120" cm="1">
        <f t="array" ref="F103:F103">_xlfn.XLOOKUP(B103&amp;S103,'气-价格-毛利'!A:A&amp;'气-价格-毛利'!B:B,'气-价格-毛利'!C:C,0)</f>
      </c>
      <c r="G103" s="121">
        <f t="shared" ref="G103:G104" si="164">C103*8</f>
      </c>
      <c r="H103" s="121"/>
      <c r="I103" s="121">
        <f t="shared" si="226"/>
      </c>
      <c r="J103" s="121">
        <f t="shared" si="257"/>
      </c>
      <c r="K103" s="123">
        <f t="shared" si="318"/>
      </c>
      <c r="L103" s="121">
        <f t="shared" ref="L103:L104" si="287">J103*9</f>
      </c>
      <c r="M103" s="121">
        <f t="shared" ref="M103:M104" si="348">E103*9</f>
      </c>
      <c r="N103" s="123">
        <f t="shared" si="70"/>
      </c>
      <c r="O103" s="135"/>
      <c r="P103" s="135">
        <f t="shared" si="102"/>
      </c>
      <c r="Q103" s="125">
        <f t="shared" si="132"/>
      </c>
      <c r="R103" s="125">
        <f t="shared" si="194"/>
      </c>
      <c r="S103" s="125"/>
    </row>
    <row customHeight="true" ht="23.703703703703702" r="104">
      <c r="A104" s="133">
        <v>45937</v>
      </c>
      <c r="B104" s="119" t="s">
        <v>216</v>
      </c>
      <c r="C104" s="119"/>
      <c r="D104" s="134" cm="1">
        <f t="array" ref="D104:D104">_xlfn.XLOOKUP(B104&amp;S104,'气-价格-毛利'!A:A&amp;'气-价格-毛利'!B:B,'气-价格-毛利'!D:D,0)</f>
      </c>
      <c r="E104" s="121">
        <f t="shared" si="40"/>
      </c>
      <c r="F104" s="120" cm="1">
        <f t="array" ref="F104:F104">_xlfn.XLOOKUP(B104&amp;S104,'气-价格-毛利'!A:A&amp;'气-价格-毛利'!B:B,'气-价格-毛利'!C:C,0)</f>
      </c>
      <c r="G104" s="121">
        <f t="shared" si="164"/>
      </c>
      <c r="H104" s="121"/>
      <c r="I104" s="121">
        <f t="shared" si="226"/>
      </c>
      <c r="J104" s="121">
        <f t="shared" si="257"/>
      </c>
      <c r="K104" s="123">
        <f t="shared" si="318"/>
      </c>
      <c r="L104" s="121">
        <f t="shared" si="287"/>
      </c>
      <c r="M104" s="121">
        <f t="shared" si="348"/>
      </c>
      <c r="N104" s="123">
        <f t="shared" si="70"/>
      </c>
      <c r="O104" s="135"/>
      <c r="P104" s="135">
        <f t="shared" si="102"/>
      </c>
      <c r="Q104" s="125">
        <f t="shared" si="132"/>
      </c>
      <c r="R104" s="125">
        <f t="shared" si="194"/>
      </c>
      <c r="S104" s="125"/>
    </row>
    <row customHeight="true" ht="23.703703703703702" r="105">
      <c r="A105" s="133">
        <v>45937</v>
      </c>
      <c r="B105" s="119" t="s">
        <v>217</v>
      </c>
      <c r="C105" s="119"/>
      <c r="D105" s="134" cm="1">
        <f t="array" ref="D105:D105">_xlfn.XLOOKUP(B105&amp;S105,'气-价格-毛利'!A:A&amp;'气-价格-毛利'!B:B,'气-价格-毛利'!D:D,0)</f>
      </c>
      <c r="E105" s="121">
        <f t="shared" si="40"/>
      </c>
      <c r="F105" s="120" cm="1">
        <f t="array" ref="F105:F105">_xlfn.XLOOKUP(B105&amp;S105,'气-价格-毛利'!A:A&amp;'气-价格-毛利'!B:B,'气-价格-毛利'!C:C,0)</f>
      </c>
      <c r="G105" s="121"/>
      <c r="H105" s="121"/>
      <c r="I105" s="121">
        <f t="shared" si="226"/>
      </c>
      <c r="J105" s="121">
        <f>C105*F105-H105-I105</f>
      </c>
      <c r="K105" s="123">
        <f t="shared" si="318"/>
      </c>
      <c r="L105" s="121">
        <f>J105*7</f>
      </c>
      <c r="M105" s="121">
        <f>E105*7</f>
      </c>
      <c r="N105" s="123">
        <f t="shared" si="70"/>
      </c>
      <c r="O105" s="124"/>
      <c r="P105" s="124">
        <f t="shared" si="102"/>
      </c>
      <c r="Q105" s="125">
        <f t="shared" si="132"/>
      </c>
      <c r="R105" s="125"/>
      <c r="S105" s="137"/>
    </row>
    <row customHeight="true" ht="23.703703703703702" r="106">
      <c r="A106" s="133">
        <v>45937</v>
      </c>
      <c r="B106" s="119" t="s">
        <v>191</v>
      </c>
      <c r="C106" s="119">
        <f>SUM(C95:C105)</f>
      </c>
      <c r="D106" s="129"/>
      <c r="E106" s="121">
        <f>SUM(E95:E105)</f>
      </c>
      <c r="F106" s="122">
        <f>SUM(F95:F104)</f>
      </c>
      <c r="G106" s="121"/>
      <c r="H106" s="121"/>
      <c r="I106" s="121"/>
      <c r="J106" s="121">
        <f>SUM(J95:J105)</f>
      </c>
      <c r="K106" s="123">
        <f t="shared" si="318"/>
      </c>
      <c r="L106" s="121">
        <f>SUM(L95:L105)</f>
      </c>
      <c r="M106" s="121">
        <f>SUM(M95:M105)</f>
      </c>
      <c r="N106" s="123"/>
      <c r="O106" s="135">
        <f>SUM(O95:O104)</f>
      </c>
      <c r="P106" s="135">
        <f t="shared" si="102"/>
      </c>
      <c r="Q106" s="125">
        <f t="shared" si="132"/>
      </c>
      <c r="R106" s="125"/>
      <c r="S106" s="129"/>
    </row>
    <row customHeight="true" ht="23.703703703703702" r="107">
      <c r="B107" s="117" t="s">
        <v>218</v>
      </c>
    </row>
    <row customHeight="true" ht="23.703703703703702" r="108">
      <c r="A108" s="111" t="s">
        <v>219</v>
      </c>
      <c r="B108" s="112" t="s">
        <v>192</v>
      </c>
      <c r="C108" s="130" t="s">
        <v>193</v>
      </c>
      <c r="D108" s="112" t="s">
        <v>194</v>
      </c>
      <c r="E108" s="113" t="s">
        <v>195</v>
      </c>
      <c r="F108" s="114" t="s">
        <v>196</v>
      </c>
      <c r="G108" s="113" t="s">
        <v>197</v>
      </c>
      <c r="H108" s="131" t="s">
        <v>198</v>
      </c>
      <c r="I108" s="113" t="s">
        <v>199</v>
      </c>
      <c r="J108" s="113" t="s">
        <v>196</v>
      </c>
      <c r="K108" s="115" t="s">
        <v>200</v>
      </c>
      <c r="L108" s="113" t="s">
        <v>201</v>
      </c>
      <c r="M108" s="113" t="s">
        <v>202</v>
      </c>
      <c r="N108" s="112" t="s">
        <v>203</v>
      </c>
      <c r="O108" s="132" t="s">
        <v>204</v>
      </c>
      <c r="P108" s="116" t="s">
        <v>205</v>
      </c>
      <c r="Q108" s="115" t="s">
        <v>206</v>
      </c>
      <c r="R108" s="115" t="s">
        <v>207</v>
      </c>
      <c r="S108" s="115" t="s">
        <v>220</v>
      </c>
    </row>
    <row customHeight="true" ht="23.703703703703702" r="109">
      <c r="A109" s="133">
        <v>45938</v>
      </c>
      <c r="B109" s="119" t="s">
        <v>210</v>
      </c>
      <c r="C109" s="119">
        <v>0</v>
      </c>
      <c r="D109" s="134" cm="1">
        <f t="array" ref="D109:D109">_xlfn.XLOOKUP(B109&amp;S109,'气-价格-毛利'!A:A&amp;'气-价格-毛利'!B:B,'气-价格-毛利'!D:D,0)</f>
      </c>
      <c r="E109" s="121">
        <f t="shared" ref="E109:E119" si="41">C109*D109</f>
      </c>
      <c r="F109" s="120" cm="1">
        <f t="array" ref="F109:F109">_xlfn.XLOOKUP(B109&amp;S109,'气-价格-毛利'!A:A&amp;'气-价格-毛利'!B:B,'气-价格-毛利'!C:C,0)</f>
      </c>
      <c r="G109" s="121">
        <f>C109*8</f>
      </c>
      <c r="H109" s="121"/>
      <c r="I109" s="121">
        <f t="shared" ref="I109:I119" si="227">E109*0.025</f>
      </c>
      <c r="J109" s="121">
        <f t="shared" ref="J109:J118" si="258">F109*C109+G109-H109-I109</f>
      </c>
      <c r="K109" s="123">
        <f t="shared" ref="K109:K120" si="319">IFERROR(J109/E109,0)</f>
      </c>
      <c r="L109" s="121">
        <f t="shared" ref="L109:L116" si="381">J109*8</f>
      </c>
      <c r="M109" s="121">
        <f t="shared" ref="M109:M116" si="9">E109*8</f>
      </c>
      <c r="N109" s="123">
        <f t="shared" ref="N109:N119" si="71">IFERROR(H109/E109,0)</f>
      </c>
      <c r="O109" s="135"/>
      <c r="P109" s="135">
        <f t="shared" ref="P109:P120" si="103">C109-O109</f>
      </c>
      <c r="Q109" s="125">
        <f t="shared" ref="Q109:Q120" si="133">IFERROR(O109/C109,0)</f>
      </c>
      <c r="R109" s="125">
        <f t="shared" ref="R109:R118" si="195">IFERROR(H109/(E109*Q109),0)</f>
      </c>
      <c r="S109" s="123" t="s">
        <v>221</v>
      </c>
    </row>
    <row customHeight="true" ht="23.703703703703702" r="110">
      <c r="A110" s="133">
        <v>45938</v>
      </c>
      <c r="B110" s="119" t="s">
        <v>210</v>
      </c>
      <c r="C110" s="119">
        <v>4</v>
      </c>
      <c r="D110" s="134" cm="1">
        <f t="array" ref="D110:D110">_xlfn.XLOOKUP(B110&amp;S110,'气-价格-毛利'!A:A&amp;'气-价格-毛利'!B:B,'气-价格-毛利'!D:D,0)</f>
      </c>
      <c r="E110" s="121">
        <f t="shared" si="41"/>
      </c>
      <c r="F110" s="120" cm="1">
        <f t="array" ref="F110:F110">_xlfn.XLOOKUP(B110&amp;S110,'气-价格-毛利'!A:A&amp;'气-价格-毛利'!B:B,'气-价格-毛利'!C:C,0)</f>
      </c>
      <c r="G110" s="121">
        <f>C110*10</f>
      </c>
      <c r="H110" s="121"/>
      <c r="I110" s="121">
        <f t="shared" si="227"/>
      </c>
      <c r="J110" s="121">
        <f t="shared" si="258"/>
      </c>
      <c r="K110" s="123">
        <f t="shared" si="319"/>
      </c>
      <c r="L110" s="121">
        <f t="shared" si="381"/>
      </c>
      <c r="M110" s="121">
        <f t="shared" si="9"/>
      </c>
      <c r="N110" s="123">
        <f t="shared" si="71"/>
      </c>
      <c r="O110" s="124"/>
      <c r="P110" s="135">
        <f t="shared" si="103"/>
      </c>
      <c r="Q110" s="125">
        <f t="shared" si="133"/>
      </c>
      <c r="R110" s="125">
        <f t="shared" si="195"/>
      </c>
      <c r="S110" s="123" t="s">
        <v>222</v>
      </c>
    </row>
    <row customHeight="true" ht="23.703703703703702" r="111">
      <c r="A111" s="133">
        <v>45938</v>
      </c>
      <c r="B111" s="119" t="s">
        <v>211</v>
      </c>
      <c r="C111" s="119">
        <v>0</v>
      </c>
      <c r="D111" s="134" cm="1">
        <f t="array" ref="D111:D111">_xlfn.XLOOKUP(B111&amp;S111,'气-价格-毛利'!A:A&amp;'气-价格-毛利'!B:B,'气-价格-毛利'!D:D,0)</f>
      </c>
      <c r="E111" s="121">
        <f t="shared" si="41"/>
      </c>
      <c r="F111" s="120" cm="1">
        <f t="array" ref="F111:F111">_xlfn.XLOOKUP(B111&amp;S111,'气-价格-毛利'!A:A&amp;'气-价格-毛利'!B:B,'气-价格-毛利'!C:C,0)</f>
      </c>
      <c r="G111" s="121">
        <f>C111*8</f>
      </c>
      <c r="H111" s="121"/>
      <c r="I111" s="121">
        <f t="shared" si="227"/>
      </c>
      <c r="J111" s="121">
        <f t="shared" si="258"/>
      </c>
      <c r="K111" s="123">
        <f t="shared" si="319"/>
      </c>
      <c r="L111" s="121">
        <f t="shared" si="381"/>
      </c>
      <c r="M111" s="121">
        <f t="shared" si="9"/>
      </c>
      <c r="N111" s="123">
        <f t="shared" si="71"/>
      </c>
      <c r="O111" s="135"/>
      <c r="P111" s="135">
        <f t="shared" si="103"/>
      </c>
      <c r="Q111" s="125">
        <f t="shared" si="133"/>
      </c>
      <c r="R111" s="125">
        <f t="shared" si="195"/>
      </c>
      <c r="S111" s="123" t="s">
        <v>221</v>
      </c>
    </row>
    <row customHeight="true" ht="23.703703703703702" r="112">
      <c r="A112" s="133">
        <v>45938</v>
      </c>
      <c r="B112" s="119" t="s">
        <v>211</v>
      </c>
      <c r="C112" s="119">
        <v>0</v>
      </c>
      <c r="D112" s="134" cm="1">
        <f t="array" ref="D112:D112">_xlfn.XLOOKUP(B112&amp;S112,'气-价格-毛利'!A:A&amp;'气-价格-毛利'!B:B,'气-价格-毛利'!D:D,0)</f>
      </c>
      <c r="E112" s="121">
        <f t="shared" si="41"/>
      </c>
      <c r="F112" s="120" cm="1">
        <f t="array" ref="F112:F112">_xlfn.XLOOKUP(B112&amp;S112,'气-价格-毛利'!A:A&amp;'气-价格-毛利'!B:B,'气-价格-毛利'!C:C,0)</f>
      </c>
      <c r="G112" s="121">
        <f>C112*10</f>
      </c>
      <c r="H112" s="121"/>
      <c r="I112" s="121">
        <f t="shared" si="227"/>
      </c>
      <c r="J112" s="121">
        <f t="shared" si="258"/>
      </c>
      <c r="K112" s="123">
        <f t="shared" si="319"/>
      </c>
      <c r="L112" s="121">
        <f t="shared" si="381"/>
      </c>
      <c r="M112" s="121">
        <f t="shared" si="9"/>
      </c>
      <c r="N112" s="123">
        <f t="shared" si="71"/>
      </c>
      <c r="O112" s="135"/>
      <c r="P112" s="135">
        <f t="shared" si="103"/>
      </c>
      <c r="Q112" s="125">
        <f t="shared" si="133"/>
      </c>
      <c r="R112" s="125">
        <f t="shared" si="195"/>
      </c>
      <c r="S112" s="123" t="s">
        <v>222</v>
      </c>
    </row>
    <row customHeight="true" ht="23.703703703703702" r="113">
      <c r="A113" s="133">
        <v>45938</v>
      </c>
      <c r="B113" s="119" t="s">
        <v>213</v>
      </c>
      <c r="C113" s="119">
        <v>0</v>
      </c>
      <c r="D113" s="134" cm="1">
        <f t="array" ref="D113:D113">_xlfn.XLOOKUP(B113&amp;S113,'气-价格-毛利'!A:A&amp;'气-价格-毛利'!B:B,'气-价格-毛利'!D:D,0)</f>
      </c>
      <c r="E113" s="121">
        <f t="shared" si="41"/>
      </c>
      <c r="F113" s="120" cm="1">
        <f t="array" ref="F113:F113">_xlfn.XLOOKUP(B113&amp;S113,'气-价格-毛利'!A:A&amp;'气-价格-毛利'!B:B,'气-价格-毛利'!C:C,0)</f>
      </c>
      <c r="G113" s="121">
        <f>C113*8</f>
      </c>
      <c r="H113" s="121"/>
      <c r="I113" s="121">
        <f t="shared" si="227"/>
      </c>
      <c r="J113" s="121">
        <f t="shared" si="258"/>
      </c>
      <c r="K113" s="123">
        <f t="shared" si="319"/>
      </c>
      <c r="L113" s="121">
        <f t="shared" si="381"/>
      </c>
      <c r="M113" s="121">
        <f t="shared" si="9"/>
      </c>
      <c r="N113" s="123">
        <f t="shared" si="71"/>
      </c>
      <c r="O113" s="135"/>
      <c r="P113" s="135">
        <f t="shared" si="103"/>
      </c>
      <c r="Q113" s="125">
        <f t="shared" si="133"/>
      </c>
      <c r="R113" s="125">
        <f t="shared" si="195"/>
      </c>
      <c r="S113" s="123" t="s">
        <v>221</v>
      </c>
    </row>
    <row customHeight="true" ht="23.703703703703702" r="114">
      <c r="A114" s="133">
        <v>45938</v>
      </c>
      <c r="B114" s="119" t="s">
        <v>213</v>
      </c>
      <c r="C114" s="119">
        <v>2</v>
      </c>
      <c r="D114" s="134" cm="1">
        <f t="array" ref="D114:D114">_xlfn.XLOOKUP(B114&amp;S114,'气-价格-毛利'!A:A&amp;'气-价格-毛利'!B:B,'气-价格-毛利'!D:D,0)</f>
      </c>
      <c r="E114" s="121">
        <f t="shared" si="41"/>
      </c>
      <c r="F114" s="120" cm="1">
        <f t="array" ref="F114:F114">_xlfn.XLOOKUP(B114&amp;S114,'气-价格-毛利'!A:A&amp;'气-价格-毛利'!B:B,'气-价格-毛利'!C:C,0)</f>
      </c>
      <c r="G114" s="121">
        <f>C114*10</f>
      </c>
      <c r="H114" s="121"/>
      <c r="I114" s="121">
        <f t="shared" si="227"/>
      </c>
      <c r="J114" s="121">
        <f t="shared" si="258"/>
      </c>
      <c r="K114" s="123">
        <f t="shared" si="319"/>
      </c>
      <c r="L114" s="121">
        <f t="shared" si="381"/>
      </c>
      <c r="M114" s="121">
        <f t="shared" si="9"/>
      </c>
      <c r="N114" s="123">
        <f t="shared" si="71"/>
      </c>
      <c r="O114" s="124"/>
      <c r="P114" s="135">
        <f t="shared" si="103"/>
      </c>
      <c r="Q114" s="125">
        <f t="shared" si="133"/>
      </c>
      <c r="R114" s="125">
        <f t="shared" si="195"/>
      </c>
      <c r="S114" s="123" t="s">
        <v>223</v>
      </c>
    </row>
    <row customHeight="true" ht="23.703703703703702" r="115">
      <c r="A115" s="133">
        <v>45938</v>
      </c>
      <c r="B115" s="119" t="s">
        <v>214</v>
      </c>
      <c r="C115" s="119">
        <v>0</v>
      </c>
      <c r="D115" s="134" cm="1">
        <f t="array" ref="D115:D115">_xlfn.XLOOKUP(B115&amp;S115,'气-价格-毛利'!A:A&amp;'气-价格-毛利'!B:B,'气-价格-毛利'!D:D,0)</f>
      </c>
      <c r="E115" s="121">
        <f t="shared" si="41"/>
      </c>
      <c r="F115" s="120" cm="1">
        <f t="array" ref="F115:F115">_xlfn.XLOOKUP(B115&amp;S115,'气-价格-毛利'!A:A&amp;'气-价格-毛利'!B:B,'气-价格-毛利'!C:C,0)</f>
      </c>
      <c r="G115" s="121">
        <f>C115*8</f>
      </c>
      <c r="H115" s="121"/>
      <c r="I115" s="121">
        <f t="shared" si="227"/>
      </c>
      <c r="J115" s="121">
        <f t="shared" si="258"/>
      </c>
      <c r="K115" s="123">
        <f t="shared" si="319"/>
      </c>
      <c r="L115" s="121">
        <f t="shared" si="381"/>
      </c>
      <c r="M115" s="121">
        <f t="shared" si="9"/>
      </c>
      <c r="N115" s="123">
        <f t="shared" si="71"/>
      </c>
      <c r="O115" s="135"/>
      <c r="P115" s="135">
        <f t="shared" si="103"/>
      </c>
      <c r="Q115" s="125">
        <f t="shared" si="133"/>
      </c>
      <c r="R115" s="125">
        <f t="shared" si="195"/>
      </c>
      <c r="S115" s="123" t="s">
        <v>221</v>
      </c>
    </row>
    <row customHeight="true" ht="23.703703703703702" r="116">
      <c r="A116" s="133">
        <v>45938</v>
      </c>
      <c r="B116" s="119" t="s">
        <v>214</v>
      </c>
      <c r="C116" s="119">
        <v>0</v>
      </c>
      <c r="D116" s="134" cm="1">
        <f t="array" ref="D116:D116">_xlfn.XLOOKUP(B116&amp;S116,'气-价格-毛利'!A:A&amp;'气-价格-毛利'!B:B,'气-价格-毛利'!D:D,0)</f>
      </c>
      <c r="E116" s="121">
        <f t="shared" si="41"/>
      </c>
      <c r="F116" s="120" cm="1">
        <f t="array" ref="F116:F116">_xlfn.XLOOKUP(B116&amp;S116,'气-价格-毛利'!A:A&amp;'气-价格-毛利'!B:B,'气-价格-毛利'!C:C,0)</f>
      </c>
      <c r="G116" s="121">
        <f>C116*10</f>
      </c>
      <c r="H116" s="121"/>
      <c r="I116" s="121">
        <f t="shared" si="227"/>
      </c>
      <c r="J116" s="121">
        <f t="shared" si="258"/>
      </c>
      <c r="K116" s="123">
        <f t="shared" si="319"/>
      </c>
      <c r="L116" s="121">
        <f t="shared" si="381"/>
      </c>
      <c r="M116" s="121">
        <f t="shared" si="9"/>
      </c>
      <c r="N116" s="123">
        <f t="shared" si="71"/>
      </c>
      <c r="O116" s="135"/>
      <c r="P116" s="135">
        <f t="shared" si="103"/>
      </c>
      <c r="Q116" s="125">
        <f t="shared" si="133"/>
      </c>
      <c r="R116" s="125">
        <f t="shared" si="195"/>
      </c>
      <c r="S116" s="123" t="s">
        <v>223</v>
      </c>
    </row>
    <row customHeight="true" ht="23.703703703703702" r="117">
      <c r="A117" s="133">
        <v>45938</v>
      </c>
      <c r="B117" s="119" t="s">
        <v>216</v>
      </c>
      <c r="C117" s="119"/>
      <c r="D117" s="134" cm="1">
        <f t="array" ref="D117:D117">_xlfn.XLOOKUP(B117&amp;S117,'气-价格-毛利'!A:A&amp;'气-价格-毛利'!B:B,'气-价格-毛利'!D:D,0)</f>
      </c>
      <c r="E117" s="121">
        <f t="shared" si="41"/>
      </c>
      <c r="F117" s="120" cm="1">
        <f t="array" ref="F117:F117">_xlfn.XLOOKUP(B117&amp;S117,'气-价格-毛利'!A:A&amp;'气-价格-毛利'!B:B,'气-价格-毛利'!C:C,0)</f>
      </c>
      <c r="G117" s="121">
        <f t="shared" ref="G117:G118" si="165">C117*8</f>
      </c>
      <c r="H117" s="121"/>
      <c r="I117" s="121">
        <f t="shared" si="227"/>
      </c>
      <c r="J117" s="121">
        <f t="shared" si="258"/>
      </c>
      <c r="K117" s="123">
        <f t="shared" si="319"/>
      </c>
      <c r="L117" s="121">
        <f t="shared" ref="L117:L118" si="288">J117*9</f>
      </c>
      <c r="M117" s="121">
        <f t="shared" ref="M117:M118" si="349">E117*9</f>
      </c>
      <c r="N117" s="123">
        <f t="shared" si="71"/>
      </c>
      <c r="O117" s="135"/>
      <c r="P117" s="135">
        <f t="shared" si="103"/>
      </c>
      <c r="Q117" s="125">
        <f t="shared" si="133"/>
      </c>
      <c r="R117" s="125">
        <f t="shared" si="195"/>
      </c>
      <c r="S117" s="125"/>
    </row>
    <row customHeight="true" ht="23.703703703703702" r="118">
      <c r="A118" s="133">
        <v>45938</v>
      </c>
      <c r="B118" s="119" t="s">
        <v>216</v>
      </c>
      <c r="C118" s="119"/>
      <c r="D118" s="134" cm="1">
        <f t="array" ref="D118:D118">_xlfn.XLOOKUP(B118&amp;S118,'气-价格-毛利'!A:A&amp;'气-价格-毛利'!B:B,'气-价格-毛利'!D:D,0)</f>
      </c>
      <c r="E118" s="121">
        <f t="shared" si="41"/>
      </c>
      <c r="F118" s="120" cm="1">
        <f t="array" ref="F118:F118">_xlfn.XLOOKUP(B118&amp;S118,'气-价格-毛利'!A:A&amp;'气-价格-毛利'!B:B,'气-价格-毛利'!C:C,0)</f>
      </c>
      <c r="G118" s="121">
        <f t="shared" si="165"/>
      </c>
      <c r="H118" s="121"/>
      <c r="I118" s="121">
        <f t="shared" si="227"/>
      </c>
      <c r="J118" s="121">
        <f t="shared" si="258"/>
      </c>
      <c r="K118" s="123">
        <f t="shared" si="319"/>
      </c>
      <c r="L118" s="121">
        <f t="shared" si="288"/>
      </c>
      <c r="M118" s="121">
        <f t="shared" si="349"/>
      </c>
      <c r="N118" s="123">
        <f t="shared" si="71"/>
      </c>
      <c r="O118" s="135"/>
      <c r="P118" s="135">
        <f t="shared" si="103"/>
      </c>
      <c r="Q118" s="125">
        <f t="shared" si="133"/>
      </c>
      <c r="R118" s="125">
        <f t="shared" si="195"/>
      </c>
      <c r="S118" s="125"/>
    </row>
    <row customHeight="true" ht="23.703703703703702" r="119">
      <c r="A119" s="133">
        <v>45938</v>
      </c>
      <c r="B119" s="119" t="s">
        <v>217</v>
      </c>
      <c r="C119" s="119"/>
      <c r="D119" s="134" cm="1">
        <f t="array" ref="D119:D119">_xlfn.XLOOKUP(B119&amp;S119,'气-价格-毛利'!A:A&amp;'气-价格-毛利'!B:B,'气-价格-毛利'!D:D,0)</f>
      </c>
      <c r="E119" s="121">
        <f t="shared" si="41"/>
      </c>
      <c r="F119" s="120" cm="1">
        <f t="array" ref="F119:F119">_xlfn.XLOOKUP(B119&amp;S119,'气-价格-毛利'!A:A&amp;'气-价格-毛利'!B:B,'气-价格-毛利'!C:C,0)</f>
      </c>
      <c r="G119" s="121"/>
      <c r="H119" s="121"/>
      <c r="I119" s="121">
        <f t="shared" si="227"/>
      </c>
      <c r="J119" s="121">
        <f>C119*F119-H119-I119</f>
      </c>
      <c r="K119" s="123">
        <f t="shared" si="319"/>
      </c>
      <c r="L119" s="121">
        <f>J119*7</f>
      </c>
      <c r="M119" s="121">
        <f>E119*7</f>
      </c>
      <c r="N119" s="123">
        <f t="shared" si="71"/>
      </c>
      <c r="O119" s="124"/>
      <c r="P119" s="124">
        <f t="shared" si="103"/>
      </c>
      <c r="Q119" s="125">
        <f t="shared" si="133"/>
      </c>
      <c r="R119" s="125"/>
      <c r="S119" s="137"/>
    </row>
    <row customHeight="true" ht="23.703703703703702" r="120">
      <c r="A120" s="133">
        <v>45938</v>
      </c>
      <c r="B120" s="119" t="s">
        <v>191</v>
      </c>
      <c r="C120" s="119">
        <f>SUM(C109:C119)</f>
      </c>
      <c r="D120" s="129"/>
      <c r="E120" s="121">
        <f>SUM(E109:E119)</f>
      </c>
      <c r="F120" s="122">
        <f>SUM(F109:F118)</f>
      </c>
      <c r="G120" s="121"/>
      <c r="H120" s="121"/>
      <c r="I120" s="121"/>
      <c r="J120" s="121">
        <f>SUM(J109:J119)</f>
      </c>
      <c r="K120" s="123">
        <f t="shared" si="319"/>
      </c>
      <c r="L120" s="121">
        <f>SUM(L109:L119)</f>
      </c>
      <c r="M120" s="121">
        <f>SUM(M109:M119)</f>
      </c>
      <c r="N120" s="123"/>
      <c r="O120" s="135">
        <f>SUM(O109:O118)</f>
      </c>
      <c r="P120" s="135">
        <f t="shared" si="103"/>
      </c>
      <c r="Q120" s="125">
        <f t="shared" si="133"/>
      </c>
      <c r="R120" s="125"/>
      <c r="S120" s="129"/>
    </row>
    <row customHeight="true" ht="23.703703703703702" r="121">
      <c r="B121" s="117" t="s">
        <v>218</v>
      </c>
    </row>
    <row customHeight="true" ht="23.703703703703702" r="122">
      <c r="A122" s="111" t="s">
        <v>219</v>
      </c>
      <c r="B122" s="112" t="s">
        <v>192</v>
      </c>
      <c r="C122" s="130" t="s">
        <v>193</v>
      </c>
      <c r="D122" s="112" t="s">
        <v>194</v>
      </c>
      <c r="E122" s="113" t="s">
        <v>195</v>
      </c>
      <c r="F122" s="114" t="s">
        <v>196</v>
      </c>
      <c r="G122" s="113" t="s">
        <v>197</v>
      </c>
      <c r="H122" s="131" t="s">
        <v>198</v>
      </c>
      <c r="I122" s="113" t="s">
        <v>199</v>
      </c>
      <c r="J122" s="113" t="s">
        <v>196</v>
      </c>
      <c r="K122" s="115" t="s">
        <v>200</v>
      </c>
      <c r="L122" s="113" t="s">
        <v>201</v>
      </c>
      <c r="M122" s="113" t="s">
        <v>202</v>
      </c>
      <c r="N122" s="112" t="s">
        <v>203</v>
      </c>
      <c r="O122" s="132" t="s">
        <v>204</v>
      </c>
      <c r="P122" s="116" t="s">
        <v>205</v>
      </c>
      <c r="Q122" s="115" t="s">
        <v>206</v>
      </c>
      <c r="R122" s="115" t="s">
        <v>207</v>
      </c>
      <c r="S122" s="115" t="s">
        <v>220</v>
      </c>
    </row>
    <row customHeight="true" ht="23.703703703703702" r="123">
      <c r="A123" s="133">
        <v>45939</v>
      </c>
      <c r="B123" s="119" t="s">
        <v>210</v>
      </c>
      <c r="C123" s="119">
        <v>0</v>
      </c>
      <c r="D123" s="134" cm="1">
        <f t="array" ref="D123:D123">_xlfn.XLOOKUP(B123&amp;S123,'气-价格-毛利'!A:A&amp;'气-价格-毛利'!B:B,'气-价格-毛利'!D:D,0)</f>
      </c>
      <c r="E123" s="121">
        <f t="shared" ref="E123:E133" si="42">C123*D123</f>
      </c>
      <c r="F123" s="120" cm="1">
        <f t="array" ref="F123:F123">_xlfn.XLOOKUP(B123&amp;S123,'气-价格-毛利'!A:A&amp;'气-价格-毛利'!B:B,'气-价格-毛利'!C:C,0)</f>
      </c>
      <c r="G123" s="121">
        <f>C123*8</f>
      </c>
      <c r="H123" s="121"/>
      <c r="I123" s="121">
        <f t="shared" ref="I123:I133" si="228">E123*0.025</f>
      </c>
      <c r="J123" s="121">
        <f t="shared" ref="J123:J132" si="259">F123*C123+G123-H123-I123</f>
      </c>
      <c r="K123" s="123">
        <f t="shared" ref="K123:K134" si="320">IFERROR(J123/E123,0)</f>
      </c>
      <c r="L123" s="121">
        <f t="shared" ref="L123:L130" si="382">J123*8</f>
      </c>
      <c r="M123" s="121">
        <f t="shared" ref="M123:M130" si="10">E123*8</f>
      </c>
      <c r="N123" s="123">
        <f t="shared" ref="N123:N133" si="72">IFERROR(H123/E123,0)</f>
      </c>
      <c r="O123" s="135"/>
      <c r="P123" s="135">
        <f t="shared" ref="P123:P134" si="104">C123-O123</f>
      </c>
      <c r="Q123" s="125">
        <f t="shared" ref="Q123:Q134" si="134">IFERROR(O123/C123,0)</f>
      </c>
      <c r="R123" s="125">
        <f t="shared" ref="R123:R132" si="196">IFERROR(H123/(E123*Q123),0)</f>
      </c>
      <c r="S123" s="123" t="s">
        <v>221</v>
      </c>
    </row>
    <row customHeight="true" ht="23.703703703703702" r="124">
      <c r="A124" s="133">
        <v>45939</v>
      </c>
      <c r="B124" s="119" t="s">
        <v>210</v>
      </c>
      <c r="C124" s="119">
        <v>0</v>
      </c>
      <c r="D124" s="134" cm="1">
        <f t="array" ref="D124:D124">_xlfn.XLOOKUP(B124&amp;S124,'气-价格-毛利'!A:A&amp;'气-价格-毛利'!B:B,'气-价格-毛利'!D:D,0)</f>
      </c>
      <c r="E124" s="121">
        <f t="shared" si="42"/>
      </c>
      <c r="F124" s="120" cm="1">
        <f t="array" ref="F124:F124">_xlfn.XLOOKUP(B124&amp;S124,'气-价格-毛利'!A:A&amp;'气-价格-毛利'!B:B,'气-价格-毛利'!C:C,0)</f>
      </c>
      <c r="G124" s="121">
        <f>C124*10</f>
      </c>
      <c r="H124" s="121"/>
      <c r="I124" s="121">
        <f t="shared" si="228"/>
      </c>
      <c r="J124" s="121">
        <f t="shared" si="259"/>
      </c>
      <c r="K124" s="123">
        <f t="shared" si="320"/>
      </c>
      <c r="L124" s="121">
        <f t="shared" si="382"/>
      </c>
      <c r="M124" s="121">
        <f t="shared" si="10"/>
      </c>
      <c r="N124" s="123">
        <f t="shared" si="72"/>
      </c>
      <c r="O124" s="124"/>
      <c r="P124" s="135">
        <f t="shared" si="104"/>
      </c>
      <c r="Q124" s="125">
        <f t="shared" si="134"/>
      </c>
      <c r="R124" s="125">
        <f t="shared" si="196"/>
      </c>
      <c r="S124" s="123" t="s">
        <v>223</v>
      </c>
    </row>
    <row customHeight="true" ht="23.703703703703702" r="125">
      <c r="A125" s="133">
        <v>45939</v>
      </c>
      <c r="B125" s="119" t="s">
        <v>211</v>
      </c>
      <c r="C125" s="119">
        <v>0</v>
      </c>
      <c r="D125" s="134" cm="1">
        <f t="array" ref="D125:D125">_xlfn.XLOOKUP(B125&amp;S125,'气-价格-毛利'!A:A&amp;'气-价格-毛利'!B:B,'气-价格-毛利'!D:D,0)</f>
      </c>
      <c r="E125" s="121">
        <f t="shared" si="42"/>
      </c>
      <c r="F125" s="120" cm="1">
        <f t="array" ref="F125:F125">_xlfn.XLOOKUP(B125&amp;S125,'气-价格-毛利'!A:A&amp;'气-价格-毛利'!B:B,'气-价格-毛利'!C:C,0)</f>
      </c>
      <c r="G125" s="121">
        <f>C125*8</f>
      </c>
      <c r="H125" s="121"/>
      <c r="I125" s="121">
        <f t="shared" si="228"/>
      </c>
      <c r="J125" s="121">
        <f t="shared" si="259"/>
      </c>
      <c r="K125" s="123">
        <f t="shared" si="320"/>
      </c>
      <c r="L125" s="121">
        <f t="shared" si="382"/>
      </c>
      <c r="M125" s="121">
        <f t="shared" si="10"/>
      </c>
      <c r="N125" s="123">
        <f t="shared" si="72"/>
      </c>
      <c r="O125" s="135"/>
      <c r="P125" s="135">
        <f t="shared" si="104"/>
      </c>
      <c r="Q125" s="125">
        <f t="shared" si="134"/>
      </c>
      <c r="R125" s="125">
        <f t="shared" si="196"/>
      </c>
      <c r="S125" s="123" t="s">
        <v>221</v>
      </c>
    </row>
    <row customHeight="true" ht="23.703703703703702" r="126">
      <c r="A126" s="133">
        <v>45939</v>
      </c>
      <c r="B126" s="119" t="s">
        <v>211</v>
      </c>
      <c r="C126" s="119">
        <v>0</v>
      </c>
      <c r="D126" s="134" cm="1">
        <f t="array" ref="D126:D126">_xlfn.XLOOKUP(B126&amp;S126,'气-价格-毛利'!A:A&amp;'气-价格-毛利'!B:B,'气-价格-毛利'!D:D,0)</f>
      </c>
      <c r="E126" s="121">
        <f t="shared" si="42"/>
      </c>
      <c r="F126" s="120" cm="1">
        <f t="array" ref="F126:F126">_xlfn.XLOOKUP(B126&amp;S126,'气-价格-毛利'!A:A&amp;'气-价格-毛利'!B:B,'气-价格-毛利'!C:C,0)</f>
      </c>
      <c r="G126" s="121">
        <f>C126*10</f>
      </c>
      <c r="H126" s="121"/>
      <c r="I126" s="121">
        <f t="shared" si="228"/>
      </c>
      <c r="J126" s="121">
        <f t="shared" si="259"/>
      </c>
      <c r="K126" s="123">
        <f t="shared" si="320"/>
      </c>
      <c r="L126" s="121">
        <f t="shared" si="382"/>
      </c>
      <c r="M126" s="121">
        <f t="shared" si="10"/>
      </c>
      <c r="N126" s="123">
        <f t="shared" si="72"/>
      </c>
      <c r="O126" s="135"/>
      <c r="P126" s="135">
        <f t="shared" si="104"/>
      </c>
      <c r="Q126" s="125">
        <f t="shared" si="134"/>
      </c>
      <c r="R126" s="125">
        <f t="shared" si="196"/>
      </c>
      <c r="S126" s="123" t="s">
        <v>223</v>
      </c>
    </row>
    <row customHeight="true" ht="23.703703703703702" r="127">
      <c r="A127" s="133">
        <v>45939</v>
      </c>
      <c r="B127" s="119" t="s">
        <v>213</v>
      </c>
      <c r="C127" s="119">
        <v>0</v>
      </c>
      <c r="D127" s="134" cm="1">
        <f t="array" ref="D127:D127">_xlfn.XLOOKUP(B127&amp;S127,'气-价格-毛利'!A:A&amp;'气-价格-毛利'!B:B,'气-价格-毛利'!D:D,0)</f>
      </c>
      <c r="E127" s="121">
        <f t="shared" si="42"/>
      </c>
      <c r="F127" s="120" cm="1">
        <f t="array" ref="F127:F127">_xlfn.XLOOKUP(B127&amp;S127,'气-价格-毛利'!A:A&amp;'气-价格-毛利'!B:B,'气-价格-毛利'!C:C,0)</f>
      </c>
      <c r="G127" s="121">
        <f>C127*8</f>
      </c>
      <c r="H127" s="121"/>
      <c r="I127" s="121">
        <f t="shared" si="228"/>
      </c>
      <c r="J127" s="121">
        <f t="shared" si="259"/>
      </c>
      <c r="K127" s="123">
        <f t="shared" si="320"/>
      </c>
      <c r="L127" s="121">
        <f t="shared" si="382"/>
      </c>
      <c r="M127" s="121">
        <f t="shared" si="10"/>
      </c>
      <c r="N127" s="123">
        <f t="shared" si="72"/>
      </c>
      <c r="O127" s="135"/>
      <c r="P127" s="135">
        <f t="shared" si="104"/>
      </c>
      <c r="Q127" s="125">
        <f t="shared" si="134"/>
      </c>
      <c r="R127" s="125">
        <f t="shared" si="196"/>
      </c>
      <c r="S127" s="123" t="s">
        <v>221</v>
      </c>
    </row>
    <row customHeight="true" ht="23.703703703703702" r="128">
      <c r="A128" s="133">
        <v>45939</v>
      </c>
      <c r="B128" s="119" t="s">
        <v>213</v>
      </c>
      <c r="C128" s="119">
        <v>1</v>
      </c>
      <c r="D128" s="134" cm="1">
        <f t="array" ref="D128:D128">_xlfn.XLOOKUP(B128&amp;S128,'气-价格-毛利'!A:A&amp;'气-价格-毛利'!B:B,'气-价格-毛利'!D:D,0)</f>
      </c>
      <c r="E128" s="121">
        <f t="shared" si="42"/>
      </c>
      <c r="F128" s="120" cm="1">
        <f t="array" ref="F128:F128">_xlfn.XLOOKUP(B128&amp;S128,'气-价格-毛利'!A:A&amp;'气-价格-毛利'!B:B,'气-价格-毛利'!C:C,0)</f>
      </c>
      <c r="G128" s="121">
        <f>C128*10</f>
      </c>
      <c r="H128" s="121"/>
      <c r="I128" s="121">
        <f t="shared" si="228"/>
      </c>
      <c r="J128" s="121">
        <f t="shared" si="259"/>
      </c>
      <c r="K128" s="123">
        <f t="shared" si="320"/>
      </c>
      <c r="L128" s="121">
        <f t="shared" si="382"/>
      </c>
      <c r="M128" s="121">
        <f t="shared" si="10"/>
      </c>
      <c r="N128" s="123">
        <f t="shared" si="72"/>
      </c>
      <c r="O128" s="124"/>
      <c r="P128" s="135">
        <f t="shared" si="104"/>
      </c>
      <c r="Q128" s="125">
        <f t="shared" si="134"/>
      </c>
      <c r="R128" s="125">
        <f t="shared" si="196"/>
      </c>
      <c r="S128" s="123" t="s">
        <v>223</v>
      </c>
    </row>
    <row customHeight="true" ht="23.703703703703702" r="129">
      <c r="A129" s="133">
        <v>45939</v>
      </c>
      <c r="B129" s="119" t="s">
        <v>214</v>
      </c>
      <c r="C129" s="119">
        <v>0</v>
      </c>
      <c r="D129" s="134" cm="1">
        <f t="array" ref="D129:D129">_xlfn.XLOOKUP(B129&amp;S129,'气-价格-毛利'!A:A&amp;'气-价格-毛利'!B:B,'气-价格-毛利'!D:D,0)</f>
      </c>
      <c r="E129" s="121">
        <f t="shared" si="42"/>
      </c>
      <c r="F129" s="120" cm="1">
        <f t="array" ref="F129:F129">_xlfn.XLOOKUP(B129&amp;S129,'气-价格-毛利'!A:A&amp;'气-价格-毛利'!B:B,'气-价格-毛利'!C:C,0)</f>
      </c>
      <c r="G129" s="121">
        <f>C129*8</f>
      </c>
      <c r="H129" s="121"/>
      <c r="I129" s="121">
        <f t="shared" si="228"/>
      </c>
      <c r="J129" s="121">
        <f t="shared" si="259"/>
      </c>
      <c r="K129" s="123">
        <f t="shared" si="320"/>
      </c>
      <c r="L129" s="121">
        <f t="shared" si="382"/>
      </c>
      <c r="M129" s="121">
        <f t="shared" si="10"/>
      </c>
      <c r="N129" s="123">
        <f t="shared" si="72"/>
      </c>
      <c r="O129" s="135"/>
      <c r="P129" s="135">
        <f t="shared" si="104"/>
      </c>
      <c r="Q129" s="125">
        <f t="shared" si="134"/>
      </c>
      <c r="R129" s="125">
        <f t="shared" si="196"/>
      </c>
      <c r="S129" s="123" t="s">
        <v>221</v>
      </c>
    </row>
    <row customHeight="true" ht="23.703703703703702" r="130">
      <c r="A130" s="133">
        <v>45939</v>
      </c>
      <c r="B130" s="119" t="s">
        <v>214</v>
      </c>
      <c r="C130" s="119">
        <v>1</v>
      </c>
      <c r="D130" s="134" cm="1">
        <f t="array" ref="D130:D130">_xlfn.XLOOKUP(B130&amp;S130,'气-价格-毛利'!A:A&amp;'气-价格-毛利'!B:B,'气-价格-毛利'!D:D,0)</f>
      </c>
      <c r="E130" s="121">
        <f t="shared" si="42"/>
      </c>
      <c r="F130" s="120" cm="1">
        <f t="array" ref="F130:F130">_xlfn.XLOOKUP(B130&amp;S130,'气-价格-毛利'!A:A&amp;'气-价格-毛利'!B:B,'气-价格-毛利'!C:C,0)</f>
      </c>
      <c r="G130" s="121">
        <f>C130*10</f>
      </c>
      <c r="H130" s="121"/>
      <c r="I130" s="121">
        <f t="shared" si="228"/>
      </c>
      <c r="J130" s="121">
        <f t="shared" si="259"/>
      </c>
      <c r="K130" s="123">
        <f t="shared" si="320"/>
      </c>
      <c r="L130" s="121">
        <f t="shared" si="382"/>
      </c>
      <c r="M130" s="121">
        <f t="shared" si="10"/>
      </c>
      <c r="N130" s="123">
        <f t="shared" si="72"/>
      </c>
      <c r="O130" s="135"/>
      <c r="P130" s="135">
        <f t="shared" si="104"/>
      </c>
      <c r="Q130" s="125">
        <f t="shared" si="134"/>
      </c>
      <c r="R130" s="125">
        <f t="shared" si="196"/>
      </c>
      <c r="S130" s="123" t="s">
        <v>223</v>
      </c>
    </row>
    <row customHeight="true" ht="23.703703703703702" r="131">
      <c r="A131" s="133">
        <v>45939</v>
      </c>
      <c r="B131" s="119" t="s">
        <v>216</v>
      </c>
      <c r="C131" s="119"/>
      <c r="D131" s="134" cm="1">
        <f t="array" ref="D131:D131">_xlfn.XLOOKUP(B131&amp;S131,'气-价格-毛利'!A:A&amp;'气-价格-毛利'!B:B,'气-价格-毛利'!D:D,0)</f>
      </c>
      <c r="E131" s="121">
        <f t="shared" si="42"/>
      </c>
      <c r="F131" s="120" cm="1">
        <f t="array" ref="F131:F131">_xlfn.XLOOKUP(B131&amp;S131,'气-价格-毛利'!A:A&amp;'气-价格-毛利'!B:B,'气-价格-毛利'!C:C,0)</f>
      </c>
      <c r="G131" s="121">
        <f t="shared" ref="G131:G132" si="166">C131*8</f>
      </c>
      <c r="H131" s="121"/>
      <c r="I131" s="121">
        <f t="shared" si="228"/>
      </c>
      <c r="J131" s="121">
        <f t="shared" si="259"/>
      </c>
      <c r="K131" s="123">
        <f t="shared" si="320"/>
      </c>
      <c r="L131" s="121">
        <f t="shared" ref="L131:L132" si="289">J131*9</f>
      </c>
      <c r="M131" s="121">
        <f t="shared" ref="M131:M132" si="350">E131*9</f>
      </c>
      <c r="N131" s="123">
        <f t="shared" si="72"/>
      </c>
      <c r="O131" s="135"/>
      <c r="P131" s="135">
        <f t="shared" si="104"/>
      </c>
      <c r="Q131" s="125">
        <f t="shared" si="134"/>
      </c>
      <c r="R131" s="125">
        <f t="shared" si="196"/>
      </c>
      <c r="S131" s="125"/>
    </row>
    <row customHeight="true" ht="23.703703703703702" r="132">
      <c r="A132" s="133">
        <v>45939</v>
      </c>
      <c r="B132" s="119" t="s">
        <v>216</v>
      </c>
      <c r="C132" s="119"/>
      <c r="D132" s="134" cm="1">
        <f t="array" ref="D132:D132">_xlfn.XLOOKUP(B132&amp;S132,'气-价格-毛利'!A:A&amp;'气-价格-毛利'!B:B,'气-价格-毛利'!D:D,0)</f>
      </c>
      <c r="E132" s="121">
        <f t="shared" si="42"/>
      </c>
      <c r="F132" s="120" cm="1">
        <f t="array" ref="F132:F132">_xlfn.XLOOKUP(B132&amp;S132,'气-价格-毛利'!A:A&amp;'气-价格-毛利'!B:B,'气-价格-毛利'!C:C,0)</f>
      </c>
      <c r="G132" s="121">
        <f t="shared" si="166"/>
      </c>
      <c r="H132" s="121"/>
      <c r="I132" s="121">
        <f t="shared" si="228"/>
      </c>
      <c r="J132" s="121">
        <f t="shared" si="259"/>
      </c>
      <c r="K132" s="123">
        <f t="shared" si="320"/>
      </c>
      <c r="L132" s="121">
        <f t="shared" si="289"/>
      </c>
      <c r="M132" s="121">
        <f t="shared" si="350"/>
      </c>
      <c r="N132" s="123">
        <f t="shared" si="72"/>
      </c>
      <c r="O132" s="135"/>
      <c r="P132" s="135">
        <f t="shared" si="104"/>
      </c>
      <c r="Q132" s="125">
        <f t="shared" si="134"/>
      </c>
      <c r="R132" s="125">
        <f t="shared" si="196"/>
      </c>
      <c r="S132" s="125"/>
    </row>
    <row customHeight="true" ht="23.703703703703702" r="133">
      <c r="A133" s="133">
        <v>45939</v>
      </c>
      <c r="B133" s="119" t="s">
        <v>217</v>
      </c>
      <c r="C133" s="119"/>
      <c r="D133" s="134" cm="1">
        <f t="array" ref="D133:D133">_xlfn.XLOOKUP(B133&amp;S133,'气-价格-毛利'!A:A&amp;'气-价格-毛利'!B:B,'气-价格-毛利'!D:D,0)</f>
      </c>
      <c r="E133" s="121">
        <f t="shared" si="42"/>
      </c>
      <c r="F133" s="120" cm="1">
        <f t="array" ref="F133:F133">_xlfn.XLOOKUP(B133&amp;S133,'气-价格-毛利'!A:A&amp;'气-价格-毛利'!B:B,'气-价格-毛利'!C:C,0)</f>
      </c>
      <c r="G133" s="121"/>
      <c r="H133" s="121"/>
      <c r="I133" s="121">
        <f t="shared" si="228"/>
      </c>
      <c r="J133" s="121">
        <f>C133*F133-H133-I133</f>
      </c>
      <c r="K133" s="123">
        <f t="shared" si="320"/>
      </c>
      <c r="L133" s="121">
        <f>J133*7</f>
      </c>
      <c r="M133" s="121">
        <f>E133*7</f>
      </c>
      <c r="N133" s="123">
        <f t="shared" si="72"/>
      </c>
      <c r="O133" s="124"/>
      <c r="P133" s="124">
        <f t="shared" si="104"/>
      </c>
      <c r="Q133" s="125">
        <f t="shared" si="134"/>
      </c>
      <c r="R133" s="125"/>
      <c r="S133" s="137"/>
    </row>
    <row customHeight="true" ht="23.703703703703702" r="134">
      <c r="A134" s="133">
        <v>45939</v>
      </c>
      <c r="B134" s="119" t="s">
        <v>191</v>
      </c>
      <c r="C134" s="119">
        <f>SUM(C123:C133)</f>
      </c>
      <c r="D134" s="129"/>
      <c r="E134" s="121">
        <f>SUM(E123:E133)</f>
      </c>
      <c r="F134" s="122">
        <f>SUM(F123:F132)</f>
      </c>
      <c r="G134" s="121"/>
      <c r="H134" s="121"/>
      <c r="I134" s="121"/>
      <c r="J134" s="121">
        <f>SUM(J123:J133)</f>
      </c>
      <c r="K134" s="123">
        <f t="shared" si="320"/>
      </c>
      <c r="L134" s="121">
        <f>SUM(L123:L133)</f>
      </c>
      <c r="M134" s="121">
        <f>SUM(M123:M133)</f>
      </c>
      <c r="N134" s="123"/>
      <c r="O134" s="135">
        <f>SUM(O123:O132)</f>
      </c>
      <c r="P134" s="135">
        <f t="shared" si="104"/>
      </c>
      <c r="Q134" s="125">
        <f t="shared" si="134"/>
      </c>
      <c r="R134" s="125"/>
      <c r="S134" s="129"/>
    </row>
    <row customHeight="true" ht="23.703703703703702" r="135">
      <c r="B135" s="117" t="s">
        <v>218</v>
      </c>
    </row>
    <row customHeight="true" ht="23.703703703703702" r="136">
      <c r="A136" s="111" t="s">
        <v>219</v>
      </c>
      <c r="B136" s="112" t="s">
        <v>192</v>
      </c>
      <c r="C136" s="130" t="s">
        <v>193</v>
      </c>
      <c r="D136" s="112" t="s">
        <v>194</v>
      </c>
      <c r="E136" s="113" t="s">
        <v>195</v>
      </c>
      <c r="F136" s="114" t="s">
        <v>196</v>
      </c>
      <c r="G136" s="113" t="s">
        <v>197</v>
      </c>
      <c r="H136" s="131" t="s">
        <v>198</v>
      </c>
      <c r="I136" s="113" t="s">
        <v>199</v>
      </c>
      <c r="J136" s="113" t="s">
        <v>196</v>
      </c>
      <c r="K136" s="115" t="s">
        <v>200</v>
      </c>
      <c r="L136" s="113" t="s">
        <v>201</v>
      </c>
      <c r="M136" s="113" t="s">
        <v>202</v>
      </c>
      <c r="N136" s="112" t="s">
        <v>203</v>
      </c>
      <c r="O136" s="132" t="s">
        <v>204</v>
      </c>
      <c r="P136" s="116" t="s">
        <v>205</v>
      </c>
      <c r="Q136" s="115" t="s">
        <v>206</v>
      </c>
      <c r="R136" s="115" t="s">
        <v>207</v>
      </c>
      <c r="S136" s="115" t="s">
        <v>220</v>
      </c>
    </row>
    <row customHeight="true" ht="23.703703703703702" r="137">
      <c r="A137" s="133">
        <v>45940</v>
      </c>
      <c r="B137" s="119" t="s">
        <v>210</v>
      </c>
      <c r="C137" s="119">
        <v>0</v>
      </c>
      <c r="D137" s="134" cm="1">
        <f t="array" ref="D137:D137">_xlfn.XLOOKUP(B137&amp;S137,'气-价格-毛利'!A:A&amp;'气-价格-毛利'!B:B,'气-价格-毛利'!D:D,0)</f>
      </c>
      <c r="E137" s="121">
        <f t="shared" ref="E137:E147" si="43">C137*D137</f>
      </c>
      <c r="F137" s="120" cm="1">
        <f t="array" ref="F137:F137">_xlfn.XLOOKUP(B137&amp;S137,'气-价格-毛利'!A:A&amp;'气-价格-毛利'!B:B,'气-价格-毛利'!C:C,0)</f>
      </c>
      <c r="G137" s="121">
        <f>C137*8</f>
      </c>
      <c r="H137" s="121"/>
      <c r="I137" s="121">
        <f t="shared" ref="I137:I147" si="229">E137*0.025</f>
      </c>
      <c r="J137" s="121">
        <f t="shared" ref="J137:J146" si="260">F137*C137+G137-H137-I137</f>
      </c>
      <c r="K137" s="123">
        <f t="shared" ref="K137:K148" si="321">IFERROR(J137/E137,0)</f>
      </c>
      <c r="L137" s="121">
        <f t="shared" ref="L137:L144" si="383">J137*8</f>
      </c>
      <c r="M137" s="121">
        <f t="shared" ref="M137:M144" si="11">E137*8</f>
      </c>
      <c r="N137" s="123">
        <f t="shared" ref="N137:N147" si="73">IFERROR(H137/E137,0)</f>
      </c>
      <c r="O137" s="135"/>
      <c r="P137" s="135">
        <f t="shared" ref="P137:P148" si="105">C137-O137</f>
      </c>
      <c r="Q137" s="125">
        <f t="shared" ref="Q137:Q148" si="135">IFERROR(O137/C137,0)</f>
      </c>
      <c r="R137" s="125">
        <f t="shared" ref="R137:R146" si="197">IFERROR(H137/(E137*Q137),0)</f>
      </c>
      <c r="S137" s="123" t="s">
        <v>221</v>
      </c>
    </row>
    <row customHeight="true" ht="23.703703703703702" r="138">
      <c r="A138" s="133">
        <v>45940</v>
      </c>
      <c r="B138" s="119" t="s">
        <v>210</v>
      </c>
      <c r="C138" s="119">
        <v>1</v>
      </c>
      <c r="D138" s="134" cm="1">
        <f t="array" ref="D138:D138">_xlfn.XLOOKUP(B138&amp;S138,'气-价格-毛利'!A:A&amp;'气-价格-毛利'!B:B,'气-价格-毛利'!D:D,0)</f>
      </c>
      <c r="E138" s="121">
        <f t="shared" si="43"/>
      </c>
      <c r="F138" s="120" cm="1">
        <f t="array" ref="F138:F138">_xlfn.XLOOKUP(B138&amp;S138,'气-价格-毛利'!A:A&amp;'气-价格-毛利'!B:B,'气-价格-毛利'!C:C,0)</f>
      </c>
      <c r="G138" s="121">
        <f>C138*10</f>
      </c>
      <c r="H138" s="121"/>
      <c r="I138" s="121">
        <f t="shared" si="229"/>
      </c>
      <c r="J138" s="121">
        <f t="shared" si="260"/>
      </c>
      <c r="K138" s="123">
        <f t="shared" si="321"/>
      </c>
      <c r="L138" s="121">
        <f t="shared" si="383"/>
      </c>
      <c r="M138" s="121">
        <f t="shared" si="11"/>
      </c>
      <c r="N138" s="123">
        <f t="shared" si="73"/>
      </c>
      <c r="O138" s="124"/>
      <c r="P138" s="135">
        <f t="shared" si="105"/>
      </c>
      <c r="Q138" s="125">
        <f t="shared" si="135"/>
      </c>
      <c r="R138" s="125">
        <f t="shared" si="197"/>
      </c>
      <c r="S138" s="123" t="s">
        <v>223</v>
      </c>
    </row>
    <row customHeight="true" ht="23.703703703703702" r="139">
      <c r="A139" s="133">
        <v>45940</v>
      </c>
      <c r="B139" s="119" t="s">
        <v>211</v>
      </c>
      <c r="C139" s="119">
        <v>0</v>
      </c>
      <c r="D139" s="134" cm="1">
        <f t="array" ref="D139:D139">_xlfn.XLOOKUP(B139&amp;S139,'气-价格-毛利'!A:A&amp;'气-价格-毛利'!B:B,'气-价格-毛利'!D:D,0)</f>
      </c>
      <c r="E139" s="121">
        <f t="shared" si="43"/>
      </c>
      <c r="F139" s="120" cm="1">
        <f t="array" ref="F139:F139">_xlfn.XLOOKUP(B139&amp;S139,'气-价格-毛利'!A:A&amp;'气-价格-毛利'!B:B,'气-价格-毛利'!C:C,0)</f>
      </c>
      <c r="G139" s="121">
        <f>C139*8</f>
      </c>
      <c r="H139" s="121"/>
      <c r="I139" s="121">
        <f t="shared" si="229"/>
      </c>
      <c r="J139" s="121">
        <f t="shared" si="260"/>
      </c>
      <c r="K139" s="123">
        <f t="shared" si="321"/>
      </c>
      <c r="L139" s="121">
        <f t="shared" si="383"/>
      </c>
      <c r="M139" s="121">
        <f t="shared" si="11"/>
      </c>
      <c r="N139" s="123">
        <f t="shared" si="73"/>
      </c>
      <c r="O139" s="135"/>
      <c r="P139" s="135">
        <f t="shared" si="105"/>
      </c>
      <c r="Q139" s="125">
        <f t="shared" si="135"/>
      </c>
      <c r="R139" s="125">
        <f t="shared" si="197"/>
      </c>
      <c r="S139" s="123" t="s">
        <v>221</v>
      </c>
    </row>
    <row customHeight="true" ht="23.703703703703702" r="140">
      <c r="A140" s="133">
        <v>45940</v>
      </c>
      <c r="B140" s="119" t="s">
        <v>211</v>
      </c>
      <c r="C140" s="119">
        <v>2</v>
      </c>
      <c r="D140" s="134" cm="1">
        <f t="array" ref="D140:D140">_xlfn.XLOOKUP(B140&amp;S140,'气-价格-毛利'!A:A&amp;'气-价格-毛利'!B:B,'气-价格-毛利'!D:D,0)</f>
      </c>
      <c r="E140" s="121">
        <f t="shared" si="43"/>
      </c>
      <c r="F140" s="120" cm="1">
        <f t="array" ref="F140:F140">_xlfn.XLOOKUP(B140&amp;S140,'气-价格-毛利'!A:A&amp;'气-价格-毛利'!B:B,'气-价格-毛利'!C:C,0)</f>
      </c>
      <c r="G140" s="121">
        <f>C140*10</f>
      </c>
      <c r="H140" s="121"/>
      <c r="I140" s="121">
        <f t="shared" si="229"/>
      </c>
      <c r="J140" s="121">
        <f t="shared" si="260"/>
      </c>
      <c r="K140" s="123">
        <f t="shared" si="321"/>
      </c>
      <c r="L140" s="121">
        <f t="shared" si="383"/>
      </c>
      <c r="M140" s="121">
        <f t="shared" si="11"/>
      </c>
      <c r="N140" s="123">
        <f t="shared" si="73"/>
      </c>
      <c r="O140" s="135"/>
      <c r="P140" s="135">
        <f t="shared" si="105"/>
      </c>
      <c r="Q140" s="125">
        <f t="shared" si="135"/>
      </c>
      <c r="R140" s="125">
        <f t="shared" si="197"/>
      </c>
      <c r="S140" s="123" t="s">
        <v>223</v>
      </c>
    </row>
    <row customHeight="true" ht="23.703703703703702" r="141">
      <c r="A141" s="133">
        <v>45940</v>
      </c>
      <c r="B141" s="119" t="s">
        <v>213</v>
      </c>
      <c r="C141" s="119">
        <v>17</v>
      </c>
      <c r="D141" s="134" cm="1">
        <f t="array" ref="D141:D141">_xlfn.XLOOKUP(B141&amp;S141,'气-价格-毛利'!A:A&amp;'气-价格-毛利'!B:B,'气-价格-毛利'!D:D,0)</f>
      </c>
      <c r="E141" s="121">
        <f t="shared" si="43"/>
      </c>
      <c r="F141" s="120" cm="1">
        <f t="array" ref="F141:F141">_xlfn.XLOOKUP(B141&amp;S141,'气-价格-毛利'!A:A&amp;'气-价格-毛利'!B:B,'气-价格-毛利'!C:C,0)</f>
      </c>
      <c r="G141" s="121">
        <f>C141*8</f>
      </c>
      <c r="H141" s="121"/>
      <c r="I141" s="121">
        <f t="shared" si="229"/>
      </c>
      <c r="J141" s="121">
        <f t="shared" si="260"/>
      </c>
      <c r="K141" s="123">
        <f t="shared" si="321"/>
      </c>
      <c r="L141" s="121">
        <f t="shared" si="383"/>
      </c>
      <c r="M141" s="121">
        <f t="shared" si="11"/>
      </c>
      <c r="N141" s="123">
        <f t="shared" si="73"/>
      </c>
      <c r="O141" s="135"/>
      <c r="P141" s="135">
        <f t="shared" si="105"/>
      </c>
      <c r="Q141" s="125">
        <f t="shared" si="135"/>
      </c>
      <c r="R141" s="125">
        <f t="shared" si="197"/>
      </c>
      <c r="S141" s="123" t="s">
        <v>221</v>
      </c>
    </row>
    <row customHeight="true" ht="23.703703703703702" r="142">
      <c r="A142" s="133">
        <v>45940</v>
      </c>
      <c r="B142" s="119" t="s">
        <v>213</v>
      </c>
      <c r="C142" s="119">
        <v>3</v>
      </c>
      <c r="D142" s="134" cm="1">
        <f t="array" ref="D142:D142">_xlfn.XLOOKUP(B142&amp;S142,'气-价格-毛利'!A:A&amp;'气-价格-毛利'!B:B,'气-价格-毛利'!D:D,0)</f>
      </c>
      <c r="E142" s="121">
        <f t="shared" si="43"/>
      </c>
      <c r="F142" s="120" cm="1">
        <f t="array" ref="F142:F142">_xlfn.XLOOKUP(B142&amp;S142,'气-价格-毛利'!A:A&amp;'气-价格-毛利'!B:B,'气-价格-毛利'!C:C,0)</f>
      </c>
      <c r="G142" s="121">
        <f>C142*10</f>
      </c>
      <c r="H142" s="121"/>
      <c r="I142" s="121">
        <f t="shared" si="229"/>
      </c>
      <c r="J142" s="121">
        <f t="shared" si="260"/>
      </c>
      <c r="K142" s="123">
        <f t="shared" si="321"/>
      </c>
      <c r="L142" s="121">
        <f t="shared" si="383"/>
      </c>
      <c r="M142" s="121">
        <f t="shared" si="11"/>
      </c>
      <c r="N142" s="123">
        <f t="shared" si="73"/>
      </c>
      <c r="O142" s="124"/>
      <c r="P142" s="135">
        <f t="shared" si="105"/>
      </c>
      <c r="Q142" s="125">
        <f t="shared" si="135"/>
      </c>
      <c r="R142" s="125">
        <f t="shared" si="197"/>
      </c>
      <c r="S142" s="123" t="s">
        <v>223</v>
      </c>
    </row>
    <row customHeight="true" ht="23.703703703703702" r="143">
      <c r="A143" s="133">
        <v>45940</v>
      </c>
      <c r="B143" s="119" t="s">
        <v>214</v>
      </c>
      <c r="C143" s="119">
        <v>0</v>
      </c>
      <c r="D143" s="134" cm="1">
        <f t="array" ref="D143:D143">_xlfn.XLOOKUP(B143&amp;S143,'气-价格-毛利'!A:A&amp;'气-价格-毛利'!B:B,'气-价格-毛利'!D:D,0)</f>
      </c>
      <c r="E143" s="121">
        <f t="shared" si="43"/>
      </c>
      <c r="F143" s="120" cm="1">
        <f t="array" ref="F143:F143">_xlfn.XLOOKUP(B143&amp;S143,'气-价格-毛利'!A:A&amp;'气-价格-毛利'!B:B,'气-价格-毛利'!C:C,0)</f>
      </c>
      <c r="G143" s="121">
        <f>C143*8</f>
      </c>
      <c r="H143" s="121"/>
      <c r="I143" s="121">
        <f t="shared" si="229"/>
      </c>
      <c r="J143" s="121">
        <f t="shared" si="260"/>
      </c>
      <c r="K143" s="123">
        <f t="shared" si="321"/>
      </c>
      <c r="L143" s="121">
        <f t="shared" si="383"/>
      </c>
      <c r="M143" s="121">
        <f t="shared" si="11"/>
      </c>
      <c r="N143" s="123">
        <f t="shared" si="73"/>
      </c>
      <c r="O143" s="135"/>
      <c r="P143" s="135">
        <f t="shared" si="105"/>
      </c>
      <c r="Q143" s="125">
        <f t="shared" si="135"/>
      </c>
      <c r="R143" s="125">
        <f t="shared" si="197"/>
      </c>
      <c r="S143" s="123" t="s">
        <v>221</v>
      </c>
    </row>
    <row customHeight="true" ht="23.703703703703702" r="144">
      <c r="A144" s="133">
        <v>45940</v>
      </c>
      <c r="B144" s="119" t="s">
        <v>214</v>
      </c>
      <c r="C144" s="119">
        <v>3</v>
      </c>
      <c r="D144" s="134" cm="1">
        <f t="array" ref="D144:D144">_xlfn.XLOOKUP(B144&amp;S144,'气-价格-毛利'!A:A&amp;'气-价格-毛利'!B:B,'气-价格-毛利'!D:D,0)</f>
      </c>
      <c r="E144" s="121">
        <f t="shared" si="43"/>
      </c>
      <c r="F144" s="120" cm="1">
        <f t="array" ref="F144:F144">_xlfn.XLOOKUP(B144&amp;S144,'气-价格-毛利'!A:A&amp;'气-价格-毛利'!B:B,'气-价格-毛利'!C:C,0)</f>
      </c>
      <c r="G144" s="121">
        <f>C144*10</f>
      </c>
      <c r="H144" s="121"/>
      <c r="I144" s="121">
        <f t="shared" si="229"/>
      </c>
      <c r="J144" s="121">
        <f t="shared" si="260"/>
      </c>
      <c r="K144" s="123">
        <f t="shared" si="321"/>
      </c>
      <c r="L144" s="121">
        <f t="shared" si="383"/>
      </c>
      <c r="M144" s="121">
        <f t="shared" si="11"/>
      </c>
      <c r="N144" s="123">
        <f t="shared" si="73"/>
      </c>
      <c r="O144" s="135"/>
      <c r="P144" s="135">
        <f t="shared" si="105"/>
      </c>
      <c r="Q144" s="125">
        <f t="shared" si="135"/>
      </c>
      <c r="R144" s="125">
        <f t="shared" si="197"/>
      </c>
      <c r="S144" s="123" t="s">
        <v>223</v>
      </c>
    </row>
    <row customHeight="true" ht="23.703703703703702" r="145">
      <c r="A145" s="133">
        <v>45940</v>
      </c>
      <c r="B145" s="119" t="s">
        <v>216</v>
      </c>
      <c r="C145" s="119"/>
      <c r="D145" s="134" cm="1">
        <f t="array" ref="D145:D145">_xlfn.XLOOKUP(B145&amp;S145,'气-价格-毛利'!A:A&amp;'气-价格-毛利'!B:B,'气-价格-毛利'!D:D,0)</f>
      </c>
      <c r="E145" s="121">
        <f t="shared" si="43"/>
      </c>
      <c r="F145" s="120" cm="1">
        <f t="array" ref="F145:F145">_xlfn.XLOOKUP(B145&amp;S145,'气-价格-毛利'!A:A&amp;'气-价格-毛利'!B:B,'气-价格-毛利'!C:C,0)</f>
      </c>
      <c r="G145" s="121">
        <f t="shared" ref="G145:G146" si="167">C145*8</f>
      </c>
      <c r="H145" s="121"/>
      <c r="I145" s="121">
        <f t="shared" si="229"/>
      </c>
      <c r="J145" s="121">
        <f t="shared" si="260"/>
      </c>
      <c r="K145" s="123">
        <f t="shared" si="321"/>
      </c>
      <c r="L145" s="121">
        <f t="shared" ref="L145:L146" si="290">J145*9</f>
      </c>
      <c r="M145" s="121">
        <f t="shared" ref="M145:M146" si="351">E145*9</f>
      </c>
      <c r="N145" s="123">
        <f t="shared" si="73"/>
      </c>
      <c r="O145" s="135"/>
      <c r="P145" s="135">
        <f t="shared" si="105"/>
      </c>
      <c r="Q145" s="125">
        <f t="shared" si="135"/>
      </c>
      <c r="R145" s="125">
        <f t="shared" si="197"/>
      </c>
      <c r="S145" s="125"/>
    </row>
    <row customHeight="true" ht="23.703703703703702" r="146">
      <c r="A146" s="133">
        <v>45940</v>
      </c>
      <c r="B146" s="119" t="s">
        <v>216</v>
      </c>
      <c r="C146" s="119"/>
      <c r="D146" s="134" cm="1">
        <f t="array" ref="D146:D146">_xlfn.XLOOKUP(B146&amp;S146,'气-价格-毛利'!A:A&amp;'气-价格-毛利'!B:B,'气-价格-毛利'!D:D,0)</f>
      </c>
      <c r="E146" s="121">
        <f t="shared" si="43"/>
      </c>
      <c r="F146" s="120" cm="1">
        <f t="array" ref="F146:F146">_xlfn.XLOOKUP(B146&amp;S146,'气-价格-毛利'!A:A&amp;'气-价格-毛利'!B:B,'气-价格-毛利'!C:C,0)</f>
      </c>
      <c r="G146" s="121">
        <f t="shared" si="167"/>
      </c>
      <c r="H146" s="121"/>
      <c r="I146" s="121">
        <f t="shared" si="229"/>
      </c>
      <c r="J146" s="121">
        <f t="shared" si="260"/>
      </c>
      <c r="K146" s="123">
        <f t="shared" si="321"/>
      </c>
      <c r="L146" s="121">
        <f t="shared" si="290"/>
      </c>
      <c r="M146" s="121">
        <f t="shared" si="351"/>
      </c>
      <c r="N146" s="123">
        <f t="shared" si="73"/>
      </c>
      <c r="O146" s="135"/>
      <c r="P146" s="135">
        <f t="shared" si="105"/>
      </c>
      <c r="Q146" s="125">
        <f t="shared" si="135"/>
      </c>
      <c r="R146" s="125">
        <f t="shared" si="197"/>
      </c>
      <c r="S146" s="125"/>
    </row>
    <row customHeight="true" ht="23.703703703703702" r="147">
      <c r="A147" s="133">
        <v>45940</v>
      </c>
      <c r="B147" s="119" t="s">
        <v>217</v>
      </c>
      <c r="C147" s="119"/>
      <c r="D147" s="134" cm="1">
        <f t="array" ref="D147:D147">_xlfn.XLOOKUP(B147&amp;S147,'气-价格-毛利'!A:A&amp;'气-价格-毛利'!B:B,'气-价格-毛利'!D:D,0)</f>
      </c>
      <c r="E147" s="121">
        <f t="shared" si="43"/>
      </c>
      <c r="F147" s="120" cm="1">
        <f t="array" ref="F147:F147">_xlfn.XLOOKUP(B147&amp;S147,'气-价格-毛利'!A:A&amp;'气-价格-毛利'!B:B,'气-价格-毛利'!C:C,0)</f>
      </c>
      <c r="G147" s="121"/>
      <c r="H147" s="121"/>
      <c r="I147" s="121">
        <f t="shared" si="229"/>
      </c>
      <c r="J147" s="121">
        <f>C147*F147-H147-I147</f>
      </c>
      <c r="K147" s="123">
        <f t="shared" si="321"/>
      </c>
      <c r="L147" s="121">
        <f>J147*7</f>
      </c>
      <c r="M147" s="121">
        <f>E147*7</f>
      </c>
      <c r="N147" s="123">
        <f t="shared" si="73"/>
      </c>
      <c r="O147" s="124"/>
      <c r="P147" s="124">
        <f t="shared" si="105"/>
      </c>
      <c r="Q147" s="125">
        <f t="shared" si="135"/>
      </c>
      <c r="R147" s="125"/>
      <c r="S147" s="137"/>
    </row>
    <row customHeight="true" ht="23.703703703703702" r="148">
      <c r="A148" s="133">
        <v>45940</v>
      </c>
      <c r="B148" s="119" t="s">
        <v>191</v>
      </c>
      <c r="C148" s="119">
        <f>SUM(C137:C147)</f>
      </c>
      <c r="D148" s="129"/>
      <c r="E148" s="121">
        <f>SUM(E137:E147)</f>
      </c>
      <c r="F148" s="122">
        <f>SUM(F137:F146)</f>
      </c>
      <c r="G148" s="121"/>
      <c r="H148" s="121"/>
      <c r="I148" s="121"/>
      <c r="J148" s="121">
        <f>SUM(J137:J147)</f>
      </c>
      <c r="K148" s="123">
        <f t="shared" si="321"/>
      </c>
      <c r="L148" s="121">
        <f>SUM(L137:L147)</f>
      </c>
      <c r="M148" s="121">
        <f>SUM(M137:M147)</f>
      </c>
      <c r="N148" s="123"/>
      <c r="O148" s="135">
        <f>SUM(O137:O146)</f>
      </c>
      <c r="P148" s="135">
        <f t="shared" si="105"/>
      </c>
      <c r="Q148" s="125">
        <f t="shared" si="135"/>
      </c>
      <c r="R148" s="125"/>
      <c r="S148" s="129"/>
    </row>
    <row customHeight="true" ht="23.703703703703702" r="149">
      <c r="B149" s="117" t="s">
        <v>218</v>
      </c>
    </row>
    <row customHeight="true" ht="23.703703703703702" r="150">
      <c r="A150" s="111" t="s">
        <v>219</v>
      </c>
      <c r="B150" s="112" t="s">
        <v>192</v>
      </c>
      <c r="C150" s="130" t="s">
        <v>193</v>
      </c>
      <c r="D150" s="112" t="s">
        <v>194</v>
      </c>
      <c r="E150" s="113" t="s">
        <v>195</v>
      </c>
      <c r="F150" s="114" t="s">
        <v>196</v>
      </c>
      <c r="G150" s="113" t="s">
        <v>197</v>
      </c>
      <c r="H150" s="131" t="s">
        <v>198</v>
      </c>
      <c r="I150" s="113" t="s">
        <v>199</v>
      </c>
      <c r="J150" s="113" t="s">
        <v>196</v>
      </c>
      <c r="K150" s="115" t="s">
        <v>200</v>
      </c>
      <c r="L150" s="113" t="s">
        <v>201</v>
      </c>
      <c r="M150" s="113" t="s">
        <v>202</v>
      </c>
      <c r="N150" s="112" t="s">
        <v>203</v>
      </c>
      <c r="O150" s="132" t="s">
        <v>204</v>
      </c>
      <c r="P150" s="116" t="s">
        <v>205</v>
      </c>
      <c r="Q150" s="115" t="s">
        <v>206</v>
      </c>
      <c r="R150" s="115" t="s">
        <v>207</v>
      </c>
      <c r="S150" s="115" t="s">
        <v>220</v>
      </c>
    </row>
    <row customHeight="true" ht="23.703703703703702" r="151">
      <c r="A151" s="133">
        <v>45941</v>
      </c>
      <c r="B151" s="119" t="s">
        <v>210</v>
      </c>
      <c r="C151" s="119">
        <v>0</v>
      </c>
      <c r="D151" s="134" cm="1">
        <f t="array" ref="D151:D151">_xlfn.XLOOKUP(B151&amp;S151,'气-价格-毛利'!A:A&amp;'气-价格-毛利'!B:B,'气-价格-毛利'!D:D,0)</f>
      </c>
      <c r="E151" s="121">
        <f t="shared" ref="E151:E161" si="44">C151*D151</f>
      </c>
      <c r="F151" s="120" cm="1">
        <f t="array" ref="F151:F151">_xlfn.XLOOKUP(B151&amp;S151,'气-价格-毛利'!A:A&amp;'气-价格-毛利'!B:B,'气-价格-毛利'!C:C,0)</f>
      </c>
      <c r="G151" s="121">
        <f>C151*8</f>
      </c>
      <c r="H151" s="121"/>
      <c r="I151" s="121">
        <f t="shared" ref="I151:I161" si="230">E151*0.025</f>
      </c>
      <c r="J151" s="121">
        <f t="shared" ref="J151:J160" si="261">F151*C151+G151-H151-I151</f>
      </c>
      <c r="K151" s="123">
        <f t="shared" ref="K151:K162" si="322">IFERROR(J151/E151,0)</f>
      </c>
      <c r="L151" s="121">
        <f t="shared" ref="L151:L158" si="384">J151*8</f>
      </c>
      <c r="M151" s="121">
        <f t="shared" ref="M151:M158" si="12">E151*8</f>
      </c>
      <c r="N151" s="123">
        <f t="shared" ref="N151:N161" si="74">IFERROR(H151/E151,0)</f>
      </c>
      <c r="O151" s="135"/>
      <c r="P151" s="135">
        <f t="shared" ref="P151:P162" si="106">C151-O151</f>
      </c>
      <c r="Q151" s="125">
        <f t="shared" ref="Q151:Q162" si="136">IFERROR(O151/C151,0)</f>
      </c>
      <c r="R151" s="125">
        <f t="shared" ref="R151:R160" si="198">IFERROR(H151/(E151*Q151),0)</f>
      </c>
      <c r="S151" s="123" t="s">
        <v>221</v>
      </c>
    </row>
    <row customHeight="true" ht="23.703703703703702" r="152">
      <c r="A152" s="133">
        <v>45941</v>
      </c>
      <c r="B152" s="119" t="s">
        <v>210</v>
      </c>
      <c r="C152" s="119">
        <v>0</v>
      </c>
      <c r="D152" s="134" cm="1">
        <f t="array" ref="D152:D152">_xlfn.XLOOKUP(B152&amp;S152,'气-价格-毛利'!A:A&amp;'气-价格-毛利'!B:B,'气-价格-毛利'!D:D,0)</f>
      </c>
      <c r="E152" s="121">
        <f t="shared" si="44"/>
      </c>
      <c r="F152" s="120" cm="1">
        <f t="array" ref="F152:F152">_xlfn.XLOOKUP(B152&amp;S152,'气-价格-毛利'!A:A&amp;'气-价格-毛利'!B:B,'气-价格-毛利'!C:C,0)</f>
      </c>
      <c r="G152" s="121">
        <f>C152*10</f>
      </c>
      <c r="H152" s="121"/>
      <c r="I152" s="121">
        <f t="shared" si="230"/>
      </c>
      <c r="J152" s="121">
        <f t="shared" si="261"/>
      </c>
      <c r="K152" s="123">
        <f t="shared" si="322"/>
      </c>
      <c r="L152" s="121">
        <f t="shared" si="384"/>
      </c>
      <c r="M152" s="121">
        <f t="shared" si="12"/>
      </c>
      <c r="N152" s="123">
        <f t="shared" si="74"/>
      </c>
      <c r="O152" s="124"/>
      <c r="P152" s="135">
        <f t="shared" si="106"/>
      </c>
      <c r="Q152" s="125">
        <f t="shared" si="136"/>
      </c>
      <c r="R152" s="125">
        <f t="shared" si="198"/>
      </c>
      <c r="S152" s="123" t="s">
        <v>223</v>
      </c>
    </row>
    <row customHeight="true" ht="23.703703703703702" r="153">
      <c r="A153" s="133">
        <v>45941</v>
      </c>
      <c r="B153" s="119" t="s">
        <v>211</v>
      </c>
      <c r="C153" s="119">
        <v>0</v>
      </c>
      <c r="D153" s="134" cm="1">
        <f t="array" ref="D153:D153">_xlfn.XLOOKUP(B153&amp;S153,'气-价格-毛利'!A:A&amp;'气-价格-毛利'!B:B,'气-价格-毛利'!D:D,0)</f>
      </c>
      <c r="E153" s="121">
        <f t="shared" si="44"/>
      </c>
      <c r="F153" s="120" cm="1">
        <f t="array" ref="F153:F153">_xlfn.XLOOKUP(B153&amp;S153,'气-价格-毛利'!A:A&amp;'气-价格-毛利'!B:B,'气-价格-毛利'!C:C,0)</f>
      </c>
      <c r="G153" s="121">
        <f>C153*8</f>
      </c>
      <c r="H153" s="121"/>
      <c r="I153" s="121">
        <f t="shared" si="230"/>
      </c>
      <c r="J153" s="121">
        <f t="shared" si="261"/>
      </c>
      <c r="K153" s="123">
        <f t="shared" si="322"/>
      </c>
      <c r="L153" s="121">
        <f t="shared" si="384"/>
      </c>
      <c r="M153" s="121">
        <f t="shared" si="12"/>
      </c>
      <c r="N153" s="123">
        <f t="shared" si="74"/>
      </c>
      <c r="O153" s="135"/>
      <c r="P153" s="135">
        <f t="shared" si="106"/>
      </c>
      <c r="Q153" s="125">
        <f t="shared" si="136"/>
      </c>
      <c r="R153" s="125">
        <f t="shared" si="198"/>
      </c>
      <c r="S153" s="123" t="s">
        <v>221</v>
      </c>
    </row>
    <row customHeight="true" ht="23.703703703703702" r="154">
      <c r="A154" s="133">
        <v>45941</v>
      </c>
      <c r="B154" s="119" t="s">
        <v>211</v>
      </c>
      <c r="C154" s="119">
        <v>0</v>
      </c>
      <c r="D154" s="134" cm="1">
        <f t="array" ref="D154:D154">_xlfn.XLOOKUP(B154&amp;S154,'气-价格-毛利'!A:A&amp;'气-价格-毛利'!B:B,'气-价格-毛利'!D:D,0)</f>
      </c>
      <c r="E154" s="121">
        <f t="shared" si="44"/>
      </c>
      <c r="F154" s="120" cm="1">
        <f t="array" ref="F154:F154">_xlfn.XLOOKUP(B154&amp;S154,'气-价格-毛利'!A:A&amp;'气-价格-毛利'!B:B,'气-价格-毛利'!C:C,0)</f>
      </c>
      <c r="G154" s="121">
        <f>C154*10</f>
      </c>
      <c r="H154" s="121"/>
      <c r="I154" s="121">
        <f t="shared" si="230"/>
      </c>
      <c r="J154" s="121">
        <f t="shared" si="261"/>
      </c>
      <c r="K154" s="123">
        <f t="shared" si="322"/>
      </c>
      <c r="L154" s="121">
        <f t="shared" si="384"/>
      </c>
      <c r="M154" s="121">
        <f t="shared" si="12"/>
      </c>
      <c r="N154" s="123">
        <f t="shared" si="74"/>
      </c>
      <c r="O154" s="135"/>
      <c r="P154" s="135">
        <f t="shared" si="106"/>
      </c>
      <c r="Q154" s="125">
        <f t="shared" si="136"/>
      </c>
      <c r="R154" s="125">
        <f t="shared" si="198"/>
      </c>
      <c r="S154" s="123" t="s">
        <v>223</v>
      </c>
    </row>
    <row customHeight="true" ht="23.703703703703702" r="155">
      <c r="A155" s="133">
        <v>45941</v>
      </c>
      <c r="B155" s="119" t="s">
        <v>213</v>
      </c>
      <c r="C155" s="119">
        <v>2</v>
      </c>
      <c r="D155" s="134" cm="1">
        <f t="array" ref="D155:D155">_xlfn.XLOOKUP(B155&amp;S155,'气-价格-毛利'!A:A&amp;'气-价格-毛利'!B:B,'气-价格-毛利'!D:D,0)</f>
      </c>
      <c r="E155" s="121">
        <f t="shared" si="44"/>
      </c>
      <c r="F155" s="120" cm="1">
        <f t="array" ref="F155:F155">_xlfn.XLOOKUP(B155&amp;S155,'气-价格-毛利'!A:A&amp;'气-价格-毛利'!B:B,'气-价格-毛利'!C:C,0)</f>
      </c>
      <c r="G155" s="121">
        <f>C155*8</f>
      </c>
      <c r="H155" s="121"/>
      <c r="I155" s="121">
        <f t="shared" si="230"/>
      </c>
      <c r="J155" s="121">
        <f t="shared" si="261"/>
      </c>
      <c r="K155" s="123">
        <f t="shared" si="322"/>
      </c>
      <c r="L155" s="121">
        <f t="shared" si="384"/>
      </c>
      <c r="M155" s="121">
        <f t="shared" si="12"/>
      </c>
      <c r="N155" s="123">
        <f t="shared" si="74"/>
      </c>
      <c r="O155" s="135"/>
      <c r="P155" s="135">
        <f t="shared" si="106"/>
      </c>
      <c r="Q155" s="125">
        <f t="shared" si="136"/>
      </c>
      <c r="R155" s="125">
        <f t="shared" si="198"/>
      </c>
      <c r="S155" s="123" t="s">
        <v>221</v>
      </c>
    </row>
    <row customHeight="true" ht="23.703703703703702" r="156">
      <c r="A156" s="133">
        <v>45941</v>
      </c>
      <c r="B156" s="119" t="s">
        <v>213</v>
      </c>
      <c r="C156" s="119">
        <v>2</v>
      </c>
      <c r="D156" s="134" cm="1">
        <f t="array" ref="D156:D156">_xlfn.XLOOKUP(B156&amp;S156,'气-价格-毛利'!A:A&amp;'气-价格-毛利'!B:B,'气-价格-毛利'!D:D,0)</f>
      </c>
      <c r="E156" s="121">
        <f t="shared" si="44"/>
      </c>
      <c r="F156" s="120" cm="1">
        <f t="array" ref="F156:F156">_xlfn.XLOOKUP(B156&amp;S156,'气-价格-毛利'!A:A&amp;'气-价格-毛利'!B:B,'气-价格-毛利'!C:C,0)</f>
      </c>
      <c r="G156" s="121">
        <f>C156*10</f>
      </c>
      <c r="H156" s="121"/>
      <c r="I156" s="121">
        <f t="shared" si="230"/>
      </c>
      <c r="J156" s="121">
        <f t="shared" si="261"/>
      </c>
      <c r="K156" s="123">
        <f t="shared" si="322"/>
      </c>
      <c r="L156" s="121">
        <f t="shared" si="384"/>
      </c>
      <c r="M156" s="121">
        <f t="shared" si="12"/>
      </c>
      <c r="N156" s="123">
        <f t="shared" si="74"/>
      </c>
      <c r="O156" s="124"/>
      <c r="P156" s="135">
        <f t="shared" si="106"/>
      </c>
      <c r="Q156" s="125">
        <f t="shared" si="136"/>
      </c>
      <c r="R156" s="125">
        <f t="shared" si="198"/>
      </c>
      <c r="S156" s="123" t="s">
        <v>223</v>
      </c>
    </row>
    <row customHeight="true" ht="23.703703703703702" r="157">
      <c r="A157" s="133">
        <v>45941</v>
      </c>
      <c r="B157" s="119" t="s">
        <v>214</v>
      </c>
      <c r="C157" s="119">
        <v>0</v>
      </c>
      <c r="D157" s="134" cm="1">
        <f t="array" ref="D157:D157">_xlfn.XLOOKUP(B157&amp;S157,'气-价格-毛利'!A:A&amp;'气-价格-毛利'!B:B,'气-价格-毛利'!D:D,0)</f>
      </c>
      <c r="E157" s="121">
        <f t="shared" si="44"/>
      </c>
      <c r="F157" s="120" cm="1">
        <f t="array" ref="F157:F157">_xlfn.XLOOKUP(B157&amp;S157,'气-价格-毛利'!A:A&amp;'气-价格-毛利'!B:B,'气-价格-毛利'!C:C,0)</f>
      </c>
      <c r="G157" s="121">
        <f>C157*8</f>
      </c>
      <c r="H157" s="121"/>
      <c r="I157" s="121">
        <f t="shared" si="230"/>
      </c>
      <c r="J157" s="121">
        <f t="shared" si="261"/>
      </c>
      <c r="K157" s="123">
        <f t="shared" si="322"/>
      </c>
      <c r="L157" s="121">
        <f t="shared" si="384"/>
      </c>
      <c r="M157" s="121">
        <f t="shared" si="12"/>
      </c>
      <c r="N157" s="123">
        <f t="shared" si="74"/>
      </c>
      <c r="O157" s="135"/>
      <c r="P157" s="135">
        <f t="shared" si="106"/>
      </c>
      <c r="Q157" s="125">
        <f t="shared" si="136"/>
      </c>
      <c r="R157" s="125">
        <f t="shared" si="198"/>
      </c>
      <c r="S157" s="123" t="s">
        <v>221</v>
      </c>
    </row>
    <row customHeight="true" ht="23.703703703703702" r="158">
      <c r="A158" s="133">
        <v>45941</v>
      </c>
      <c r="B158" s="119" t="s">
        <v>214</v>
      </c>
      <c r="C158" s="119">
        <v>1</v>
      </c>
      <c r="D158" s="134" cm="1">
        <f t="array" ref="D158:D158">_xlfn.XLOOKUP(B158&amp;S158,'气-价格-毛利'!A:A&amp;'气-价格-毛利'!B:B,'气-价格-毛利'!D:D,0)</f>
      </c>
      <c r="E158" s="121">
        <f t="shared" si="44"/>
      </c>
      <c r="F158" s="120" cm="1">
        <f t="array" ref="F158:F158">_xlfn.XLOOKUP(B158&amp;S158,'气-价格-毛利'!A:A&amp;'气-价格-毛利'!B:B,'气-价格-毛利'!C:C,0)</f>
      </c>
      <c r="G158" s="121">
        <f>C158*10</f>
      </c>
      <c r="H158" s="121"/>
      <c r="I158" s="121">
        <f t="shared" si="230"/>
      </c>
      <c r="J158" s="121">
        <f t="shared" si="261"/>
      </c>
      <c r="K158" s="123">
        <f t="shared" si="322"/>
      </c>
      <c r="L158" s="121">
        <f t="shared" si="384"/>
      </c>
      <c r="M158" s="121">
        <f t="shared" si="12"/>
      </c>
      <c r="N158" s="123">
        <f t="shared" si="74"/>
      </c>
      <c r="O158" s="135"/>
      <c r="P158" s="135">
        <f t="shared" si="106"/>
      </c>
      <c r="Q158" s="125">
        <f t="shared" si="136"/>
      </c>
      <c r="R158" s="125">
        <f t="shared" si="198"/>
      </c>
      <c r="S158" s="123" t="s">
        <v>223</v>
      </c>
    </row>
    <row customHeight="true" ht="23.703703703703702" r="159">
      <c r="A159" s="133">
        <v>45941</v>
      </c>
      <c r="B159" s="119" t="s">
        <v>216</v>
      </c>
      <c r="C159" s="119"/>
      <c r="D159" s="134" cm="1">
        <f t="array" ref="D159:D159">_xlfn.XLOOKUP(B159&amp;S159,'气-价格-毛利'!A:A&amp;'气-价格-毛利'!B:B,'气-价格-毛利'!D:D,0)</f>
      </c>
      <c r="E159" s="121">
        <f t="shared" si="44"/>
      </c>
      <c r="F159" s="120" cm="1">
        <f t="array" ref="F159:F159">_xlfn.XLOOKUP(B159&amp;S159,'气-价格-毛利'!A:A&amp;'气-价格-毛利'!B:B,'气-价格-毛利'!C:C,0)</f>
      </c>
      <c r="G159" s="121">
        <f t="shared" ref="G159:G160" si="168">C159*8</f>
      </c>
      <c r="H159" s="121"/>
      <c r="I159" s="121">
        <f t="shared" si="230"/>
      </c>
      <c r="J159" s="121">
        <f t="shared" si="261"/>
      </c>
      <c r="K159" s="123">
        <f t="shared" si="322"/>
      </c>
      <c r="L159" s="121">
        <f t="shared" ref="L159:L160" si="291">J159*9</f>
      </c>
      <c r="M159" s="121">
        <f t="shared" ref="M159:M160" si="352">E159*9</f>
      </c>
      <c r="N159" s="123">
        <f t="shared" si="74"/>
      </c>
      <c r="O159" s="135"/>
      <c r="P159" s="135">
        <f t="shared" si="106"/>
      </c>
      <c r="Q159" s="125">
        <f t="shared" si="136"/>
      </c>
      <c r="R159" s="125">
        <f t="shared" si="198"/>
      </c>
      <c r="S159" s="125"/>
    </row>
    <row customHeight="true" ht="23.703703703703702" r="160">
      <c r="A160" s="133">
        <v>45941</v>
      </c>
      <c r="B160" s="119" t="s">
        <v>216</v>
      </c>
      <c r="C160" s="119"/>
      <c r="D160" s="134" cm="1">
        <f t="array" ref="D160:D160">_xlfn.XLOOKUP(B160&amp;S160,'气-价格-毛利'!A:A&amp;'气-价格-毛利'!B:B,'气-价格-毛利'!D:D,0)</f>
      </c>
      <c r="E160" s="121">
        <f t="shared" si="44"/>
      </c>
      <c r="F160" s="120" cm="1">
        <f t="array" ref="F160:F160">_xlfn.XLOOKUP(B160&amp;S160,'气-价格-毛利'!A:A&amp;'气-价格-毛利'!B:B,'气-价格-毛利'!C:C,0)</f>
      </c>
      <c r="G160" s="121">
        <f t="shared" si="168"/>
      </c>
      <c r="H160" s="121"/>
      <c r="I160" s="121">
        <f t="shared" si="230"/>
      </c>
      <c r="J160" s="121">
        <f t="shared" si="261"/>
      </c>
      <c r="K160" s="123">
        <f t="shared" si="322"/>
      </c>
      <c r="L160" s="121">
        <f t="shared" si="291"/>
      </c>
      <c r="M160" s="121">
        <f t="shared" si="352"/>
      </c>
      <c r="N160" s="123">
        <f t="shared" si="74"/>
      </c>
      <c r="O160" s="135"/>
      <c r="P160" s="135">
        <f t="shared" si="106"/>
      </c>
      <c r="Q160" s="125">
        <f t="shared" si="136"/>
      </c>
      <c r="R160" s="125">
        <f t="shared" si="198"/>
      </c>
      <c r="S160" s="125"/>
    </row>
    <row customHeight="true" ht="23.703703703703702" r="161">
      <c r="A161" s="133">
        <v>45941</v>
      </c>
      <c r="B161" s="119" t="s">
        <v>217</v>
      </c>
      <c r="C161" s="119"/>
      <c r="D161" s="134" cm="1">
        <f t="array" ref="D161:D161">_xlfn.XLOOKUP(B161&amp;S161,'气-价格-毛利'!A:A&amp;'气-价格-毛利'!B:B,'气-价格-毛利'!D:D,0)</f>
      </c>
      <c r="E161" s="121">
        <f t="shared" si="44"/>
      </c>
      <c r="F161" s="120" cm="1">
        <f t="array" ref="F161:F161">_xlfn.XLOOKUP(B161&amp;S161,'气-价格-毛利'!A:A&amp;'气-价格-毛利'!B:B,'气-价格-毛利'!C:C,0)</f>
      </c>
      <c r="G161" s="121"/>
      <c r="H161" s="121"/>
      <c r="I161" s="121">
        <f t="shared" si="230"/>
      </c>
      <c r="J161" s="121">
        <f>C161*F161-H161-I161</f>
      </c>
      <c r="K161" s="123">
        <f t="shared" si="322"/>
      </c>
      <c r="L161" s="121">
        <f>J161*7</f>
      </c>
      <c r="M161" s="121">
        <f>E161*7</f>
      </c>
      <c r="N161" s="123">
        <f t="shared" si="74"/>
      </c>
      <c r="O161" s="124"/>
      <c r="P161" s="124">
        <f t="shared" si="106"/>
      </c>
      <c r="Q161" s="125">
        <f t="shared" si="136"/>
      </c>
      <c r="R161" s="125"/>
      <c r="S161" s="137"/>
    </row>
    <row customHeight="true" ht="23.703703703703702" r="162">
      <c r="A162" s="133">
        <v>45941</v>
      </c>
      <c r="B162" s="119" t="s">
        <v>191</v>
      </c>
      <c r="C162" s="119">
        <f>SUM(C151:C161)</f>
      </c>
      <c r="D162" s="129"/>
      <c r="E162" s="121">
        <f>SUM(E151:E161)</f>
      </c>
      <c r="F162" s="122">
        <f>SUM(F151:F160)</f>
      </c>
      <c r="G162" s="121"/>
      <c r="H162" s="121"/>
      <c r="I162" s="121"/>
      <c r="J162" s="121">
        <f>SUM(J151:J161)</f>
      </c>
      <c r="K162" s="123">
        <f t="shared" si="322"/>
      </c>
      <c r="L162" s="121">
        <f>SUM(L151:L161)</f>
      </c>
      <c r="M162" s="121">
        <f>SUM(M151:M161)</f>
      </c>
      <c r="N162" s="123"/>
      <c r="O162" s="135">
        <f>SUM(O151:O160)</f>
      </c>
      <c r="P162" s="135">
        <f t="shared" si="106"/>
      </c>
      <c r="Q162" s="125">
        <f t="shared" si="136"/>
      </c>
      <c r="R162" s="125"/>
      <c r="S162" s="129"/>
    </row>
    <row customHeight="true" ht="23.703703703703702" r="163">
      <c r="B163" s="117" t="s">
        <v>218</v>
      </c>
    </row>
    <row customHeight="true" ht="23.703703703703702" r="164">
      <c r="A164" s="111" t="s">
        <v>219</v>
      </c>
      <c r="B164" s="112" t="s">
        <v>192</v>
      </c>
      <c r="C164" s="130" t="s">
        <v>193</v>
      </c>
      <c r="D164" s="112" t="s">
        <v>194</v>
      </c>
      <c r="E164" s="113" t="s">
        <v>195</v>
      </c>
      <c r="F164" s="114" t="s">
        <v>196</v>
      </c>
      <c r="G164" s="113" t="s">
        <v>197</v>
      </c>
      <c r="H164" s="131" t="s">
        <v>198</v>
      </c>
      <c r="I164" s="113" t="s">
        <v>199</v>
      </c>
      <c r="J164" s="113" t="s">
        <v>196</v>
      </c>
      <c r="K164" s="115" t="s">
        <v>200</v>
      </c>
      <c r="L164" s="113" t="s">
        <v>201</v>
      </c>
      <c r="M164" s="113" t="s">
        <v>202</v>
      </c>
      <c r="N164" s="112" t="s">
        <v>203</v>
      </c>
      <c r="O164" s="132" t="s">
        <v>204</v>
      </c>
      <c r="P164" s="116" t="s">
        <v>205</v>
      </c>
      <c r="Q164" s="115" t="s">
        <v>206</v>
      </c>
      <c r="R164" s="115" t="s">
        <v>207</v>
      </c>
      <c r="S164" s="115" t="s">
        <v>220</v>
      </c>
    </row>
    <row customHeight="true" ht="23.703703703703702" r="165">
      <c r="A165" s="133">
        <v>45942</v>
      </c>
      <c r="B165" s="119" t="s">
        <v>210</v>
      </c>
      <c r="C165" s="119">
        <v>0</v>
      </c>
      <c r="D165" s="134" cm="1">
        <f t="array" ref="D165:D165">_xlfn.XLOOKUP(B165&amp;S165,'气-价格-毛利'!A:A&amp;'气-价格-毛利'!B:B,'气-价格-毛利'!D:D,0)</f>
      </c>
      <c r="E165" s="121">
        <f t="shared" ref="E165:E175" si="45">C165*D165</f>
      </c>
      <c r="F165" s="120" cm="1">
        <f t="array" ref="F165:F165">_xlfn.XLOOKUP(B165&amp;S165,'气-价格-毛利'!A:A&amp;'气-价格-毛利'!B:B,'气-价格-毛利'!C:C,0)</f>
      </c>
      <c r="G165" s="121">
        <f>C165*8</f>
      </c>
      <c r="H165" s="121"/>
      <c r="I165" s="121">
        <f t="shared" ref="I165:I175" si="231">E165*0.025</f>
      </c>
      <c r="J165" s="121">
        <f t="shared" ref="J165:J174" si="262">F165*C165+G165-H165-I165</f>
      </c>
      <c r="K165" s="123">
        <f t="shared" ref="K165:K176" si="323">IFERROR(J165/E165,0)</f>
      </c>
      <c r="L165" s="121">
        <f t="shared" ref="L165:L172" si="385">J165*8</f>
      </c>
      <c r="M165" s="121">
        <f t="shared" ref="M165:M172" si="13">E165*8</f>
      </c>
      <c r="N165" s="123">
        <f t="shared" ref="N165:N175" si="75">IFERROR(H165/E165,0)</f>
      </c>
      <c r="O165" s="135"/>
      <c r="P165" s="135">
        <f t="shared" ref="P165:P176" si="107">C165-O165</f>
      </c>
      <c r="Q165" s="125">
        <f t="shared" ref="Q165:Q176" si="137">IFERROR(O165/C165,0)</f>
      </c>
      <c r="R165" s="125">
        <f t="shared" ref="R165:R174" si="199">IFERROR(H165/(E165*Q165),0)</f>
      </c>
      <c r="S165" s="123" t="s">
        <v>221</v>
      </c>
    </row>
    <row customHeight="true" ht="23.703703703703702" r="166">
      <c r="A166" s="133">
        <v>45942</v>
      </c>
      <c r="B166" s="119" t="s">
        <v>210</v>
      </c>
      <c r="C166" s="119">
        <v>0</v>
      </c>
      <c r="D166" s="134" cm="1">
        <f t="array" ref="D166:D166">_xlfn.XLOOKUP(B166&amp;S166,'气-价格-毛利'!A:A&amp;'气-价格-毛利'!B:B,'气-价格-毛利'!D:D,0)</f>
      </c>
      <c r="E166" s="121">
        <f t="shared" si="45"/>
      </c>
      <c r="F166" s="120" cm="1">
        <f t="array" ref="F166:F166">_xlfn.XLOOKUP(B166&amp;S166,'气-价格-毛利'!A:A&amp;'气-价格-毛利'!B:B,'气-价格-毛利'!C:C,0)</f>
      </c>
      <c r="G166" s="121">
        <f>C166*10</f>
      </c>
      <c r="H166" s="121"/>
      <c r="I166" s="121">
        <f t="shared" si="231"/>
      </c>
      <c r="J166" s="121">
        <f t="shared" si="262"/>
      </c>
      <c r="K166" s="123">
        <f t="shared" si="323"/>
      </c>
      <c r="L166" s="121">
        <f t="shared" si="385"/>
      </c>
      <c r="M166" s="121">
        <f t="shared" si="13"/>
      </c>
      <c r="N166" s="123">
        <f t="shared" si="75"/>
      </c>
      <c r="O166" s="124"/>
      <c r="P166" s="135">
        <f t="shared" si="107"/>
      </c>
      <c r="Q166" s="125">
        <f t="shared" si="137"/>
      </c>
      <c r="R166" s="125">
        <f t="shared" si="199"/>
      </c>
      <c r="S166" s="123" t="s">
        <v>223</v>
      </c>
    </row>
    <row customHeight="true" ht="23.703703703703702" r="167">
      <c r="A167" s="133">
        <v>45942</v>
      </c>
      <c r="B167" s="119" t="s">
        <v>211</v>
      </c>
      <c r="C167" s="119">
        <v>0</v>
      </c>
      <c r="D167" s="134" cm="1">
        <f t="array" ref="D167:D167">_xlfn.XLOOKUP(B167&amp;S167,'气-价格-毛利'!A:A&amp;'气-价格-毛利'!B:B,'气-价格-毛利'!D:D,0)</f>
      </c>
      <c r="E167" s="121">
        <f t="shared" si="45"/>
      </c>
      <c r="F167" s="120" cm="1">
        <f t="array" ref="F167:F167">_xlfn.XLOOKUP(B167&amp;S167,'气-价格-毛利'!A:A&amp;'气-价格-毛利'!B:B,'气-价格-毛利'!C:C,0)</f>
      </c>
      <c r="G167" s="121">
        <f>C167*8</f>
      </c>
      <c r="H167" s="121"/>
      <c r="I167" s="121">
        <f t="shared" si="231"/>
      </c>
      <c r="J167" s="121">
        <f t="shared" si="262"/>
      </c>
      <c r="K167" s="123">
        <f t="shared" si="323"/>
      </c>
      <c r="L167" s="121">
        <f t="shared" si="385"/>
      </c>
      <c r="M167" s="121">
        <f t="shared" si="13"/>
      </c>
      <c r="N167" s="123">
        <f t="shared" si="75"/>
      </c>
      <c r="O167" s="135"/>
      <c r="P167" s="135">
        <f t="shared" si="107"/>
      </c>
      <c r="Q167" s="125">
        <f t="shared" si="137"/>
      </c>
      <c r="R167" s="125">
        <f t="shared" si="199"/>
      </c>
      <c r="S167" s="123" t="s">
        <v>221</v>
      </c>
    </row>
    <row customHeight="true" ht="23.703703703703702" r="168">
      <c r="A168" s="133">
        <v>45942</v>
      </c>
      <c r="B168" s="119" t="s">
        <v>211</v>
      </c>
      <c r="C168" s="119">
        <v>1</v>
      </c>
      <c r="D168" s="134" cm="1">
        <f t="array" ref="D168:D168">_xlfn.XLOOKUP(B168&amp;S168,'气-价格-毛利'!A:A&amp;'气-价格-毛利'!B:B,'气-价格-毛利'!D:D,0)</f>
      </c>
      <c r="E168" s="121">
        <f t="shared" si="45"/>
      </c>
      <c r="F168" s="120" cm="1">
        <f t="array" ref="F168:F168">_xlfn.XLOOKUP(B168&amp;S168,'气-价格-毛利'!A:A&amp;'气-价格-毛利'!B:B,'气-价格-毛利'!C:C,0)</f>
      </c>
      <c r="G168" s="121">
        <f>C168*10</f>
      </c>
      <c r="H168" s="121"/>
      <c r="I168" s="121">
        <f t="shared" si="231"/>
      </c>
      <c r="J168" s="121">
        <f t="shared" si="262"/>
      </c>
      <c r="K168" s="123">
        <f t="shared" si="323"/>
      </c>
      <c r="L168" s="121">
        <f t="shared" si="385"/>
      </c>
      <c r="M168" s="121">
        <f t="shared" si="13"/>
      </c>
      <c r="N168" s="123">
        <f t="shared" si="75"/>
      </c>
      <c r="O168" s="135"/>
      <c r="P168" s="135">
        <f t="shared" si="107"/>
      </c>
      <c r="Q168" s="125">
        <f t="shared" si="137"/>
      </c>
      <c r="R168" s="125">
        <f t="shared" si="199"/>
      </c>
      <c r="S168" s="123" t="s">
        <v>223</v>
      </c>
    </row>
    <row customHeight="true" ht="23.703703703703702" r="169">
      <c r="A169" s="133">
        <v>45942</v>
      </c>
      <c r="B169" s="119" t="s">
        <v>213</v>
      </c>
      <c r="C169" s="119">
        <v>0</v>
      </c>
      <c r="D169" s="134" cm="1">
        <f t="array" ref="D169:D169">_xlfn.XLOOKUP(B169&amp;S169,'气-价格-毛利'!A:A&amp;'气-价格-毛利'!B:B,'气-价格-毛利'!D:D,0)</f>
      </c>
      <c r="E169" s="121">
        <f t="shared" si="45"/>
      </c>
      <c r="F169" s="120" cm="1">
        <f t="array" ref="F169:F169">_xlfn.XLOOKUP(B169&amp;S169,'气-价格-毛利'!A:A&amp;'气-价格-毛利'!B:B,'气-价格-毛利'!C:C,0)</f>
      </c>
      <c r="G169" s="121">
        <f>C169*8</f>
      </c>
      <c r="H169" s="121"/>
      <c r="I169" s="121">
        <f t="shared" si="231"/>
      </c>
      <c r="J169" s="121">
        <f t="shared" si="262"/>
      </c>
      <c r="K169" s="123">
        <f t="shared" si="323"/>
      </c>
      <c r="L169" s="121">
        <f t="shared" si="385"/>
      </c>
      <c r="M169" s="121">
        <f t="shared" si="13"/>
      </c>
      <c r="N169" s="123">
        <f t="shared" si="75"/>
      </c>
      <c r="O169" s="135"/>
      <c r="P169" s="135">
        <f t="shared" si="107"/>
      </c>
      <c r="Q169" s="125">
        <f t="shared" si="137"/>
      </c>
      <c r="R169" s="125">
        <f t="shared" si="199"/>
      </c>
      <c r="S169" s="123" t="s">
        <v>221</v>
      </c>
    </row>
    <row customHeight="true" ht="23.703703703703702" r="170">
      <c r="A170" s="133">
        <v>45942</v>
      </c>
      <c r="B170" s="119" t="s">
        <v>213</v>
      </c>
      <c r="C170" s="119">
        <v>2</v>
      </c>
      <c r="D170" s="134" cm="1">
        <f t="array" ref="D170:D170">_xlfn.XLOOKUP(B170&amp;S170,'气-价格-毛利'!A:A&amp;'气-价格-毛利'!B:B,'气-价格-毛利'!D:D,0)</f>
      </c>
      <c r="E170" s="121">
        <f t="shared" si="45"/>
      </c>
      <c r="F170" s="120" cm="1">
        <f t="array" ref="F170:F170">_xlfn.XLOOKUP(B170&amp;S170,'气-价格-毛利'!A:A&amp;'气-价格-毛利'!B:B,'气-价格-毛利'!C:C,0)</f>
      </c>
      <c r="G170" s="121">
        <f>C170*10</f>
      </c>
      <c r="H170" s="121"/>
      <c r="I170" s="121">
        <f t="shared" si="231"/>
      </c>
      <c r="J170" s="121">
        <f t="shared" si="262"/>
      </c>
      <c r="K170" s="123">
        <f t="shared" si="323"/>
      </c>
      <c r="L170" s="121">
        <f t="shared" si="385"/>
      </c>
      <c r="M170" s="121">
        <f t="shared" si="13"/>
      </c>
      <c r="N170" s="123">
        <f t="shared" si="75"/>
      </c>
      <c r="O170" s="124"/>
      <c r="P170" s="135">
        <f t="shared" si="107"/>
      </c>
      <c r="Q170" s="125">
        <f t="shared" si="137"/>
      </c>
      <c r="R170" s="125">
        <f t="shared" si="199"/>
      </c>
      <c r="S170" s="123" t="s">
        <v>223</v>
      </c>
    </row>
    <row customHeight="true" ht="23.703703703703702" r="171">
      <c r="A171" s="133">
        <v>45942</v>
      </c>
      <c r="B171" s="119" t="s">
        <v>214</v>
      </c>
      <c r="C171" s="119">
        <v>0</v>
      </c>
      <c r="D171" s="134" cm="1">
        <f t="array" ref="D171:D171">_xlfn.XLOOKUP(B171&amp;S171,'气-价格-毛利'!A:A&amp;'气-价格-毛利'!B:B,'气-价格-毛利'!D:D,0)</f>
      </c>
      <c r="E171" s="121">
        <f t="shared" si="45"/>
      </c>
      <c r="F171" s="120" cm="1">
        <f t="array" ref="F171:F171">_xlfn.XLOOKUP(B171&amp;S171,'气-价格-毛利'!A:A&amp;'气-价格-毛利'!B:B,'气-价格-毛利'!C:C,0)</f>
      </c>
      <c r="G171" s="121">
        <f>C171*8</f>
      </c>
      <c r="H171" s="121"/>
      <c r="I171" s="121">
        <f t="shared" si="231"/>
      </c>
      <c r="J171" s="121">
        <f t="shared" si="262"/>
      </c>
      <c r="K171" s="123">
        <f t="shared" si="323"/>
      </c>
      <c r="L171" s="121">
        <f t="shared" si="385"/>
      </c>
      <c r="M171" s="121">
        <f t="shared" si="13"/>
      </c>
      <c r="N171" s="123">
        <f t="shared" si="75"/>
      </c>
      <c r="O171" s="135"/>
      <c r="P171" s="135">
        <f t="shared" si="107"/>
      </c>
      <c r="Q171" s="125">
        <f t="shared" si="137"/>
      </c>
      <c r="R171" s="125">
        <f t="shared" si="199"/>
      </c>
      <c r="S171" s="123" t="s">
        <v>221</v>
      </c>
    </row>
    <row customHeight="true" ht="23.703703703703702" r="172">
      <c r="A172" s="133">
        <v>45942</v>
      </c>
      <c r="B172" s="119" t="s">
        <v>214</v>
      </c>
      <c r="C172" s="119">
        <v>1</v>
      </c>
      <c r="D172" s="134" cm="1">
        <f t="array" ref="D172:D172">_xlfn.XLOOKUP(B172&amp;S172,'气-价格-毛利'!A:A&amp;'气-价格-毛利'!B:B,'气-价格-毛利'!D:D,0)</f>
      </c>
      <c r="E172" s="121">
        <f t="shared" si="45"/>
      </c>
      <c r="F172" s="120" cm="1">
        <f t="array" ref="F172:F172">_xlfn.XLOOKUP(B172&amp;S172,'气-价格-毛利'!A:A&amp;'气-价格-毛利'!B:B,'气-价格-毛利'!C:C,0)</f>
      </c>
      <c r="G172" s="121">
        <f>C172*10</f>
      </c>
      <c r="H172" s="121"/>
      <c r="I172" s="121">
        <f t="shared" si="231"/>
      </c>
      <c r="J172" s="121">
        <f t="shared" si="262"/>
      </c>
      <c r="K172" s="123">
        <f t="shared" si="323"/>
      </c>
      <c r="L172" s="121">
        <f t="shared" si="385"/>
      </c>
      <c r="M172" s="121">
        <f t="shared" si="13"/>
      </c>
      <c r="N172" s="123">
        <f t="shared" si="75"/>
      </c>
      <c r="O172" s="135"/>
      <c r="P172" s="135">
        <f t="shared" si="107"/>
      </c>
      <c r="Q172" s="125">
        <f t="shared" si="137"/>
      </c>
      <c r="R172" s="125">
        <f t="shared" si="199"/>
      </c>
      <c r="S172" s="123" t="s">
        <v>223</v>
      </c>
    </row>
    <row customHeight="true" ht="23.703703703703702" r="173">
      <c r="A173" s="133">
        <v>45942</v>
      </c>
      <c r="B173" s="119" t="s">
        <v>216</v>
      </c>
      <c r="C173" s="119"/>
      <c r="D173" s="134" cm="1">
        <f t="array" ref="D173:D173">_xlfn.XLOOKUP(B173&amp;S173,'气-价格-毛利'!A:A&amp;'气-价格-毛利'!B:B,'气-价格-毛利'!D:D,0)</f>
      </c>
      <c r="E173" s="121">
        <f t="shared" si="45"/>
      </c>
      <c r="F173" s="120" cm="1">
        <f t="array" ref="F173:F173">_xlfn.XLOOKUP(B173&amp;S173,'气-价格-毛利'!A:A&amp;'气-价格-毛利'!B:B,'气-价格-毛利'!C:C,0)</f>
      </c>
      <c r="G173" s="121">
        <f t="shared" ref="G173:G174" si="169">C173*8</f>
      </c>
      <c r="H173" s="121"/>
      <c r="I173" s="121">
        <f t="shared" si="231"/>
      </c>
      <c r="J173" s="121">
        <f t="shared" si="262"/>
      </c>
      <c r="K173" s="123">
        <f t="shared" si="323"/>
      </c>
      <c r="L173" s="121">
        <f t="shared" ref="L173:L174" si="292">J173*9</f>
      </c>
      <c r="M173" s="121">
        <f t="shared" ref="M173:M174" si="353">E173*9</f>
      </c>
      <c r="N173" s="123">
        <f t="shared" si="75"/>
      </c>
      <c r="O173" s="135"/>
      <c r="P173" s="135">
        <f t="shared" si="107"/>
      </c>
      <c r="Q173" s="125">
        <f t="shared" si="137"/>
      </c>
      <c r="R173" s="125">
        <f t="shared" si="199"/>
      </c>
      <c r="S173" s="125"/>
    </row>
    <row customHeight="true" ht="23.703703703703702" r="174">
      <c r="A174" s="133">
        <v>45942</v>
      </c>
      <c r="B174" s="119" t="s">
        <v>216</v>
      </c>
      <c r="C174" s="119"/>
      <c r="D174" s="134" cm="1">
        <f t="array" ref="D174:D174">_xlfn.XLOOKUP(B174&amp;S174,'气-价格-毛利'!A:A&amp;'气-价格-毛利'!B:B,'气-价格-毛利'!D:D,0)</f>
      </c>
      <c r="E174" s="121">
        <f t="shared" si="45"/>
      </c>
      <c r="F174" s="120" cm="1">
        <f t="array" ref="F174:F174">_xlfn.XLOOKUP(B174&amp;S174,'气-价格-毛利'!A:A&amp;'气-价格-毛利'!B:B,'气-价格-毛利'!C:C,0)</f>
      </c>
      <c r="G174" s="121">
        <f t="shared" si="169"/>
      </c>
      <c r="H174" s="121"/>
      <c r="I174" s="121">
        <f t="shared" si="231"/>
      </c>
      <c r="J174" s="121">
        <f t="shared" si="262"/>
      </c>
      <c r="K174" s="123">
        <f t="shared" si="323"/>
      </c>
      <c r="L174" s="121">
        <f t="shared" si="292"/>
      </c>
      <c r="M174" s="121">
        <f t="shared" si="353"/>
      </c>
      <c r="N174" s="123">
        <f t="shared" si="75"/>
      </c>
      <c r="O174" s="135"/>
      <c r="P174" s="135">
        <f t="shared" si="107"/>
      </c>
      <c r="Q174" s="125">
        <f t="shared" si="137"/>
      </c>
      <c r="R174" s="125">
        <f t="shared" si="199"/>
      </c>
      <c r="S174" s="125"/>
    </row>
    <row customHeight="true" ht="23.703703703703702" r="175">
      <c r="A175" s="133">
        <v>45942</v>
      </c>
      <c r="B175" s="119" t="s">
        <v>217</v>
      </c>
      <c r="C175" s="119"/>
      <c r="D175" s="134" cm="1">
        <f t="array" ref="D175:D175">_xlfn.XLOOKUP(B175&amp;S175,'气-价格-毛利'!A:A&amp;'气-价格-毛利'!B:B,'气-价格-毛利'!D:D,0)</f>
      </c>
      <c r="E175" s="121">
        <f t="shared" si="45"/>
      </c>
      <c r="F175" s="120" cm="1">
        <f t="array" ref="F175:F175">_xlfn.XLOOKUP(B175&amp;S175,'气-价格-毛利'!A:A&amp;'气-价格-毛利'!B:B,'气-价格-毛利'!C:C,0)</f>
      </c>
      <c r="G175" s="121"/>
      <c r="H175" s="121"/>
      <c r="I175" s="121">
        <f t="shared" si="231"/>
      </c>
      <c r="J175" s="121">
        <f>C175*F175-H175-I175</f>
      </c>
      <c r="K175" s="123">
        <f t="shared" si="323"/>
      </c>
      <c r="L175" s="121">
        <f>J175*7</f>
      </c>
      <c r="M175" s="121">
        <f>E175*7</f>
      </c>
      <c r="N175" s="123">
        <f t="shared" si="75"/>
      </c>
      <c r="O175" s="124"/>
      <c r="P175" s="124">
        <f t="shared" si="107"/>
      </c>
      <c r="Q175" s="125">
        <f t="shared" si="137"/>
      </c>
      <c r="R175" s="125"/>
      <c r="S175" s="137"/>
    </row>
    <row customHeight="true" ht="23.703703703703702" r="176">
      <c r="A176" s="133">
        <v>45942</v>
      </c>
      <c r="B176" s="119" t="s">
        <v>191</v>
      </c>
      <c r="C176" s="119">
        <f>SUM(C165:C175)</f>
      </c>
      <c r="D176" s="129"/>
      <c r="E176" s="121">
        <f>SUM(E165:E175)</f>
      </c>
      <c r="F176" s="122">
        <f>SUM(F165:F174)</f>
      </c>
      <c r="G176" s="121"/>
      <c r="H176" s="121"/>
      <c r="I176" s="121"/>
      <c r="J176" s="121">
        <f>SUM(J165:J175)</f>
      </c>
      <c r="K176" s="123">
        <f t="shared" si="323"/>
      </c>
      <c r="L176" s="121">
        <f>SUM(L165:L175)</f>
      </c>
      <c r="M176" s="121">
        <f>SUM(M165:M175)</f>
      </c>
      <c r="N176" s="123"/>
      <c r="O176" s="135">
        <f>SUM(O165:O174)</f>
      </c>
      <c r="P176" s="135">
        <f t="shared" si="107"/>
      </c>
      <c r="Q176" s="125">
        <f t="shared" si="137"/>
      </c>
      <c r="R176" s="125"/>
      <c r="S176" s="129"/>
    </row>
    <row customHeight="true" ht="23.703703703703702" r="177">
      <c r="B177" s="117" t="s">
        <v>218</v>
      </c>
    </row>
    <row customHeight="true" ht="23.703703703703702" r="178">
      <c r="A178" s="111" t="s">
        <v>219</v>
      </c>
      <c r="B178" s="112" t="s">
        <v>192</v>
      </c>
      <c r="C178" s="130" t="s">
        <v>193</v>
      </c>
      <c r="D178" s="112" t="s">
        <v>194</v>
      </c>
      <c r="E178" s="113" t="s">
        <v>195</v>
      </c>
      <c r="F178" s="114" t="s">
        <v>196</v>
      </c>
      <c r="G178" s="113" t="s">
        <v>197</v>
      </c>
      <c r="H178" s="131" t="s">
        <v>198</v>
      </c>
      <c r="I178" s="113" t="s">
        <v>199</v>
      </c>
      <c r="J178" s="113" t="s">
        <v>196</v>
      </c>
      <c r="K178" s="115" t="s">
        <v>200</v>
      </c>
      <c r="L178" s="113" t="s">
        <v>201</v>
      </c>
      <c r="M178" s="113" t="s">
        <v>202</v>
      </c>
      <c r="N178" s="112" t="s">
        <v>203</v>
      </c>
      <c r="O178" s="132" t="s">
        <v>204</v>
      </c>
      <c r="P178" s="116" t="s">
        <v>205</v>
      </c>
      <c r="Q178" s="115" t="s">
        <v>206</v>
      </c>
      <c r="R178" s="115" t="s">
        <v>207</v>
      </c>
      <c r="S178" s="115" t="s">
        <v>220</v>
      </c>
    </row>
    <row customHeight="true" ht="23.703703703703702" r="179">
      <c r="A179" s="133">
        <v>45943</v>
      </c>
      <c r="B179" s="119" t="s">
        <v>210</v>
      </c>
      <c r="C179" s="119">
        <v>0</v>
      </c>
      <c r="D179" s="134" cm="1">
        <f t="array" ref="D179:D179">_xlfn.XLOOKUP(B179&amp;S179,'气-价格-毛利'!A:A&amp;'气-价格-毛利'!B:B,'气-价格-毛利'!D:D,0)</f>
      </c>
      <c r="E179" s="121">
        <f t="shared" ref="E179:E189" si="46">C179*D179</f>
      </c>
      <c r="F179" s="120" cm="1">
        <f t="array" ref="F179:F179">_xlfn.XLOOKUP(B179&amp;S179,'气-价格-毛利'!A:A&amp;'气-价格-毛利'!B:B,'气-价格-毛利'!C:C,0)</f>
      </c>
      <c r="G179" s="121">
        <f>C179*8</f>
      </c>
      <c r="H179" s="121"/>
      <c r="I179" s="121">
        <f t="shared" ref="I179:I189" si="232">E179*0.025</f>
      </c>
      <c r="J179" s="121">
        <f t="shared" ref="J179:J188" si="263">F179*C179+G179-H179-I179</f>
      </c>
      <c r="K179" s="123">
        <f t="shared" ref="K179:K190" si="324">IFERROR(J179/E179,0)</f>
      </c>
      <c r="L179" s="121">
        <f t="shared" ref="L179:L186" si="386">J179*8</f>
      </c>
      <c r="M179" s="121">
        <f t="shared" ref="M179:M186" si="14">E179*8</f>
      </c>
      <c r="N179" s="123">
        <f t="shared" ref="N179:N189" si="76">IFERROR(H179/E179,0)</f>
      </c>
      <c r="O179" s="135"/>
      <c r="P179" s="135">
        <f t="shared" ref="P179:P190" si="108">C179-O179</f>
      </c>
      <c r="Q179" s="125">
        <f t="shared" ref="Q179:Q190" si="138">IFERROR(O179/C179,0)</f>
      </c>
      <c r="R179" s="125">
        <f t="shared" ref="R179:R188" si="200">IFERROR(H179/(E179*Q179),0)</f>
      </c>
      <c r="S179" s="123" t="s">
        <v>221</v>
      </c>
    </row>
    <row customHeight="true" ht="23.703703703703702" r="180">
      <c r="A180" s="133">
        <v>45943</v>
      </c>
      <c r="B180" s="119" t="s">
        <v>210</v>
      </c>
      <c r="C180" s="119">
        <v>0</v>
      </c>
      <c r="D180" s="134" cm="1">
        <f t="array" ref="D180:D180">_xlfn.XLOOKUP(B180&amp;S180,'气-价格-毛利'!A:A&amp;'气-价格-毛利'!B:B,'气-价格-毛利'!D:D,0)</f>
      </c>
      <c r="E180" s="121">
        <f t="shared" si="46"/>
      </c>
      <c r="F180" s="120" cm="1">
        <f t="array" ref="F180:F180">_xlfn.XLOOKUP(B180&amp;S180,'气-价格-毛利'!A:A&amp;'气-价格-毛利'!B:B,'气-价格-毛利'!C:C,0)</f>
      </c>
      <c r="G180" s="121">
        <f>C180*10</f>
      </c>
      <c r="H180" s="121"/>
      <c r="I180" s="121">
        <f t="shared" si="232"/>
      </c>
      <c r="J180" s="121">
        <f t="shared" si="263"/>
      </c>
      <c r="K180" s="123">
        <f t="shared" si="324"/>
      </c>
      <c r="L180" s="121">
        <f t="shared" si="386"/>
      </c>
      <c r="M180" s="121">
        <f t="shared" si="14"/>
      </c>
      <c r="N180" s="123">
        <f t="shared" si="76"/>
      </c>
      <c r="O180" s="124"/>
      <c r="P180" s="135">
        <f t="shared" si="108"/>
      </c>
      <c r="Q180" s="125">
        <f t="shared" si="138"/>
      </c>
      <c r="R180" s="125">
        <f t="shared" si="200"/>
      </c>
      <c r="S180" s="123" t="s">
        <v>223</v>
      </c>
    </row>
    <row customHeight="true" ht="23.703703703703702" r="181">
      <c r="A181" s="133">
        <v>45943</v>
      </c>
      <c r="B181" s="119" t="s">
        <v>211</v>
      </c>
      <c r="C181" s="119">
        <v>0</v>
      </c>
      <c r="D181" s="134" cm="1">
        <f t="array" ref="D181:D181">_xlfn.XLOOKUP(B181&amp;S181,'气-价格-毛利'!A:A&amp;'气-价格-毛利'!B:B,'气-价格-毛利'!D:D,0)</f>
      </c>
      <c r="E181" s="121">
        <f t="shared" si="46"/>
      </c>
      <c r="F181" s="120" cm="1">
        <f t="array" ref="F181:F181">_xlfn.XLOOKUP(B181&amp;S181,'气-价格-毛利'!A:A&amp;'气-价格-毛利'!B:B,'气-价格-毛利'!C:C,0)</f>
      </c>
      <c r="G181" s="121">
        <f>C181*8</f>
      </c>
      <c r="H181" s="121"/>
      <c r="I181" s="121">
        <f t="shared" si="232"/>
      </c>
      <c r="J181" s="121">
        <f t="shared" si="263"/>
      </c>
      <c r="K181" s="123">
        <f t="shared" si="324"/>
      </c>
      <c r="L181" s="121">
        <f t="shared" si="386"/>
      </c>
      <c r="M181" s="121">
        <f t="shared" si="14"/>
      </c>
      <c r="N181" s="123">
        <f t="shared" si="76"/>
      </c>
      <c r="O181" s="135"/>
      <c r="P181" s="135">
        <f t="shared" si="108"/>
      </c>
      <c r="Q181" s="125">
        <f t="shared" si="138"/>
      </c>
      <c r="R181" s="125">
        <f t="shared" si="200"/>
      </c>
      <c r="S181" s="123" t="s">
        <v>221</v>
      </c>
    </row>
    <row customHeight="true" ht="23.703703703703702" r="182">
      <c r="A182" s="133">
        <v>45943</v>
      </c>
      <c r="B182" s="119" t="s">
        <v>211</v>
      </c>
      <c r="C182" s="119">
        <v>0</v>
      </c>
      <c r="D182" s="134" cm="1">
        <f t="array" ref="D182:D182">_xlfn.XLOOKUP(B182&amp;S182,'气-价格-毛利'!A:A&amp;'气-价格-毛利'!B:B,'气-价格-毛利'!D:D,0)</f>
      </c>
      <c r="E182" s="121">
        <f t="shared" si="46"/>
      </c>
      <c r="F182" s="120" cm="1">
        <f t="array" ref="F182:F182">_xlfn.XLOOKUP(B182&amp;S182,'气-价格-毛利'!A:A&amp;'气-价格-毛利'!B:B,'气-价格-毛利'!C:C,0)</f>
      </c>
      <c r="G182" s="121">
        <f>C182*10</f>
      </c>
      <c r="H182" s="121"/>
      <c r="I182" s="121">
        <f t="shared" si="232"/>
      </c>
      <c r="J182" s="121">
        <f t="shared" si="263"/>
      </c>
      <c r="K182" s="123">
        <f t="shared" si="324"/>
      </c>
      <c r="L182" s="121">
        <f t="shared" si="386"/>
      </c>
      <c r="M182" s="121">
        <f t="shared" si="14"/>
      </c>
      <c r="N182" s="123">
        <f t="shared" si="76"/>
      </c>
      <c r="O182" s="135"/>
      <c r="P182" s="135">
        <f t="shared" si="108"/>
      </c>
      <c r="Q182" s="125">
        <f t="shared" si="138"/>
      </c>
      <c r="R182" s="125">
        <f t="shared" si="200"/>
      </c>
      <c r="S182" s="123" t="s">
        <v>223</v>
      </c>
    </row>
    <row customHeight="true" ht="23.703703703703702" r="183">
      <c r="A183" s="133">
        <v>45943</v>
      </c>
      <c r="B183" s="119" t="s">
        <v>213</v>
      </c>
      <c r="C183" s="119">
        <v>2</v>
      </c>
      <c r="D183" s="134" cm="1">
        <f t="array" ref="D183:D183">_xlfn.XLOOKUP(B183&amp;S183,'气-价格-毛利'!A:A&amp;'气-价格-毛利'!B:B,'气-价格-毛利'!D:D,0)</f>
      </c>
      <c r="E183" s="121">
        <f t="shared" si="46"/>
      </c>
      <c r="F183" s="120" cm="1">
        <f t="array" ref="F183:F183">_xlfn.XLOOKUP(B183&amp;S183,'气-价格-毛利'!A:A&amp;'气-价格-毛利'!B:B,'气-价格-毛利'!C:C,0)</f>
      </c>
      <c r="G183" s="121">
        <f>C183*8</f>
      </c>
      <c r="H183" s="121"/>
      <c r="I183" s="121">
        <f t="shared" si="232"/>
      </c>
      <c r="J183" s="121">
        <f t="shared" si="263"/>
      </c>
      <c r="K183" s="123">
        <f t="shared" si="324"/>
      </c>
      <c r="L183" s="121">
        <f t="shared" si="386"/>
      </c>
      <c r="M183" s="121">
        <f t="shared" si="14"/>
      </c>
      <c r="N183" s="123">
        <f t="shared" si="76"/>
      </c>
      <c r="O183" s="135"/>
      <c r="P183" s="135">
        <f t="shared" si="108"/>
      </c>
      <c r="Q183" s="125">
        <f t="shared" si="138"/>
      </c>
      <c r="R183" s="125">
        <f t="shared" si="200"/>
      </c>
      <c r="S183" s="123" t="s">
        <v>221</v>
      </c>
    </row>
    <row customHeight="true" ht="23.703703703703702" r="184">
      <c r="A184" s="133">
        <v>45943</v>
      </c>
      <c r="B184" s="119" t="s">
        <v>213</v>
      </c>
      <c r="C184" s="119">
        <v>2</v>
      </c>
      <c r="D184" s="134" cm="1">
        <f t="array" ref="D184:D184">_xlfn.XLOOKUP(B184&amp;S184,'气-价格-毛利'!A:A&amp;'气-价格-毛利'!B:B,'气-价格-毛利'!D:D,0)</f>
      </c>
      <c r="E184" s="121">
        <f t="shared" si="46"/>
      </c>
      <c r="F184" s="120" cm="1">
        <f t="array" ref="F184:F184">_xlfn.XLOOKUP(B184&amp;S184,'气-价格-毛利'!A:A&amp;'气-价格-毛利'!B:B,'气-价格-毛利'!C:C,0)</f>
      </c>
      <c r="G184" s="121">
        <f>C184*10</f>
      </c>
      <c r="H184" s="121"/>
      <c r="I184" s="121">
        <f t="shared" si="232"/>
      </c>
      <c r="J184" s="121">
        <f t="shared" si="263"/>
      </c>
      <c r="K184" s="123">
        <f t="shared" si="324"/>
      </c>
      <c r="L184" s="121">
        <f t="shared" si="386"/>
      </c>
      <c r="M184" s="121">
        <f t="shared" si="14"/>
      </c>
      <c r="N184" s="123">
        <f t="shared" si="76"/>
      </c>
      <c r="O184" s="124"/>
      <c r="P184" s="135">
        <f t="shared" si="108"/>
      </c>
      <c r="Q184" s="125">
        <f t="shared" si="138"/>
      </c>
      <c r="R184" s="125">
        <f t="shared" si="200"/>
      </c>
      <c r="S184" s="123" t="s">
        <v>223</v>
      </c>
    </row>
    <row customHeight="true" ht="23.703703703703702" r="185">
      <c r="A185" s="133">
        <v>45943</v>
      </c>
      <c r="B185" s="119" t="s">
        <v>214</v>
      </c>
      <c r="C185" s="119">
        <v>0</v>
      </c>
      <c r="D185" s="134" cm="1">
        <f t="array" ref="D185:D185">_xlfn.XLOOKUP(B185&amp;S185,'气-价格-毛利'!A:A&amp;'气-价格-毛利'!B:B,'气-价格-毛利'!D:D,0)</f>
      </c>
      <c r="E185" s="121">
        <f t="shared" si="46"/>
      </c>
      <c r="F185" s="120" cm="1">
        <f t="array" ref="F185:F185">_xlfn.XLOOKUP(B185&amp;S185,'气-价格-毛利'!A:A&amp;'气-价格-毛利'!B:B,'气-价格-毛利'!C:C,0)</f>
      </c>
      <c r="G185" s="121">
        <f>C185*8</f>
      </c>
      <c r="H185" s="121"/>
      <c r="I185" s="121">
        <f t="shared" si="232"/>
      </c>
      <c r="J185" s="121">
        <f t="shared" si="263"/>
      </c>
      <c r="K185" s="123">
        <f t="shared" si="324"/>
      </c>
      <c r="L185" s="121">
        <f t="shared" si="386"/>
      </c>
      <c r="M185" s="121">
        <f t="shared" si="14"/>
      </c>
      <c r="N185" s="123">
        <f t="shared" si="76"/>
      </c>
      <c r="O185" s="135"/>
      <c r="P185" s="135">
        <f t="shared" si="108"/>
      </c>
      <c r="Q185" s="125">
        <f t="shared" si="138"/>
      </c>
      <c r="R185" s="125">
        <f t="shared" si="200"/>
      </c>
      <c r="S185" s="123" t="s">
        <v>221</v>
      </c>
    </row>
    <row customHeight="true" ht="23.703703703703702" r="186">
      <c r="A186" s="133">
        <v>45943</v>
      </c>
      <c r="B186" s="119" t="s">
        <v>214</v>
      </c>
      <c r="C186" s="119">
        <v>0</v>
      </c>
      <c r="D186" s="134" cm="1">
        <f t="array" ref="D186:D186">_xlfn.XLOOKUP(B186&amp;S186,'气-价格-毛利'!A:A&amp;'气-价格-毛利'!B:B,'气-价格-毛利'!D:D,0)</f>
      </c>
      <c r="E186" s="121">
        <f t="shared" si="46"/>
      </c>
      <c r="F186" s="120" cm="1">
        <f t="array" ref="F186:F186">_xlfn.XLOOKUP(B186&amp;S186,'气-价格-毛利'!A:A&amp;'气-价格-毛利'!B:B,'气-价格-毛利'!C:C,0)</f>
      </c>
      <c r="G186" s="121">
        <f>C186*10</f>
      </c>
      <c r="H186" s="121"/>
      <c r="I186" s="121">
        <f t="shared" si="232"/>
      </c>
      <c r="J186" s="121">
        <f t="shared" si="263"/>
      </c>
      <c r="K186" s="123">
        <f t="shared" si="324"/>
      </c>
      <c r="L186" s="121">
        <f t="shared" si="386"/>
      </c>
      <c r="M186" s="121">
        <f t="shared" si="14"/>
      </c>
      <c r="N186" s="123">
        <f t="shared" si="76"/>
      </c>
      <c r="O186" s="135"/>
      <c r="P186" s="135">
        <f t="shared" si="108"/>
      </c>
      <c r="Q186" s="125">
        <f t="shared" si="138"/>
      </c>
      <c r="R186" s="125">
        <f t="shared" si="200"/>
      </c>
      <c r="S186" s="123" t="s">
        <v>223</v>
      </c>
    </row>
    <row customHeight="true" ht="23.703703703703702" r="187">
      <c r="A187" s="133">
        <v>45943</v>
      </c>
      <c r="B187" s="119" t="s">
        <v>216</v>
      </c>
      <c r="C187" s="119"/>
      <c r="D187" s="134" cm="1">
        <f t="array" ref="D187:D187">_xlfn.XLOOKUP(B187&amp;S187,'气-价格-毛利'!A:A&amp;'气-价格-毛利'!B:B,'气-价格-毛利'!D:D,0)</f>
      </c>
      <c r="E187" s="121">
        <f t="shared" si="46"/>
      </c>
      <c r="F187" s="120" cm="1">
        <f t="array" ref="F187:F187">_xlfn.XLOOKUP(B187&amp;S187,'气-价格-毛利'!A:A&amp;'气-价格-毛利'!B:B,'气-价格-毛利'!C:C,0)</f>
      </c>
      <c r="G187" s="121">
        <f t="shared" ref="G187:G188" si="170">C187*8</f>
      </c>
      <c r="H187" s="121"/>
      <c r="I187" s="121">
        <f t="shared" si="232"/>
      </c>
      <c r="J187" s="121">
        <f t="shared" si="263"/>
      </c>
      <c r="K187" s="123">
        <f t="shared" si="324"/>
      </c>
      <c r="L187" s="121">
        <f t="shared" ref="L187:L188" si="293">J187*9</f>
      </c>
      <c r="M187" s="121">
        <f t="shared" ref="M187:M188" si="354">E187*9</f>
      </c>
      <c r="N187" s="123">
        <f t="shared" si="76"/>
      </c>
      <c r="O187" s="135"/>
      <c r="P187" s="135">
        <f t="shared" si="108"/>
      </c>
      <c r="Q187" s="125">
        <f t="shared" si="138"/>
      </c>
      <c r="R187" s="125">
        <f t="shared" si="200"/>
      </c>
      <c r="S187" s="125"/>
    </row>
    <row customHeight="true" ht="23.703703703703702" r="188">
      <c r="A188" s="133">
        <v>45943</v>
      </c>
      <c r="B188" s="119" t="s">
        <v>216</v>
      </c>
      <c r="C188" s="119"/>
      <c r="D188" s="134" cm="1">
        <f t="array" ref="D188:D188">_xlfn.XLOOKUP(B188&amp;S188,'气-价格-毛利'!A:A&amp;'气-价格-毛利'!B:B,'气-价格-毛利'!D:D,0)</f>
      </c>
      <c r="E188" s="121">
        <f t="shared" si="46"/>
      </c>
      <c r="F188" s="120" cm="1">
        <f t="array" ref="F188:F188">_xlfn.XLOOKUP(B188&amp;S188,'气-价格-毛利'!A:A&amp;'气-价格-毛利'!B:B,'气-价格-毛利'!C:C,0)</f>
      </c>
      <c r="G188" s="121">
        <f t="shared" si="170"/>
      </c>
      <c r="H188" s="121"/>
      <c r="I188" s="121">
        <f t="shared" si="232"/>
      </c>
      <c r="J188" s="121">
        <f t="shared" si="263"/>
      </c>
      <c r="K188" s="123">
        <f t="shared" si="324"/>
      </c>
      <c r="L188" s="121">
        <f t="shared" si="293"/>
      </c>
      <c r="M188" s="121">
        <f t="shared" si="354"/>
      </c>
      <c r="N188" s="123">
        <f t="shared" si="76"/>
      </c>
      <c r="O188" s="135"/>
      <c r="P188" s="135">
        <f t="shared" si="108"/>
      </c>
      <c r="Q188" s="125">
        <f t="shared" si="138"/>
      </c>
      <c r="R188" s="125">
        <f t="shared" si="200"/>
      </c>
      <c r="S188" s="125"/>
    </row>
    <row customHeight="true" ht="23.703703703703702" r="189">
      <c r="A189" s="133">
        <v>45943</v>
      </c>
      <c r="B189" s="119" t="s">
        <v>217</v>
      </c>
      <c r="C189" s="119"/>
      <c r="D189" s="134" cm="1">
        <f t="array" ref="D189:D189">_xlfn.XLOOKUP(B189&amp;S189,'气-价格-毛利'!A:A&amp;'气-价格-毛利'!B:B,'气-价格-毛利'!D:D,0)</f>
      </c>
      <c r="E189" s="121">
        <f t="shared" si="46"/>
      </c>
      <c r="F189" s="120" cm="1">
        <f t="array" ref="F189:F189">_xlfn.XLOOKUP(B189&amp;S189,'气-价格-毛利'!A:A&amp;'气-价格-毛利'!B:B,'气-价格-毛利'!C:C,0)</f>
      </c>
      <c r="G189" s="121"/>
      <c r="H189" s="121"/>
      <c r="I189" s="121">
        <f t="shared" si="232"/>
      </c>
      <c r="J189" s="121">
        <f>C189*F189-H189-I189</f>
      </c>
      <c r="K189" s="123">
        <f t="shared" si="324"/>
      </c>
      <c r="L189" s="121">
        <f>J189*7</f>
      </c>
      <c r="M189" s="121">
        <f>E189*7</f>
      </c>
      <c r="N189" s="123">
        <f t="shared" si="76"/>
      </c>
      <c r="O189" s="124"/>
      <c r="P189" s="124">
        <f t="shared" si="108"/>
      </c>
      <c r="Q189" s="125">
        <f t="shared" si="138"/>
      </c>
      <c r="R189" s="125"/>
      <c r="S189" s="137"/>
    </row>
    <row customHeight="true" ht="23.703703703703702" r="190">
      <c r="A190" s="133">
        <v>45943</v>
      </c>
      <c r="B190" s="119" t="s">
        <v>191</v>
      </c>
      <c r="C190" s="119">
        <f>SUM(C179:C189)</f>
      </c>
      <c r="D190" s="129"/>
      <c r="E190" s="121">
        <f>SUM(E179:E189)</f>
      </c>
      <c r="F190" s="122">
        <f>SUM(F179:F188)</f>
      </c>
      <c r="G190" s="121"/>
      <c r="H190" s="121"/>
      <c r="I190" s="121"/>
      <c r="J190" s="121">
        <f>SUM(J179:J189)</f>
      </c>
      <c r="K190" s="123">
        <f t="shared" si="324"/>
      </c>
      <c r="L190" s="121">
        <f>SUM(L179:L189)</f>
      </c>
      <c r="M190" s="121">
        <f>SUM(M179:M189)</f>
      </c>
      <c r="N190" s="123"/>
      <c r="O190" s="135">
        <f>SUM(O179:O188)</f>
      </c>
      <c r="P190" s="135">
        <f t="shared" si="108"/>
      </c>
      <c r="Q190" s="125">
        <f t="shared" si="138"/>
      </c>
      <c r="R190" s="125"/>
      <c r="S190" s="129"/>
    </row>
    <row customHeight="true" ht="23.703703703703702" r="191">
      <c r="B191" s="117" t="s">
        <v>218</v>
      </c>
    </row>
    <row customHeight="true" ht="23.703703703703702" r="192">
      <c r="A192" s="111" t="s">
        <v>219</v>
      </c>
      <c r="B192" s="112" t="s">
        <v>192</v>
      </c>
      <c r="C192" s="130" t="s">
        <v>193</v>
      </c>
      <c r="D192" s="112" t="s">
        <v>194</v>
      </c>
      <c r="E192" s="113" t="s">
        <v>195</v>
      </c>
      <c r="F192" s="114" t="s">
        <v>196</v>
      </c>
      <c r="G192" s="113" t="s">
        <v>197</v>
      </c>
      <c r="H192" s="131" t="s">
        <v>198</v>
      </c>
      <c r="I192" s="113" t="s">
        <v>199</v>
      </c>
      <c r="J192" s="113" t="s">
        <v>196</v>
      </c>
      <c r="K192" s="115" t="s">
        <v>200</v>
      </c>
      <c r="L192" s="113" t="s">
        <v>201</v>
      </c>
      <c r="M192" s="113" t="s">
        <v>202</v>
      </c>
      <c r="N192" s="112" t="s">
        <v>203</v>
      </c>
      <c r="O192" s="132" t="s">
        <v>204</v>
      </c>
      <c r="P192" s="116" t="s">
        <v>205</v>
      </c>
      <c r="Q192" s="115" t="s">
        <v>206</v>
      </c>
      <c r="R192" s="115" t="s">
        <v>207</v>
      </c>
      <c r="S192" s="115" t="s">
        <v>220</v>
      </c>
    </row>
    <row customHeight="true" ht="23.703703703703702" r="193">
      <c r="A193" s="133">
        <v>45944</v>
      </c>
      <c r="B193" s="119" t="s">
        <v>210</v>
      </c>
      <c r="C193" s="119">
        <v>0</v>
      </c>
      <c r="D193" s="134" cm="1">
        <f t="array" ref="D193:D193">_xlfn.XLOOKUP(B193&amp;S193,'气-价格-毛利'!A:A&amp;'气-价格-毛利'!B:B,'气-价格-毛利'!D:D,0)</f>
      </c>
      <c r="E193" s="121">
        <f t="shared" ref="E193:E203" si="47">C193*D193</f>
      </c>
      <c r="F193" s="120" cm="1">
        <f t="array" ref="F193:F193">_xlfn.XLOOKUP(B193&amp;S193,'气-价格-毛利'!A:A&amp;'气-价格-毛利'!B:B,'气-价格-毛利'!C:C,0)</f>
      </c>
      <c r="G193" s="121">
        <f>C193*8</f>
      </c>
      <c r="H193" s="121"/>
      <c r="I193" s="121">
        <f t="shared" ref="I193:I203" si="233">E193*0.025</f>
      </c>
      <c r="J193" s="121">
        <f t="shared" ref="J193:J202" si="264">F193*C193+G193-H193-I193</f>
      </c>
      <c r="K193" s="123">
        <f t="shared" ref="K193:K204" si="325">IFERROR(J193/E193,0)</f>
      </c>
      <c r="L193" s="121">
        <f t="shared" ref="L193:L200" si="387">J193*8</f>
      </c>
      <c r="M193" s="121">
        <f t="shared" ref="M193:M200" si="15">E193*8</f>
      </c>
      <c r="N193" s="123">
        <f t="shared" ref="N193:N203" si="77">IFERROR(H193/E193,0)</f>
      </c>
      <c r="O193" s="135"/>
      <c r="P193" s="135">
        <f t="shared" ref="P193:P204" si="109">C193-O193</f>
      </c>
      <c r="Q193" s="125">
        <f t="shared" ref="Q193:Q204" si="139">IFERROR(O193/C193,0)</f>
      </c>
      <c r="R193" s="125">
        <f t="shared" ref="R193:R202" si="201">IFERROR(H193/(E193*Q193),0)</f>
      </c>
      <c r="S193" s="123" t="s">
        <v>221</v>
      </c>
    </row>
    <row customHeight="true" ht="23.703703703703702" r="194">
      <c r="A194" s="133">
        <v>45944</v>
      </c>
      <c r="B194" s="119" t="s">
        <v>210</v>
      </c>
      <c r="C194" s="119">
        <v>0</v>
      </c>
      <c r="D194" s="134" cm="1">
        <f t="array" ref="D194:D194">_xlfn.XLOOKUP(B194&amp;S194,'气-价格-毛利'!A:A&amp;'气-价格-毛利'!B:B,'气-价格-毛利'!D:D,0)</f>
      </c>
      <c r="E194" s="121">
        <f t="shared" si="47"/>
      </c>
      <c r="F194" s="120" cm="1">
        <f t="array" ref="F194:F194">_xlfn.XLOOKUP(B194&amp;S194,'气-价格-毛利'!A:A&amp;'气-价格-毛利'!B:B,'气-价格-毛利'!C:C,0)</f>
      </c>
      <c r="G194" s="121">
        <f>C194*10</f>
      </c>
      <c r="H194" s="121"/>
      <c r="I194" s="121">
        <f t="shared" si="233"/>
      </c>
      <c r="J194" s="121">
        <f t="shared" si="264"/>
      </c>
      <c r="K194" s="123">
        <f t="shared" si="325"/>
      </c>
      <c r="L194" s="121">
        <f t="shared" si="387"/>
      </c>
      <c r="M194" s="121">
        <f t="shared" si="15"/>
      </c>
      <c r="N194" s="123">
        <f t="shared" si="77"/>
      </c>
      <c r="O194" s="124"/>
      <c r="P194" s="135">
        <f t="shared" si="109"/>
      </c>
      <c r="Q194" s="125">
        <f t="shared" si="139"/>
      </c>
      <c r="R194" s="125">
        <f t="shared" si="201"/>
      </c>
      <c r="S194" s="123" t="s">
        <v>223</v>
      </c>
    </row>
    <row customHeight="true" ht="23.703703703703702" r="195">
      <c r="A195" s="133">
        <v>45944</v>
      </c>
      <c r="B195" s="119" t="s">
        <v>211</v>
      </c>
      <c r="C195" s="119">
        <v>0</v>
      </c>
      <c r="D195" s="134" cm="1">
        <f t="array" ref="D195:D195">_xlfn.XLOOKUP(B195&amp;S195,'气-价格-毛利'!A:A&amp;'气-价格-毛利'!B:B,'气-价格-毛利'!D:D,0)</f>
      </c>
      <c r="E195" s="121">
        <f t="shared" si="47"/>
      </c>
      <c r="F195" s="120" cm="1">
        <f t="array" ref="F195:F195">_xlfn.XLOOKUP(B195&amp;S195,'气-价格-毛利'!A:A&amp;'气-价格-毛利'!B:B,'气-价格-毛利'!C:C,0)</f>
      </c>
      <c r="G195" s="121">
        <f>C195*8</f>
      </c>
      <c r="H195" s="121"/>
      <c r="I195" s="121">
        <f t="shared" si="233"/>
      </c>
      <c r="J195" s="121">
        <f t="shared" si="264"/>
      </c>
      <c r="K195" s="123">
        <f t="shared" si="325"/>
      </c>
      <c r="L195" s="121">
        <f t="shared" si="387"/>
      </c>
      <c r="M195" s="121">
        <f t="shared" si="15"/>
      </c>
      <c r="N195" s="123">
        <f t="shared" si="77"/>
      </c>
      <c r="O195" s="135"/>
      <c r="P195" s="135">
        <f t="shared" si="109"/>
      </c>
      <c r="Q195" s="125">
        <f t="shared" si="139"/>
      </c>
      <c r="R195" s="125">
        <f t="shared" si="201"/>
      </c>
      <c r="S195" s="123" t="s">
        <v>221</v>
      </c>
    </row>
    <row customHeight="true" ht="23.703703703703702" r="196">
      <c r="A196" s="133">
        <v>45944</v>
      </c>
      <c r="B196" s="119" t="s">
        <v>211</v>
      </c>
      <c r="C196" s="119">
        <v>0</v>
      </c>
      <c r="D196" s="134" cm="1">
        <f t="array" ref="D196:D196">_xlfn.XLOOKUP(B196&amp;S196,'气-价格-毛利'!A:A&amp;'气-价格-毛利'!B:B,'气-价格-毛利'!D:D,0)</f>
      </c>
      <c r="E196" s="121">
        <f t="shared" si="47"/>
      </c>
      <c r="F196" s="120" cm="1">
        <f t="array" ref="F196:F196">_xlfn.XLOOKUP(B196&amp;S196,'气-价格-毛利'!A:A&amp;'气-价格-毛利'!B:B,'气-价格-毛利'!C:C,0)</f>
      </c>
      <c r="G196" s="121">
        <f>C196*10</f>
      </c>
      <c r="H196" s="121"/>
      <c r="I196" s="121">
        <f t="shared" si="233"/>
      </c>
      <c r="J196" s="121">
        <f t="shared" si="264"/>
      </c>
      <c r="K196" s="123">
        <f t="shared" si="325"/>
      </c>
      <c r="L196" s="121">
        <f t="shared" si="387"/>
      </c>
      <c r="M196" s="121">
        <f t="shared" si="15"/>
      </c>
      <c r="N196" s="123">
        <f t="shared" si="77"/>
      </c>
      <c r="O196" s="135"/>
      <c r="P196" s="135">
        <f t="shared" si="109"/>
      </c>
      <c r="Q196" s="125">
        <f t="shared" si="139"/>
      </c>
      <c r="R196" s="125">
        <f t="shared" si="201"/>
      </c>
      <c r="S196" s="123" t="s">
        <v>223</v>
      </c>
    </row>
    <row customHeight="true" ht="23.703703703703702" r="197">
      <c r="A197" s="133">
        <v>45944</v>
      </c>
      <c r="B197" s="119" t="s">
        <v>213</v>
      </c>
      <c r="C197" s="119">
        <v>0</v>
      </c>
      <c r="D197" s="134" cm="1">
        <f t="array" ref="D197:D197">_xlfn.XLOOKUP(B197&amp;S197,'气-价格-毛利'!A:A&amp;'气-价格-毛利'!B:B,'气-价格-毛利'!D:D,0)</f>
      </c>
      <c r="E197" s="121">
        <f t="shared" si="47"/>
      </c>
      <c r="F197" s="120" cm="1">
        <f t="array" ref="F197:F197">_xlfn.XLOOKUP(B197&amp;S197,'气-价格-毛利'!A:A&amp;'气-价格-毛利'!B:B,'气-价格-毛利'!C:C,0)</f>
      </c>
      <c r="G197" s="121">
        <f>C197*8</f>
      </c>
      <c r="H197" s="121"/>
      <c r="I197" s="121">
        <f t="shared" si="233"/>
      </c>
      <c r="J197" s="121">
        <f t="shared" si="264"/>
      </c>
      <c r="K197" s="123">
        <f t="shared" si="325"/>
      </c>
      <c r="L197" s="121">
        <f t="shared" si="387"/>
      </c>
      <c r="M197" s="121">
        <f t="shared" si="15"/>
      </c>
      <c r="N197" s="123">
        <f t="shared" si="77"/>
      </c>
      <c r="O197" s="135"/>
      <c r="P197" s="135">
        <f t="shared" si="109"/>
      </c>
      <c r="Q197" s="125">
        <f t="shared" si="139"/>
      </c>
      <c r="R197" s="125">
        <f t="shared" si="201"/>
      </c>
      <c r="S197" s="123" t="s">
        <v>221</v>
      </c>
    </row>
    <row customHeight="true" ht="23.703703703703702" r="198">
      <c r="A198" s="133">
        <v>45944</v>
      </c>
      <c r="B198" s="119" t="s">
        <v>213</v>
      </c>
      <c r="C198" s="119">
        <v>0</v>
      </c>
      <c r="D198" s="134" cm="1">
        <f t="array" ref="D198:D198">_xlfn.XLOOKUP(B198&amp;S198,'气-价格-毛利'!A:A&amp;'气-价格-毛利'!B:B,'气-价格-毛利'!D:D,0)</f>
      </c>
      <c r="E198" s="121">
        <f t="shared" si="47"/>
      </c>
      <c r="F198" s="120" cm="1">
        <f t="array" ref="F198:F198">_xlfn.XLOOKUP(B198&amp;S198,'气-价格-毛利'!A:A&amp;'气-价格-毛利'!B:B,'气-价格-毛利'!C:C,0)</f>
      </c>
      <c r="G198" s="121">
        <f>C198*10</f>
      </c>
      <c r="H198" s="121"/>
      <c r="I198" s="121">
        <f t="shared" si="233"/>
      </c>
      <c r="J198" s="121">
        <f t="shared" si="264"/>
      </c>
      <c r="K198" s="123">
        <f t="shared" si="325"/>
      </c>
      <c r="L198" s="121">
        <f t="shared" si="387"/>
      </c>
      <c r="M198" s="121">
        <f t="shared" si="15"/>
      </c>
      <c r="N198" s="123">
        <f t="shared" si="77"/>
      </c>
      <c r="O198" s="124"/>
      <c r="P198" s="135">
        <f t="shared" si="109"/>
      </c>
      <c r="Q198" s="125">
        <f t="shared" si="139"/>
      </c>
      <c r="R198" s="125">
        <f t="shared" si="201"/>
      </c>
      <c r="S198" s="123" t="s">
        <v>223</v>
      </c>
    </row>
    <row customHeight="true" ht="23.703703703703702" r="199">
      <c r="A199" s="133">
        <v>45944</v>
      </c>
      <c r="B199" s="119" t="s">
        <v>214</v>
      </c>
      <c r="C199" s="119">
        <v>1</v>
      </c>
      <c r="D199" s="134" cm="1">
        <f t="array" ref="D199:D199">_xlfn.XLOOKUP(B199&amp;S199,'气-价格-毛利'!A:A&amp;'气-价格-毛利'!B:B,'气-价格-毛利'!D:D,0)</f>
      </c>
      <c r="E199" s="121">
        <f t="shared" si="47"/>
      </c>
      <c r="F199" s="120" cm="1">
        <f t="array" ref="F199:F199">_xlfn.XLOOKUP(B199&amp;S199,'气-价格-毛利'!A:A&amp;'气-价格-毛利'!B:B,'气-价格-毛利'!C:C,0)</f>
      </c>
      <c r="G199" s="121">
        <f>C199*8</f>
      </c>
      <c r="H199" s="121"/>
      <c r="I199" s="121">
        <f t="shared" si="233"/>
      </c>
      <c r="J199" s="121">
        <f t="shared" si="264"/>
      </c>
      <c r="K199" s="123">
        <f t="shared" si="325"/>
      </c>
      <c r="L199" s="121">
        <f t="shared" si="387"/>
      </c>
      <c r="M199" s="121">
        <f t="shared" si="15"/>
      </c>
      <c r="N199" s="123">
        <f t="shared" si="77"/>
      </c>
      <c r="O199" s="135"/>
      <c r="P199" s="135">
        <f t="shared" si="109"/>
      </c>
      <c r="Q199" s="125">
        <f t="shared" si="139"/>
      </c>
      <c r="R199" s="125">
        <f t="shared" si="201"/>
      </c>
      <c r="S199" s="123" t="s">
        <v>221</v>
      </c>
    </row>
    <row customHeight="true" ht="23.703703703703702" r="200">
      <c r="A200" s="133">
        <v>45944</v>
      </c>
      <c r="B200" s="119" t="s">
        <v>214</v>
      </c>
      <c r="C200" s="119">
        <v>0</v>
      </c>
      <c r="D200" s="134" cm="1">
        <f t="array" ref="D200:D200">_xlfn.XLOOKUP(B200&amp;S200,'气-价格-毛利'!A:A&amp;'气-价格-毛利'!B:B,'气-价格-毛利'!D:D,0)</f>
      </c>
      <c r="E200" s="121">
        <f t="shared" si="47"/>
      </c>
      <c r="F200" s="120" cm="1">
        <f t="array" ref="F200:F200">_xlfn.XLOOKUP(B200&amp;S200,'气-价格-毛利'!A:A&amp;'气-价格-毛利'!B:B,'气-价格-毛利'!C:C,0)</f>
      </c>
      <c r="G200" s="121">
        <f>C200*10</f>
      </c>
      <c r="H200" s="121"/>
      <c r="I200" s="121">
        <f t="shared" si="233"/>
      </c>
      <c r="J200" s="121">
        <f t="shared" si="264"/>
      </c>
      <c r="K200" s="123">
        <f t="shared" si="325"/>
      </c>
      <c r="L200" s="121">
        <f t="shared" si="387"/>
      </c>
      <c r="M200" s="121">
        <f t="shared" si="15"/>
      </c>
      <c r="N200" s="123">
        <f t="shared" si="77"/>
      </c>
      <c r="O200" s="135"/>
      <c r="P200" s="135">
        <f t="shared" si="109"/>
      </c>
      <c r="Q200" s="125">
        <f t="shared" si="139"/>
      </c>
      <c r="R200" s="125">
        <f t="shared" si="201"/>
      </c>
      <c r="S200" s="123" t="s">
        <v>223</v>
      </c>
    </row>
    <row customHeight="true" ht="23.703703703703702" r="201">
      <c r="A201" s="133">
        <v>45944</v>
      </c>
      <c r="B201" s="119" t="s">
        <v>216</v>
      </c>
      <c r="C201" s="119"/>
      <c r="D201" s="134" cm="1">
        <f t="array" ref="D201:D201">_xlfn.XLOOKUP(B201&amp;S201,'气-价格-毛利'!A:A&amp;'气-价格-毛利'!B:B,'气-价格-毛利'!D:D,0)</f>
      </c>
      <c r="E201" s="121">
        <f t="shared" si="47"/>
      </c>
      <c r="F201" s="120" cm="1">
        <f t="array" ref="F201:F201">_xlfn.XLOOKUP(B201&amp;S201,'气-价格-毛利'!A:A&amp;'气-价格-毛利'!B:B,'气-价格-毛利'!C:C,0)</f>
      </c>
      <c r="G201" s="121">
        <f t="shared" ref="G201:G202" si="171">C201*8</f>
      </c>
      <c r="H201" s="121"/>
      <c r="I201" s="121">
        <f t="shared" si="233"/>
      </c>
      <c r="J201" s="121">
        <f t="shared" si="264"/>
      </c>
      <c r="K201" s="123">
        <f t="shared" si="325"/>
      </c>
      <c r="L201" s="121">
        <f t="shared" ref="L201:L202" si="294">J201*9</f>
      </c>
      <c r="M201" s="121">
        <f t="shared" ref="M201:M202" si="355">E201*9</f>
      </c>
      <c r="N201" s="123">
        <f t="shared" si="77"/>
      </c>
      <c r="O201" s="135"/>
      <c r="P201" s="135">
        <f t="shared" si="109"/>
      </c>
      <c r="Q201" s="125">
        <f t="shared" si="139"/>
      </c>
      <c r="R201" s="125">
        <f t="shared" si="201"/>
      </c>
      <c r="S201" s="125"/>
    </row>
    <row customHeight="true" ht="23.703703703703702" r="202">
      <c r="A202" s="133">
        <v>45944</v>
      </c>
      <c r="B202" s="119" t="s">
        <v>216</v>
      </c>
      <c r="C202" s="119"/>
      <c r="D202" s="134" cm="1">
        <f t="array" ref="D202:D202">_xlfn.XLOOKUP(B202&amp;S202,'气-价格-毛利'!A:A&amp;'气-价格-毛利'!B:B,'气-价格-毛利'!D:D,0)</f>
      </c>
      <c r="E202" s="121">
        <f t="shared" si="47"/>
      </c>
      <c r="F202" s="120" cm="1">
        <f t="array" ref="F202:F202">_xlfn.XLOOKUP(B202&amp;S202,'气-价格-毛利'!A:A&amp;'气-价格-毛利'!B:B,'气-价格-毛利'!C:C,0)</f>
      </c>
      <c r="G202" s="121">
        <f t="shared" si="171"/>
      </c>
      <c r="H202" s="121"/>
      <c r="I202" s="121">
        <f t="shared" si="233"/>
      </c>
      <c r="J202" s="121">
        <f t="shared" si="264"/>
      </c>
      <c r="K202" s="123">
        <f t="shared" si="325"/>
      </c>
      <c r="L202" s="121">
        <f t="shared" si="294"/>
      </c>
      <c r="M202" s="121">
        <f t="shared" si="355"/>
      </c>
      <c r="N202" s="123">
        <f t="shared" si="77"/>
      </c>
      <c r="O202" s="135"/>
      <c r="P202" s="135">
        <f t="shared" si="109"/>
      </c>
      <c r="Q202" s="125">
        <f t="shared" si="139"/>
      </c>
      <c r="R202" s="125">
        <f t="shared" si="201"/>
      </c>
      <c r="S202" s="125"/>
    </row>
    <row customHeight="true" ht="23.703703703703702" r="203">
      <c r="A203" s="133">
        <v>45944</v>
      </c>
      <c r="B203" s="119" t="s">
        <v>217</v>
      </c>
      <c r="C203" s="119"/>
      <c r="D203" s="134" cm="1">
        <f t="array" ref="D203:D203">_xlfn.XLOOKUP(B203&amp;S203,'气-价格-毛利'!A:A&amp;'气-价格-毛利'!B:B,'气-价格-毛利'!D:D,0)</f>
      </c>
      <c r="E203" s="121">
        <f t="shared" si="47"/>
      </c>
      <c r="F203" s="120" cm="1">
        <f t="array" ref="F203:F203">_xlfn.XLOOKUP(B203&amp;S203,'气-价格-毛利'!A:A&amp;'气-价格-毛利'!B:B,'气-价格-毛利'!C:C,0)</f>
      </c>
      <c r="G203" s="121"/>
      <c r="H203" s="121"/>
      <c r="I203" s="121">
        <f t="shared" si="233"/>
      </c>
      <c r="J203" s="121">
        <f>C203*F203-H203-I203</f>
      </c>
      <c r="K203" s="123">
        <f t="shared" si="325"/>
      </c>
      <c r="L203" s="121">
        <f>J203*7</f>
      </c>
      <c r="M203" s="121">
        <f>E203*7</f>
      </c>
      <c r="N203" s="123">
        <f t="shared" si="77"/>
      </c>
      <c r="O203" s="124"/>
      <c r="P203" s="124">
        <f t="shared" si="109"/>
      </c>
      <c r="Q203" s="125">
        <f t="shared" si="139"/>
      </c>
      <c r="R203" s="125"/>
      <c r="S203" s="137"/>
    </row>
    <row customHeight="true" ht="23.703703703703702" r="204">
      <c r="A204" s="133">
        <v>45944</v>
      </c>
      <c r="B204" s="119" t="s">
        <v>191</v>
      </c>
      <c r="C204" s="119">
        <f>SUM(C193:C203)</f>
      </c>
      <c r="D204" s="129"/>
      <c r="E204" s="121">
        <f>SUM(E193:E203)</f>
      </c>
      <c r="F204" s="122">
        <f>SUM(F193:F202)</f>
      </c>
      <c r="G204" s="121"/>
      <c r="H204" s="121"/>
      <c r="I204" s="121"/>
      <c r="J204" s="121">
        <f>SUM(J193:J203)</f>
      </c>
      <c r="K204" s="123">
        <f t="shared" si="325"/>
      </c>
      <c r="L204" s="121">
        <f>SUM(L193:L203)</f>
      </c>
      <c r="M204" s="121">
        <f>SUM(M193:M203)</f>
      </c>
      <c r="N204" s="123"/>
      <c r="O204" s="135">
        <f>SUM(O193:O202)</f>
      </c>
      <c r="P204" s="135">
        <f t="shared" si="109"/>
      </c>
      <c r="Q204" s="125">
        <f t="shared" si="139"/>
      </c>
      <c r="R204" s="125"/>
      <c r="S204" s="129"/>
    </row>
    <row customHeight="true" ht="23.703703703703702" r="205">
      <c r="B205" s="117" t="s">
        <v>218</v>
      </c>
    </row>
    <row customHeight="true" ht="23.703703703703702" r="206">
      <c r="A206" s="111" t="s">
        <v>219</v>
      </c>
      <c r="B206" s="112" t="s">
        <v>192</v>
      </c>
      <c r="C206" s="130" t="s">
        <v>193</v>
      </c>
      <c r="D206" s="112" t="s">
        <v>194</v>
      </c>
      <c r="E206" s="113" t="s">
        <v>195</v>
      </c>
      <c r="F206" s="114" t="s">
        <v>196</v>
      </c>
      <c r="G206" s="113" t="s">
        <v>197</v>
      </c>
      <c r="H206" s="131" t="s">
        <v>198</v>
      </c>
      <c r="I206" s="113" t="s">
        <v>199</v>
      </c>
      <c r="J206" s="113" t="s">
        <v>196</v>
      </c>
      <c r="K206" s="115" t="s">
        <v>200</v>
      </c>
      <c r="L206" s="113" t="s">
        <v>201</v>
      </c>
      <c r="M206" s="113" t="s">
        <v>202</v>
      </c>
      <c r="N206" s="112" t="s">
        <v>203</v>
      </c>
      <c r="O206" s="132" t="s">
        <v>204</v>
      </c>
      <c r="P206" s="116" t="s">
        <v>205</v>
      </c>
      <c r="Q206" s="115" t="s">
        <v>206</v>
      </c>
      <c r="R206" s="115" t="s">
        <v>207</v>
      </c>
      <c r="S206" s="115" t="s">
        <v>220</v>
      </c>
    </row>
    <row customHeight="true" ht="23.703703703703702" r="207">
      <c r="A207" s="133">
        <v>45945</v>
      </c>
      <c r="B207" s="119" t="s">
        <v>210</v>
      </c>
      <c r="C207" s="119">
        <v>0</v>
      </c>
      <c r="D207" s="134" cm="1">
        <f t="array" ref="D207:D207">_xlfn.XLOOKUP(B207&amp;S207,'气-价格-毛利'!A:A&amp;'气-价格-毛利'!B:B,'气-价格-毛利'!D:D,0)</f>
      </c>
      <c r="E207" s="121">
        <f t="shared" ref="E207:E217" si="48">C207*D207</f>
      </c>
      <c r="F207" s="120" cm="1">
        <f t="array" ref="F207:F207">_xlfn.XLOOKUP(B207&amp;S207,'气-价格-毛利'!A:A&amp;'气-价格-毛利'!B:B,'气-价格-毛利'!C:C,0)</f>
      </c>
      <c r="G207" s="121">
        <f>C207*8</f>
      </c>
      <c r="H207" s="121"/>
      <c r="I207" s="121">
        <f t="shared" ref="I207:I217" si="234">E207*0.025</f>
      </c>
      <c r="J207" s="121">
        <f t="shared" ref="J207:J216" si="265">F207*C207+G207-H207-I207</f>
      </c>
      <c r="K207" s="123">
        <f t="shared" ref="K207:K218" si="326">IFERROR(J207/E207,0)</f>
      </c>
      <c r="L207" s="121">
        <f t="shared" ref="L207:L214" si="388">J207*8</f>
      </c>
      <c r="M207" s="121">
        <f t="shared" ref="M207:M214" si="16">E207*8</f>
      </c>
      <c r="N207" s="123">
        <f t="shared" ref="N207:N217" si="78">IFERROR(H207/E207,0)</f>
      </c>
      <c r="O207" s="135"/>
      <c r="P207" s="135">
        <f t="shared" ref="P207:P218" si="110">C207-O207</f>
      </c>
      <c r="Q207" s="125">
        <f t="shared" ref="Q207:Q218" si="140">IFERROR(O207/C207,0)</f>
      </c>
      <c r="R207" s="125">
        <f t="shared" ref="R207:R216" si="202">IFERROR(H207/(E207*Q207),0)</f>
      </c>
      <c r="S207" s="123" t="s">
        <v>221</v>
      </c>
    </row>
    <row customHeight="true" ht="23.703703703703702" r="208">
      <c r="A208" s="133">
        <v>45945</v>
      </c>
      <c r="B208" s="119" t="s">
        <v>210</v>
      </c>
      <c r="C208" s="119">
        <v>0</v>
      </c>
      <c r="D208" s="134" cm="1">
        <f t="array" ref="D208:D208">_xlfn.XLOOKUP(B208&amp;S208,'气-价格-毛利'!A:A&amp;'气-价格-毛利'!B:B,'气-价格-毛利'!D:D,0)</f>
      </c>
      <c r="E208" s="121">
        <f t="shared" si="48"/>
      </c>
      <c r="F208" s="120" cm="1">
        <f t="array" ref="F208:F208">_xlfn.XLOOKUP(B208&amp;S208,'气-价格-毛利'!A:A&amp;'气-价格-毛利'!B:B,'气-价格-毛利'!C:C,0)</f>
      </c>
      <c r="G208" s="121">
        <f>C208*10</f>
      </c>
      <c r="H208" s="121"/>
      <c r="I208" s="121">
        <f t="shared" si="234"/>
      </c>
      <c r="J208" s="121">
        <f t="shared" si="265"/>
      </c>
      <c r="K208" s="123">
        <f t="shared" si="326"/>
      </c>
      <c r="L208" s="121">
        <f t="shared" si="388"/>
      </c>
      <c r="M208" s="121">
        <f t="shared" si="16"/>
      </c>
      <c r="N208" s="123">
        <f t="shared" si="78"/>
      </c>
      <c r="O208" s="124"/>
      <c r="P208" s="135">
        <f t="shared" si="110"/>
      </c>
      <c r="Q208" s="125">
        <f t="shared" si="140"/>
      </c>
      <c r="R208" s="125">
        <f t="shared" si="202"/>
      </c>
      <c r="S208" s="123" t="s">
        <v>223</v>
      </c>
    </row>
    <row customHeight="true" ht="23.703703703703702" r="209">
      <c r="A209" s="133">
        <v>45945</v>
      </c>
      <c r="B209" s="119" t="s">
        <v>211</v>
      </c>
      <c r="C209" s="119">
        <v>0</v>
      </c>
      <c r="D209" s="134" cm="1">
        <f t="array" ref="D209:D209">_xlfn.XLOOKUP(B209&amp;S209,'气-价格-毛利'!A:A&amp;'气-价格-毛利'!B:B,'气-价格-毛利'!D:D,0)</f>
      </c>
      <c r="E209" s="121">
        <f t="shared" si="48"/>
      </c>
      <c r="F209" s="120" cm="1">
        <f t="array" ref="F209:F209">_xlfn.XLOOKUP(B209&amp;S209,'气-价格-毛利'!A:A&amp;'气-价格-毛利'!B:B,'气-价格-毛利'!C:C,0)</f>
      </c>
      <c r="G209" s="121">
        <f>C209*8</f>
      </c>
      <c r="H209" s="121"/>
      <c r="I209" s="121">
        <f t="shared" si="234"/>
      </c>
      <c r="J209" s="121">
        <f t="shared" si="265"/>
      </c>
      <c r="K209" s="123">
        <f t="shared" si="326"/>
      </c>
      <c r="L209" s="121">
        <f t="shared" si="388"/>
      </c>
      <c r="M209" s="121">
        <f t="shared" si="16"/>
      </c>
      <c r="N209" s="123">
        <f t="shared" si="78"/>
      </c>
      <c r="O209" s="135"/>
      <c r="P209" s="135">
        <f t="shared" si="110"/>
      </c>
      <c r="Q209" s="125">
        <f t="shared" si="140"/>
      </c>
      <c r="R209" s="125">
        <f t="shared" si="202"/>
      </c>
      <c r="S209" s="123" t="s">
        <v>221</v>
      </c>
    </row>
    <row customHeight="true" ht="23.703703703703702" r="210">
      <c r="A210" s="133">
        <v>45945</v>
      </c>
      <c r="B210" s="119" t="s">
        <v>211</v>
      </c>
      <c r="C210" s="119">
        <v>0</v>
      </c>
      <c r="D210" s="134" cm="1">
        <f t="array" ref="D210:D210">_xlfn.XLOOKUP(B210&amp;S210,'气-价格-毛利'!A:A&amp;'气-价格-毛利'!B:B,'气-价格-毛利'!D:D,0)</f>
      </c>
      <c r="E210" s="121">
        <f t="shared" si="48"/>
      </c>
      <c r="F210" s="120" cm="1">
        <f t="array" ref="F210:F210">_xlfn.XLOOKUP(B210&amp;S210,'气-价格-毛利'!A:A&amp;'气-价格-毛利'!B:B,'气-价格-毛利'!C:C,0)</f>
      </c>
      <c r="G210" s="121">
        <f>C210*10</f>
      </c>
      <c r="H210" s="121"/>
      <c r="I210" s="121">
        <f t="shared" si="234"/>
      </c>
      <c r="J210" s="121">
        <f t="shared" si="265"/>
      </c>
      <c r="K210" s="123">
        <f t="shared" si="326"/>
      </c>
      <c r="L210" s="121">
        <f t="shared" si="388"/>
      </c>
      <c r="M210" s="121">
        <f t="shared" si="16"/>
      </c>
      <c r="N210" s="123">
        <f t="shared" si="78"/>
      </c>
      <c r="O210" s="135"/>
      <c r="P210" s="135">
        <f t="shared" si="110"/>
      </c>
      <c r="Q210" s="125">
        <f t="shared" si="140"/>
      </c>
      <c r="R210" s="125">
        <f t="shared" si="202"/>
      </c>
      <c r="S210" s="123" t="s">
        <v>223</v>
      </c>
    </row>
    <row customHeight="true" ht="23.703703703703702" r="211">
      <c r="A211" s="133">
        <v>45945</v>
      </c>
      <c r="B211" s="119" t="s">
        <v>213</v>
      </c>
      <c r="C211" s="119">
        <v>3</v>
      </c>
      <c r="D211" s="134" cm="1">
        <f t="array" ref="D211:D211">_xlfn.XLOOKUP(B211&amp;S211,'气-价格-毛利'!A:A&amp;'气-价格-毛利'!B:B,'气-价格-毛利'!D:D,0)</f>
      </c>
      <c r="E211" s="121">
        <f t="shared" si="48"/>
      </c>
      <c r="F211" s="120" cm="1">
        <f t="array" ref="F211:F211">_xlfn.XLOOKUP(B211&amp;S211,'气-价格-毛利'!A:A&amp;'气-价格-毛利'!B:B,'气-价格-毛利'!C:C,0)</f>
      </c>
      <c r="G211" s="121">
        <f>C211*8</f>
      </c>
      <c r="H211" s="121"/>
      <c r="I211" s="121">
        <f t="shared" si="234"/>
      </c>
      <c r="J211" s="121">
        <f t="shared" si="265"/>
      </c>
      <c r="K211" s="123">
        <f t="shared" si="326"/>
      </c>
      <c r="L211" s="121">
        <f t="shared" si="388"/>
      </c>
      <c r="M211" s="121">
        <f t="shared" si="16"/>
      </c>
      <c r="N211" s="123">
        <f t="shared" si="78"/>
      </c>
      <c r="O211" s="135"/>
      <c r="P211" s="135">
        <f t="shared" si="110"/>
      </c>
      <c r="Q211" s="125">
        <f t="shared" si="140"/>
      </c>
      <c r="R211" s="125">
        <f t="shared" si="202"/>
      </c>
      <c r="S211" s="123" t="s">
        <v>221</v>
      </c>
    </row>
    <row customHeight="true" ht="23.703703703703702" r="212">
      <c r="A212" s="133">
        <v>45945</v>
      </c>
      <c r="B212" s="119" t="s">
        <v>213</v>
      </c>
      <c r="C212" s="119">
        <v>0</v>
      </c>
      <c r="D212" s="134" cm="1">
        <f t="array" ref="D212:D212">_xlfn.XLOOKUP(B212&amp;S212,'气-价格-毛利'!A:A&amp;'气-价格-毛利'!B:B,'气-价格-毛利'!D:D,0)</f>
      </c>
      <c r="E212" s="121">
        <f t="shared" si="48"/>
      </c>
      <c r="F212" s="120" cm="1">
        <f t="array" ref="F212:F212">_xlfn.XLOOKUP(B212&amp;S212,'气-价格-毛利'!A:A&amp;'气-价格-毛利'!B:B,'气-价格-毛利'!C:C,0)</f>
      </c>
      <c r="G212" s="121">
        <f>C212*10</f>
      </c>
      <c r="H212" s="121"/>
      <c r="I212" s="121">
        <f t="shared" si="234"/>
      </c>
      <c r="J212" s="121">
        <f t="shared" si="265"/>
      </c>
      <c r="K212" s="123">
        <f t="shared" si="326"/>
      </c>
      <c r="L212" s="121">
        <f t="shared" si="388"/>
      </c>
      <c r="M212" s="121">
        <f t="shared" si="16"/>
      </c>
      <c r="N212" s="123">
        <f t="shared" si="78"/>
      </c>
      <c r="O212" s="124"/>
      <c r="P212" s="135">
        <f t="shared" si="110"/>
      </c>
      <c r="Q212" s="125">
        <f t="shared" si="140"/>
      </c>
      <c r="R212" s="125">
        <f t="shared" si="202"/>
      </c>
      <c r="S212" s="123" t="s">
        <v>223</v>
      </c>
    </row>
    <row customHeight="true" ht="23.703703703703702" r="213">
      <c r="A213" s="133">
        <v>45945</v>
      </c>
      <c r="B213" s="119" t="s">
        <v>214</v>
      </c>
      <c r="C213" s="119">
        <v>2</v>
      </c>
      <c r="D213" s="134" cm="1">
        <f t="array" ref="D213:D213">_xlfn.XLOOKUP(B213&amp;S213,'气-价格-毛利'!A:A&amp;'气-价格-毛利'!B:B,'气-价格-毛利'!D:D,0)</f>
      </c>
      <c r="E213" s="121">
        <f t="shared" si="48"/>
      </c>
      <c r="F213" s="120" cm="1">
        <f t="array" ref="F213:F213">_xlfn.XLOOKUP(B213&amp;S213,'气-价格-毛利'!A:A&amp;'气-价格-毛利'!B:B,'气-价格-毛利'!C:C,0)</f>
      </c>
      <c r="G213" s="121">
        <f>C213*8</f>
      </c>
      <c r="H213" s="121"/>
      <c r="I213" s="121">
        <f t="shared" si="234"/>
      </c>
      <c r="J213" s="121">
        <f t="shared" si="265"/>
      </c>
      <c r="K213" s="123">
        <f t="shared" si="326"/>
      </c>
      <c r="L213" s="121">
        <f t="shared" si="388"/>
      </c>
      <c r="M213" s="121">
        <f t="shared" si="16"/>
      </c>
      <c r="N213" s="123">
        <f t="shared" si="78"/>
      </c>
      <c r="O213" s="135"/>
      <c r="P213" s="135">
        <f t="shared" si="110"/>
      </c>
      <c r="Q213" s="125">
        <f t="shared" si="140"/>
      </c>
      <c r="R213" s="125">
        <f t="shared" si="202"/>
      </c>
      <c r="S213" s="123" t="s">
        <v>221</v>
      </c>
    </row>
    <row customHeight="true" ht="23.703703703703702" r="214">
      <c r="A214" s="133">
        <v>45945</v>
      </c>
      <c r="B214" s="119" t="s">
        <v>214</v>
      </c>
      <c r="C214" s="119">
        <v>0</v>
      </c>
      <c r="D214" s="134" cm="1">
        <f t="array" ref="D214:D214">_xlfn.XLOOKUP(B214&amp;S214,'气-价格-毛利'!A:A&amp;'气-价格-毛利'!B:B,'气-价格-毛利'!D:D,0)</f>
      </c>
      <c r="E214" s="121">
        <f t="shared" si="48"/>
      </c>
      <c r="F214" s="120" cm="1">
        <f t="array" ref="F214:F214">_xlfn.XLOOKUP(B214&amp;S214,'气-价格-毛利'!A:A&amp;'气-价格-毛利'!B:B,'气-价格-毛利'!C:C,0)</f>
      </c>
      <c r="G214" s="121">
        <f>C214*10</f>
      </c>
      <c r="H214" s="121"/>
      <c r="I214" s="121">
        <f t="shared" si="234"/>
      </c>
      <c r="J214" s="121">
        <f t="shared" si="265"/>
      </c>
      <c r="K214" s="123">
        <f t="shared" si="326"/>
      </c>
      <c r="L214" s="121">
        <f t="shared" si="388"/>
      </c>
      <c r="M214" s="121">
        <f t="shared" si="16"/>
      </c>
      <c r="N214" s="123">
        <f t="shared" si="78"/>
      </c>
      <c r="O214" s="135"/>
      <c r="P214" s="135">
        <f t="shared" si="110"/>
      </c>
      <c r="Q214" s="125">
        <f t="shared" si="140"/>
      </c>
      <c r="R214" s="125">
        <f t="shared" si="202"/>
      </c>
      <c r="S214" s="123" t="s">
        <v>223</v>
      </c>
    </row>
    <row customHeight="true" ht="23.703703703703702" r="215">
      <c r="A215" s="133">
        <v>45945</v>
      </c>
      <c r="B215" s="119" t="s">
        <v>216</v>
      </c>
      <c r="C215" s="119"/>
      <c r="D215" s="134" cm="1">
        <f t="array" ref="D215:D215">_xlfn.XLOOKUP(B215&amp;S215,'气-价格-毛利'!A:A&amp;'气-价格-毛利'!B:B,'气-价格-毛利'!D:D,0)</f>
      </c>
      <c r="E215" s="121">
        <f t="shared" si="48"/>
      </c>
      <c r="F215" s="120" cm="1">
        <f t="array" ref="F215:F215">_xlfn.XLOOKUP(B215&amp;S215,'气-价格-毛利'!A:A&amp;'气-价格-毛利'!B:B,'气-价格-毛利'!C:C,0)</f>
      </c>
      <c r="G215" s="121">
        <f t="shared" ref="G215:G216" si="172">C215*8</f>
      </c>
      <c r="H215" s="121"/>
      <c r="I215" s="121">
        <f t="shared" si="234"/>
      </c>
      <c r="J215" s="121">
        <f t="shared" si="265"/>
      </c>
      <c r="K215" s="123">
        <f t="shared" si="326"/>
      </c>
      <c r="L215" s="121">
        <f t="shared" ref="L215:L216" si="295">J215*9</f>
      </c>
      <c r="M215" s="121">
        <f t="shared" ref="M215:M216" si="356">E215*9</f>
      </c>
      <c r="N215" s="123">
        <f t="shared" si="78"/>
      </c>
      <c r="O215" s="135"/>
      <c r="P215" s="135">
        <f t="shared" si="110"/>
      </c>
      <c r="Q215" s="125">
        <f t="shared" si="140"/>
      </c>
      <c r="R215" s="125">
        <f t="shared" si="202"/>
      </c>
      <c r="S215" s="125"/>
    </row>
    <row customHeight="true" ht="23.703703703703702" r="216">
      <c r="A216" s="133">
        <v>45945</v>
      </c>
      <c r="B216" s="119" t="s">
        <v>216</v>
      </c>
      <c r="C216" s="119"/>
      <c r="D216" s="134" cm="1">
        <f t="array" ref="D216:D216">_xlfn.XLOOKUP(B216&amp;S216,'气-价格-毛利'!A:A&amp;'气-价格-毛利'!B:B,'气-价格-毛利'!D:D,0)</f>
      </c>
      <c r="E216" s="121">
        <f t="shared" si="48"/>
      </c>
      <c r="F216" s="120" cm="1">
        <f t="array" ref="F216:F216">_xlfn.XLOOKUP(B216&amp;S216,'气-价格-毛利'!A:A&amp;'气-价格-毛利'!B:B,'气-价格-毛利'!C:C,0)</f>
      </c>
      <c r="G216" s="121">
        <f t="shared" si="172"/>
      </c>
      <c r="H216" s="121"/>
      <c r="I216" s="121">
        <f t="shared" si="234"/>
      </c>
      <c r="J216" s="121">
        <f t="shared" si="265"/>
      </c>
      <c r="K216" s="123">
        <f t="shared" si="326"/>
      </c>
      <c r="L216" s="121">
        <f t="shared" si="295"/>
      </c>
      <c r="M216" s="121">
        <f t="shared" si="356"/>
      </c>
      <c r="N216" s="123">
        <f t="shared" si="78"/>
      </c>
      <c r="O216" s="135"/>
      <c r="P216" s="135">
        <f t="shared" si="110"/>
      </c>
      <c r="Q216" s="125">
        <f t="shared" si="140"/>
      </c>
      <c r="R216" s="125">
        <f t="shared" si="202"/>
      </c>
      <c r="S216" s="125"/>
    </row>
    <row customHeight="true" ht="23.703703703703702" r="217">
      <c r="A217" s="133">
        <v>45945</v>
      </c>
      <c r="B217" s="119" t="s">
        <v>217</v>
      </c>
      <c r="C217" s="119"/>
      <c r="D217" s="134" cm="1">
        <f t="array" ref="D217:D217">_xlfn.XLOOKUP(B217&amp;S217,'气-价格-毛利'!A:A&amp;'气-价格-毛利'!B:B,'气-价格-毛利'!D:D,0)</f>
      </c>
      <c r="E217" s="121">
        <f t="shared" si="48"/>
      </c>
      <c r="F217" s="120" cm="1">
        <f t="array" ref="F217:F217">_xlfn.XLOOKUP(B217&amp;S217,'气-价格-毛利'!A:A&amp;'气-价格-毛利'!B:B,'气-价格-毛利'!C:C,0)</f>
      </c>
      <c r="G217" s="121"/>
      <c r="H217" s="121"/>
      <c r="I217" s="121">
        <f t="shared" si="234"/>
      </c>
      <c r="J217" s="121">
        <f>C217*F217-H217-I217</f>
      </c>
      <c r="K217" s="123">
        <f t="shared" si="326"/>
      </c>
      <c r="L217" s="121">
        <f>J217*7</f>
      </c>
      <c r="M217" s="121">
        <f>E217*7</f>
      </c>
      <c r="N217" s="123">
        <f t="shared" si="78"/>
      </c>
      <c r="O217" s="124"/>
      <c r="P217" s="124">
        <f t="shared" si="110"/>
      </c>
      <c r="Q217" s="125">
        <f t="shared" si="140"/>
      </c>
      <c r="R217" s="125"/>
      <c r="S217" s="137"/>
    </row>
    <row customHeight="true" ht="23.703703703703702" r="218">
      <c r="A218" s="133">
        <v>45945</v>
      </c>
      <c r="B218" s="119" t="s">
        <v>191</v>
      </c>
      <c r="C218" s="119">
        <f>SUM(C207:C217)</f>
      </c>
      <c r="D218" s="129"/>
      <c r="E218" s="121">
        <f>SUM(E207:E217)</f>
      </c>
      <c r="F218" s="122">
        <f>SUM(F207:F216)</f>
      </c>
      <c r="G218" s="121"/>
      <c r="H218" s="121"/>
      <c r="I218" s="121"/>
      <c r="J218" s="121">
        <f>SUM(J207:J217)</f>
      </c>
      <c r="K218" s="123">
        <f t="shared" si="326"/>
      </c>
      <c r="L218" s="121">
        <f>SUM(L207:L217)</f>
      </c>
      <c r="M218" s="121">
        <f>SUM(M207:M217)</f>
      </c>
      <c r="N218" s="123"/>
      <c r="O218" s="135">
        <f>SUM(O207:O216)</f>
      </c>
      <c r="P218" s="135">
        <f t="shared" si="110"/>
      </c>
      <c r="Q218" s="125">
        <f t="shared" si="140"/>
      </c>
      <c r="R218" s="125"/>
      <c r="S218" s="129"/>
    </row>
    <row customHeight="true" ht="23.703703703703702" r="219">
      <c r="B219" s="117" t="s">
        <v>218</v>
      </c>
    </row>
    <row customHeight="true" ht="23.703703703703702" r="220">
      <c r="A220" s="111" t="s">
        <v>219</v>
      </c>
      <c r="B220" s="112" t="s">
        <v>192</v>
      </c>
      <c r="C220" s="130" t="s">
        <v>193</v>
      </c>
      <c r="D220" s="112" t="s">
        <v>194</v>
      </c>
      <c r="E220" s="113" t="s">
        <v>195</v>
      </c>
      <c r="F220" s="114" t="s">
        <v>196</v>
      </c>
      <c r="G220" s="113" t="s">
        <v>197</v>
      </c>
      <c r="H220" s="131" t="s">
        <v>198</v>
      </c>
      <c r="I220" s="113" t="s">
        <v>199</v>
      </c>
      <c r="J220" s="113" t="s">
        <v>196</v>
      </c>
      <c r="K220" s="115" t="s">
        <v>200</v>
      </c>
      <c r="L220" s="113" t="s">
        <v>201</v>
      </c>
      <c r="M220" s="113" t="s">
        <v>202</v>
      </c>
      <c r="N220" s="112" t="s">
        <v>203</v>
      </c>
      <c r="O220" s="132" t="s">
        <v>204</v>
      </c>
      <c r="P220" s="116" t="s">
        <v>205</v>
      </c>
      <c r="Q220" s="115" t="s">
        <v>206</v>
      </c>
      <c r="R220" s="115" t="s">
        <v>207</v>
      </c>
      <c r="S220" s="115" t="s">
        <v>220</v>
      </c>
    </row>
    <row customHeight="true" ht="23.703703703703702" r="221">
      <c r="A221" s="133">
        <v>45946</v>
      </c>
      <c r="B221" s="119" t="s">
        <v>210</v>
      </c>
      <c r="C221" s="119">
        <v>0</v>
      </c>
      <c r="D221" s="134" cm="1">
        <f t="array" ref="D221:D221">_xlfn.XLOOKUP(B221&amp;S221,'气-价格-毛利'!A:A&amp;'气-价格-毛利'!B:B,'气-价格-毛利'!D:D,0)</f>
      </c>
      <c r="E221" s="121">
        <f t="shared" ref="E221:E231" si="49">C221*D221</f>
      </c>
      <c r="F221" s="120" cm="1">
        <f t="array" ref="F221:F221">_xlfn.XLOOKUP(B221&amp;S221,'气-价格-毛利'!A:A&amp;'气-价格-毛利'!B:B,'气-价格-毛利'!C:C,0)</f>
      </c>
      <c r="G221" s="121">
        <f>C221*8</f>
      </c>
      <c r="H221" s="121"/>
      <c r="I221" s="121">
        <f t="shared" ref="I221:I231" si="235">E221*0.025</f>
      </c>
      <c r="J221" s="121">
        <f t="shared" ref="J221:J230" si="266">F221*C221+G221-H221-I221</f>
      </c>
      <c r="K221" s="123">
        <f t="shared" ref="K221:K232" si="327">IFERROR(J221/E221,0)</f>
      </c>
      <c r="L221" s="121">
        <f t="shared" ref="L221:L228" si="389">J221*8</f>
      </c>
      <c r="M221" s="121">
        <f t="shared" ref="M221:M228" si="17">E221*8</f>
      </c>
      <c r="N221" s="123">
        <f t="shared" ref="N221:N231" si="79">IFERROR(H221/E221,0)</f>
      </c>
      <c r="O221" s="135"/>
      <c r="P221" s="135">
        <f t="shared" ref="P221:P232" si="111">C221-O221</f>
      </c>
      <c r="Q221" s="125">
        <f t="shared" ref="Q221:Q232" si="141">IFERROR(O221/C221,0)</f>
      </c>
      <c r="R221" s="125">
        <f t="shared" ref="R221:R230" si="203">IFERROR(H221/(E221*Q221),0)</f>
      </c>
      <c r="S221" s="123" t="s">
        <v>221</v>
      </c>
    </row>
    <row customHeight="true" ht="23.703703703703702" r="222">
      <c r="A222" s="133">
        <v>45946</v>
      </c>
      <c r="B222" s="119" t="s">
        <v>210</v>
      </c>
      <c r="C222" s="119">
        <v>0</v>
      </c>
      <c r="D222" s="134" cm="1">
        <f t="array" ref="D222:D222">_xlfn.XLOOKUP(B222&amp;S222,'气-价格-毛利'!A:A&amp;'气-价格-毛利'!B:B,'气-价格-毛利'!D:D,0)</f>
      </c>
      <c r="E222" s="121">
        <f t="shared" si="49"/>
      </c>
      <c r="F222" s="120" cm="1">
        <f t="array" ref="F222:F222">_xlfn.XLOOKUP(B222&amp;S222,'气-价格-毛利'!A:A&amp;'气-价格-毛利'!B:B,'气-价格-毛利'!C:C,0)</f>
      </c>
      <c r="G222" s="121">
        <f>C222*10</f>
      </c>
      <c r="H222" s="121"/>
      <c r="I222" s="121">
        <f t="shared" si="235"/>
      </c>
      <c r="J222" s="121">
        <f t="shared" si="266"/>
      </c>
      <c r="K222" s="123">
        <f t="shared" si="327"/>
      </c>
      <c r="L222" s="121">
        <f t="shared" si="389"/>
      </c>
      <c r="M222" s="121">
        <f t="shared" si="17"/>
      </c>
      <c r="N222" s="123">
        <f t="shared" si="79"/>
      </c>
      <c r="O222" s="124"/>
      <c r="P222" s="135">
        <f t="shared" si="111"/>
      </c>
      <c r="Q222" s="125">
        <f t="shared" si="141"/>
      </c>
      <c r="R222" s="125">
        <f t="shared" si="203"/>
      </c>
      <c r="S222" s="123" t="s">
        <v>223</v>
      </c>
    </row>
    <row customHeight="true" ht="23.703703703703702" r="223">
      <c r="A223" s="133">
        <v>45946</v>
      </c>
      <c r="B223" s="119" t="s">
        <v>211</v>
      </c>
      <c r="C223" s="119">
        <v>0</v>
      </c>
      <c r="D223" s="134" cm="1">
        <f t="array" ref="D223:D223">_xlfn.XLOOKUP(B223&amp;S223,'气-价格-毛利'!A:A&amp;'气-价格-毛利'!B:B,'气-价格-毛利'!D:D,0)</f>
      </c>
      <c r="E223" s="121">
        <f t="shared" si="49"/>
      </c>
      <c r="F223" s="120" cm="1">
        <f t="array" ref="F223:F223">_xlfn.XLOOKUP(B223&amp;S223,'气-价格-毛利'!A:A&amp;'气-价格-毛利'!B:B,'气-价格-毛利'!C:C,0)</f>
      </c>
      <c r="G223" s="121">
        <f>C223*8</f>
      </c>
      <c r="H223" s="121"/>
      <c r="I223" s="121">
        <f t="shared" si="235"/>
      </c>
      <c r="J223" s="121">
        <f t="shared" si="266"/>
      </c>
      <c r="K223" s="123">
        <f t="shared" si="327"/>
      </c>
      <c r="L223" s="121">
        <f t="shared" si="389"/>
      </c>
      <c r="M223" s="121">
        <f t="shared" si="17"/>
      </c>
      <c r="N223" s="123">
        <f t="shared" si="79"/>
      </c>
      <c r="O223" s="135"/>
      <c r="P223" s="135">
        <f t="shared" si="111"/>
      </c>
      <c r="Q223" s="125">
        <f t="shared" si="141"/>
      </c>
      <c r="R223" s="125">
        <f t="shared" si="203"/>
      </c>
      <c r="S223" s="123" t="s">
        <v>221</v>
      </c>
    </row>
    <row customHeight="true" ht="23.703703703703702" r="224">
      <c r="A224" s="133">
        <v>45946</v>
      </c>
      <c r="B224" s="119" t="s">
        <v>211</v>
      </c>
      <c r="C224" s="119">
        <v>0</v>
      </c>
      <c r="D224" s="134" cm="1">
        <f t="array" ref="D224:D224">_xlfn.XLOOKUP(B224&amp;S224,'气-价格-毛利'!A:A&amp;'气-价格-毛利'!B:B,'气-价格-毛利'!D:D,0)</f>
      </c>
      <c r="E224" s="121">
        <f t="shared" si="49"/>
      </c>
      <c r="F224" s="120" cm="1">
        <f t="array" ref="F224:F224">_xlfn.XLOOKUP(B224&amp;S224,'气-价格-毛利'!A:A&amp;'气-价格-毛利'!B:B,'气-价格-毛利'!C:C,0)</f>
      </c>
      <c r="G224" s="121">
        <f>C224*10</f>
      </c>
      <c r="H224" s="121"/>
      <c r="I224" s="121">
        <f t="shared" si="235"/>
      </c>
      <c r="J224" s="121">
        <f t="shared" si="266"/>
      </c>
      <c r="K224" s="123">
        <f t="shared" si="327"/>
      </c>
      <c r="L224" s="121">
        <f t="shared" si="389"/>
      </c>
      <c r="M224" s="121">
        <f t="shared" si="17"/>
      </c>
      <c r="N224" s="123">
        <f t="shared" si="79"/>
      </c>
      <c r="O224" s="135"/>
      <c r="P224" s="135">
        <f t="shared" si="111"/>
      </c>
      <c r="Q224" s="125">
        <f t="shared" si="141"/>
      </c>
      <c r="R224" s="125">
        <f t="shared" si="203"/>
      </c>
      <c r="S224" s="123" t="s">
        <v>223</v>
      </c>
    </row>
    <row customHeight="true" ht="23.703703703703702" r="225">
      <c r="A225" s="133">
        <v>45946</v>
      </c>
      <c r="B225" s="119" t="s">
        <v>213</v>
      </c>
      <c r="C225" s="119">
        <v>5</v>
      </c>
      <c r="D225" s="134" cm="1">
        <f t="array" ref="D225:D225">_xlfn.XLOOKUP(B225&amp;S225,'气-价格-毛利'!A:A&amp;'气-价格-毛利'!B:B,'气-价格-毛利'!D:D,0)</f>
      </c>
      <c r="E225" s="121">
        <f t="shared" si="49"/>
      </c>
      <c r="F225" s="120" cm="1">
        <f t="array" ref="F225:F225">_xlfn.XLOOKUP(B225&amp;S225,'气-价格-毛利'!A:A&amp;'气-价格-毛利'!B:B,'气-价格-毛利'!C:C,0)</f>
      </c>
      <c r="G225" s="121">
        <f>C225*8</f>
      </c>
      <c r="H225" s="121"/>
      <c r="I225" s="121">
        <f t="shared" si="235"/>
      </c>
      <c r="J225" s="121">
        <f t="shared" si="266"/>
      </c>
      <c r="K225" s="123">
        <f t="shared" si="327"/>
      </c>
      <c r="L225" s="121">
        <f t="shared" si="389"/>
      </c>
      <c r="M225" s="121">
        <f t="shared" si="17"/>
      </c>
      <c r="N225" s="123">
        <f t="shared" si="79"/>
      </c>
      <c r="O225" s="135"/>
      <c r="P225" s="135">
        <f t="shared" si="111"/>
      </c>
      <c r="Q225" s="125">
        <f t="shared" si="141"/>
      </c>
      <c r="R225" s="125">
        <f t="shared" si="203"/>
      </c>
      <c r="S225" s="123" t="s">
        <v>221</v>
      </c>
    </row>
    <row customHeight="true" ht="23.703703703703702" r="226">
      <c r="A226" s="133">
        <v>45946</v>
      </c>
      <c r="B226" s="119" t="s">
        <v>213</v>
      </c>
      <c r="C226" s="119">
        <v>0</v>
      </c>
      <c r="D226" s="134" cm="1">
        <f t="array" ref="D226:D226">_xlfn.XLOOKUP(B226&amp;S226,'气-价格-毛利'!A:A&amp;'气-价格-毛利'!B:B,'气-价格-毛利'!D:D,0)</f>
      </c>
      <c r="E226" s="121">
        <f t="shared" si="49"/>
      </c>
      <c r="F226" s="120" cm="1">
        <f t="array" ref="F226:F226">_xlfn.XLOOKUP(B226&amp;S226,'气-价格-毛利'!A:A&amp;'气-价格-毛利'!B:B,'气-价格-毛利'!C:C,0)</f>
      </c>
      <c r="G226" s="121">
        <f>C226*10</f>
      </c>
      <c r="H226" s="121"/>
      <c r="I226" s="121">
        <f t="shared" si="235"/>
      </c>
      <c r="J226" s="121">
        <f t="shared" si="266"/>
      </c>
      <c r="K226" s="123">
        <f t="shared" si="327"/>
      </c>
      <c r="L226" s="121">
        <f t="shared" si="389"/>
      </c>
      <c r="M226" s="121">
        <f t="shared" si="17"/>
      </c>
      <c r="N226" s="123">
        <f t="shared" si="79"/>
      </c>
      <c r="O226" s="124"/>
      <c r="P226" s="135">
        <f t="shared" si="111"/>
      </c>
      <c r="Q226" s="125">
        <f t="shared" si="141"/>
      </c>
      <c r="R226" s="125">
        <f t="shared" si="203"/>
      </c>
      <c r="S226" s="123" t="s">
        <v>223</v>
      </c>
    </row>
    <row customHeight="true" ht="23.703703703703702" r="227">
      <c r="A227" s="133">
        <v>45946</v>
      </c>
      <c r="B227" s="119" t="s">
        <v>214</v>
      </c>
      <c r="C227" s="119">
        <v>3</v>
      </c>
      <c r="D227" s="134" cm="1">
        <f t="array" ref="D227:D227">_xlfn.XLOOKUP(B227&amp;S227,'气-价格-毛利'!A:A&amp;'气-价格-毛利'!B:B,'气-价格-毛利'!D:D,0)</f>
      </c>
      <c r="E227" s="121">
        <f t="shared" si="49"/>
      </c>
      <c r="F227" s="120" cm="1">
        <f t="array" ref="F227:F227">_xlfn.XLOOKUP(B227&amp;S227,'气-价格-毛利'!A:A&amp;'气-价格-毛利'!B:B,'气-价格-毛利'!C:C,0)</f>
      </c>
      <c r="G227" s="121">
        <f>C227*8</f>
      </c>
      <c r="H227" s="121"/>
      <c r="I227" s="121">
        <f t="shared" si="235"/>
      </c>
      <c r="J227" s="121">
        <f t="shared" si="266"/>
      </c>
      <c r="K227" s="123">
        <f t="shared" si="327"/>
      </c>
      <c r="L227" s="121">
        <f t="shared" si="389"/>
      </c>
      <c r="M227" s="121">
        <f t="shared" si="17"/>
      </c>
      <c r="N227" s="123">
        <f t="shared" si="79"/>
      </c>
      <c r="O227" s="135"/>
      <c r="P227" s="135">
        <f t="shared" si="111"/>
      </c>
      <c r="Q227" s="125">
        <f t="shared" si="141"/>
      </c>
      <c r="R227" s="125">
        <f t="shared" si="203"/>
      </c>
      <c r="S227" s="123" t="s">
        <v>221</v>
      </c>
    </row>
    <row customHeight="true" ht="23.703703703703702" r="228">
      <c r="A228" s="133">
        <v>45946</v>
      </c>
      <c r="B228" s="119" t="s">
        <v>214</v>
      </c>
      <c r="C228" s="119">
        <v>0</v>
      </c>
      <c r="D228" s="134" cm="1">
        <f t="array" ref="D228:D228">_xlfn.XLOOKUP(B228&amp;S228,'气-价格-毛利'!A:A&amp;'气-价格-毛利'!B:B,'气-价格-毛利'!D:D,0)</f>
      </c>
      <c r="E228" s="121">
        <f t="shared" si="49"/>
      </c>
      <c r="F228" s="120" cm="1">
        <f t="array" ref="F228:F228">_xlfn.XLOOKUP(B228&amp;S228,'气-价格-毛利'!A:A&amp;'气-价格-毛利'!B:B,'气-价格-毛利'!C:C,0)</f>
      </c>
      <c r="G228" s="121">
        <f>C228*10</f>
      </c>
      <c r="H228" s="121"/>
      <c r="I228" s="121">
        <f t="shared" si="235"/>
      </c>
      <c r="J228" s="121">
        <f t="shared" si="266"/>
      </c>
      <c r="K228" s="123">
        <f t="shared" si="327"/>
      </c>
      <c r="L228" s="121">
        <f t="shared" si="389"/>
      </c>
      <c r="M228" s="121">
        <f t="shared" si="17"/>
      </c>
      <c r="N228" s="123">
        <f t="shared" si="79"/>
      </c>
      <c r="O228" s="135"/>
      <c r="P228" s="135">
        <f t="shared" si="111"/>
      </c>
      <c r="Q228" s="125">
        <f t="shared" si="141"/>
      </c>
      <c r="R228" s="125">
        <f t="shared" si="203"/>
      </c>
      <c r="S228" s="123" t="s">
        <v>223</v>
      </c>
    </row>
    <row customHeight="true" ht="23.703703703703702" r="229">
      <c r="A229" s="133">
        <v>45946</v>
      </c>
      <c r="B229" s="119" t="s">
        <v>216</v>
      </c>
      <c r="C229" s="119"/>
      <c r="D229" s="134" cm="1">
        <f t="array" ref="D229:D229">_xlfn.XLOOKUP(B229&amp;S229,'气-价格-毛利'!A:A&amp;'气-价格-毛利'!B:B,'气-价格-毛利'!D:D,0)</f>
      </c>
      <c r="E229" s="121">
        <f t="shared" si="49"/>
      </c>
      <c r="F229" s="120" cm="1">
        <f t="array" ref="F229:F229">_xlfn.XLOOKUP(B229&amp;S229,'气-价格-毛利'!A:A&amp;'气-价格-毛利'!B:B,'气-价格-毛利'!C:C,0)</f>
      </c>
      <c r="G229" s="121">
        <f t="shared" ref="G229:G230" si="173">C229*8</f>
      </c>
      <c r="H229" s="121"/>
      <c r="I229" s="121">
        <f t="shared" si="235"/>
      </c>
      <c r="J229" s="121">
        <f t="shared" si="266"/>
      </c>
      <c r="K229" s="123">
        <f t="shared" si="327"/>
      </c>
      <c r="L229" s="121">
        <f t="shared" ref="L229:L230" si="296">J229*9</f>
      </c>
      <c r="M229" s="121">
        <f t="shared" ref="M229:M230" si="357">E229*9</f>
      </c>
      <c r="N229" s="123">
        <f t="shared" si="79"/>
      </c>
      <c r="O229" s="135"/>
      <c r="P229" s="135">
        <f t="shared" si="111"/>
      </c>
      <c r="Q229" s="125">
        <f t="shared" si="141"/>
      </c>
      <c r="R229" s="125">
        <f t="shared" si="203"/>
      </c>
      <c r="S229" s="125"/>
    </row>
    <row customHeight="true" ht="23.703703703703702" r="230">
      <c r="A230" s="133">
        <v>45946</v>
      </c>
      <c r="B230" s="119" t="s">
        <v>216</v>
      </c>
      <c r="C230" s="119"/>
      <c r="D230" s="134" cm="1">
        <f t="array" ref="D230:D230">_xlfn.XLOOKUP(B230&amp;S230,'气-价格-毛利'!A:A&amp;'气-价格-毛利'!B:B,'气-价格-毛利'!D:D,0)</f>
      </c>
      <c r="E230" s="121">
        <f t="shared" si="49"/>
      </c>
      <c r="F230" s="120" cm="1">
        <f t="array" ref="F230:F230">_xlfn.XLOOKUP(B230&amp;S230,'气-价格-毛利'!A:A&amp;'气-价格-毛利'!B:B,'气-价格-毛利'!C:C,0)</f>
      </c>
      <c r="G230" s="121">
        <f t="shared" si="173"/>
      </c>
      <c r="H230" s="121"/>
      <c r="I230" s="121">
        <f t="shared" si="235"/>
      </c>
      <c r="J230" s="121">
        <f t="shared" si="266"/>
      </c>
      <c r="K230" s="123">
        <f t="shared" si="327"/>
      </c>
      <c r="L230" s="121">
        <f t="shared" si="296"/>
      </c>
      <c r="M230" s="121">
        <f t="shared" si="357"/>
      </c>
      <c r="N230" s="123">
        <f t="shared" si="79"/>
      </c>
      <c r="O230" s="135"/>
      <c r="P230" s="135">
        <f t="shared" si="111"/>
      </c>
      <c r="Q230" s="125">
        <f t="shared" si="141"/>
      </c>
      <c r="R230" s="125">
        <f t="shared" si="203"/>
      </c>
      <c r="S230" s="125"/>
    </row>
    <row customHeight="true" ht="23.703703703703702" r="231">
      <c r="A231" s="133">
        <v>45946</v>
      </c>
      <c r="B231" s="119" t="s">
        <v>217</v>
      </c>
      <c r="C231" s="119"/>
      <c r="D231" s="134" cm="1">
        <f t="array" ref="D231:D231">_xlfn.XLOOKUP(B231&amp;S231,'气-价格-毛利'!A:A&amp;'气-价格-毛利'!B:B,'气-价格-毛利'!D:D,0)</f>
      </c>
      <c r="E231" s="121">
        <f t="shared" si="49"/>
      </c>
      <c r="F231" s="120" cm="1">
        <f t="array" ref="F231:F231">_xlfn.XLOOKUP(B231&amp;S231,'气-价格-毛利'!A:A&amp;'气-价格-毛利'!B:B,'气-价格-毛利'!C:C,0)</f>
      </c>
      <c r="G231" s="121"/>
      <c r="H231" s="121"/>
      <c r="I231" s="121">
        <f t="shared" si="235"/>
      </c>
      <c r="J231" s="121">
        <f>C231*F231-H231-I231</f>
      </c>
      <c r="K231" s="123">
        <f t="shared" si="327"/>
      </c>
      <c r="L231" s="121">
        <f>J231*7</f>
      </c>
      <c r="M231" s="121">
        <f>E231*7</f>
      </c>
      <c r="N231" s="123">
        <f t="shared" si="79"/>
      </c>
      <c r="O231" s="124"/>
      <c r="P231" s="124">
        <f t="shared" si="111"/>
      </c>
      <c r="Q231" s="125">
        <f t="shared" si="141"/>
      </c>
      <c r="R231" s="125"/>
      <c r="S231" s="137"/>
    </row>
    <row customHeight="true" ht="23.703703703703702" r="232">
      <c r="A232" s="133">
        <v>45946</v>
      </c>
      <c r="B232" s="119" t="s">
        <v>191</v>
      </c>
      <c r="C232" s="119">
        <f>SUM(C221:C231)</f>
      </c>
      <c r="D232" s="129"/>
      <c r="E232" s="121">
        <f>SUM(E221:E231)</f>
      </c>
      <c r="F232" s="122">
        <f>SUM(F221:F230)</f>
      </c>
      <c r="G232" s="121"/>
      <c r="H232" s="121"/>
      <c r="I232" s="121"/>
      <c r="J232" s="121">
        <f>SUM(J221:J231)</f>
      </c>
      <c r="K232" s="123">
        <f t="shared" si="327"/>
      </c>
      <c r="L232" s="121">
        <f>SUM(L221:L231)</f>
      </c>
      <c r="M232" s="121">
        <f>SUM(M221:M231)</f>
      </c>
      <c r="N232" s="123"/>
      <c r="O232" s="135">
        <f>SUM(O221:O230)</f>
      </c>
      <c r="P232" s="135">
        <f t="shared" si="111"/>
      </c>
      <c r="Q232" s="125">
        <f t="shared" si="141"/>
      </c>
      <c r="R232" s="125"/>
      <c r="S232" s="129"/>
    </row>
    <row customHeight="true" ht="23.703703703703702" r="233">
      <c r="B233" s="117" t="s">
        <v>218</v>
      </c>
    </row>
    <row customHeight="true" ht="23.703703703703702" r="234">
      <c r="A234" s="111" t="s">
        <v>219</v>
      </c>
      <c r="B234" s="112" t="s">
        <v>192</v>
      </c>
      <c r="C234" s="130" t="s">
        <v>193</v>
      </c>
      <c r="D234" s="112" t="s">
        <v>194</v>
      </c>
      <c r="E234" s="113" t="s">
        <v>195</v>
      </c>
      <c r="F234" s="114" t="s">
        <v>196</v>
      </c>
      <c r="G234" s="113" t="s">
        <v>197</v>
      </c>
      <c r="H234" s="131" t="s">
        <v>198</v>
      </c>
      <c r="I234" s="113" t="s">
        <v>199</v>
      </c>
      <c r="J234" s="113" t="s">
        <v>196</v>
      </c>
      <c r="K234" s="115" t="s">
        <v>200</v>
      </c>
      <c r="L234" s="113" t="s">
        <v>201</v>
      </c>
      <c r="M234" s="113" t="s">
        <v>202</v>
      </c>
      <c r="N234" s="112" t="s">
        <v>203</v>
      </c>
      <c r="O234" s="132" t="s">
        <v>204</v>
      </c>
      <c r="P234" s="116" t="s">
        <v>205</v>
      </c>
      <c r="Q234" s="115" t="s">
        <v>206</v>
      </c>
      <c r="R234" s="115" t="s">
        <v>207</v>
      </c>
      <c r="S234" s="115" t="s">
        <v>220</v>
      </c>
    </row>
    <row customHeight="true" ht="23.703703703703702" r="235">
      <c r="A235" s="133">
        <v>45947</v>
      </c>
      <c r="B235" s="119" t="s">
        <v>210</v>
      </c>
      <c r="C235" s="119">
        <v>0</v>
      </c>
      <c r="D235" s="134" cm="1">
        <f t="array" ref="D235:D235">_xlfn.XLOOKUP(B235&amp;S235,'气-价格-毛利'!A:A&amp;'气-价格-毛利'!B:B,'气-价格-毛利'!D:D,0)</f>
      </c>
      <c r="E235" s="121">
        <f t="shared" ref="E235:E245" si="50">C235*D235</f>
      </c>
      <c r="F235" s="120" cm="1">
        <f t="array" ref="F235:F235">_xlfn.XLOOKUP(B235&amp;S235,'气-价格-毛利'!A:A&amp;'气-价格-毛利'!B:B,'气-价格-毛利'!C:C,0)</f>
      </c>
      <c r="G235" s="121">
        <f>C235*8</f>
      </c>
      <c r="H235" s="119">
        <v>0</v>
      </c>
      <c r="I235" s="121">
        <f t="shared" ref="I235:I245" si="236">E235*0.025</f>
      </c>
      <c r="J235" s="121">
        <f t="shared" ref="J235:J244" si="267">F235*C235+G235-H235-I235</f>
      </c>
      <c r="K235" s="123">
        <f t="shared" ref="K235:K246" si="328">IFERROR(J235/E235,0)</f>
      </c>
      <c r="L235" s="121">
        <f t="shared" ref="L235:L242" si="390">J235*8</f>
      </c>
      <c r="M235" s="121">
        <f t="shared" ref="M235:M242" si="18">E235*8</f>
      </c>
      <c r="N235" s="123">
        <f t="shared" ref="N235:N245" si="80">IFERROR(H235/E235,0)</f>
      </c>
      <c r="O235" s="119">
        <v>0</v>
      </c>
      <c r="P235" s="135">
        <f t="shared" ref="P235:P246" si="112">C235-O235</f>
      </c>
      <c r="Q235" s="125">
        <f t="shared" ref="Q235:Q246" si="142">IFERROR(O235/C235,0)</f>
      </c>
      <c r="R235" s="125">
        <f t="shared" ref="R235:R244" si="204">IFERROR(H235/(E235*Q235),0)</f>
      </c>
      <c r="S235" s="123" t="s">
        <v>221</v>
      </c>
    </row>
    <row customHeight="true" ht="23.703703703703702" r="236">
      <c r="A236" s="133">
        <v>45947</v>
      </c>
      <c r="B236" s="119" t="s">
        <v>210</v>
      </c>
      <c r="C236" s="119">
        <v>0</v>
      </c>
      <c r="D236" s="134" cm="1">
        <f t="array" ref="D236:D236">_xlfn.XLOOKUP(B236&amp;S236,'气-价格-毛利'!A:A&amp;'气-价格-毛利'!B:B,'气-价格-毛利'!D:D,0)</f>
      </c>
      <c r="E236" s="121">
        <f t="shared" si="50"/>
      </c>
      <c r="F236" s="120" cm="1">
        <f t="array" ref="F236:F236">_xlfn.XLOOKUP(B236&amp;S236,'气-价格-毛利'!A:A&amp;'气-价格-毛利'!B:B,'气-价格-毛利'!C:C,0)</f>
      </c>
      <c r="G236" s="121">
        <f>C236*10</f>
      </c>
      <c r="H236" s="119">
        <v>0</v>
      </c>
      <c r="I236" s="121">
        <f t="shared" si="236"/>
      </c>
      <c r="J236" s="121">
        <f t="shared" si="267"/>
      </c>
      <c r="K236" s="123">
        <f t="shared" si="328"/>
      </c>
      <c r="L236" s="121">
        <f t="shared" si="390"/>
      </c>
      <c r="M236" s="121">
        <f t="shared" si="18"/>
      </c>
      <c r="N236" s="123">
        <f t="shared" si="80"/>
      </c>
      <c r="O236" s="119">
        <v>0</v>
      </c>
      <c r="P236" s="135">
        <f t="shared" si="112"/>
      </c>
      <c r="Q236" s="125">
        <f t="shared" si="142"/>
      </c>
      <c r="R236" s="125">
        <f t="shared" si="204"/>
      </c>
      <c r="S236" s="123" t="s">
        <v>223</v>
      </c>
    </row>
    <row customHeight="true" ht="23.703703703703702" r="237">
      <c r="A237" s="133">
        <v>45947</v>
      </c>
      <c r="B237" s="119" t="s">
        <v>211</v>
      </c>
      <c r="C237" s="119">
        <v>0</v>
      </c>
      <c r="D237" s="134" cm="1">
        <f t="array" ref="D237:D237">_xlfn.XLOOKUP(B237&amp;S237,'气-价格-毛利'!A:A&amp;'气-价格-毛利'!B:B,'气-价格-毛利'!D:D,0)</f>
      </c>
      <c r="E237" s="121">
        <f t="shared" si="50"/>
      </c>
      <c r="F237" s="120" cm="1">
        <f t="array" ref="F237:F237">_xlfn.XLOOKUP(B237&amp;S237,'气-价格-毛利'!A:A&amp;'气-价格-毛利'!B:B,'气-价格-毛利'!C:C,0)</f>
      </c>
      <c r="G237" s="121">
        <f>C237*8</f>
      </c>
      <c r="H237" s="119">
        <v>0</v>
      </c>
      <c r="I237" s="121">
        <f t="shared" si="236"/>
      </c>
      <c r="J237" s="121">
        <f t="shared" si="267"/>
      </c>
      <c r="K237" s="123">
        <f t="shared" si="328"/>
      </c>
      <c r="L237" s="121">
        <f t="shared" si="390"/>
      </c>
      <c r="M237" s="121">
        <f t="shared" si="18"/>
      </c>
      <c r="N237" s="123">
        <f t="shared" si="80"/>
      </c>
      <c r="O237" s="119">
        <v>0</v>
      </c>
      <c r="P237" s="135">
        <f t="shared" si="112"/>
      </c>
      <c r="Q237" s="125">
        <f t="shared" si="142"/>
      </c>
      <c r="R237" s="125">
        <f t="shared" si="204"/>
      </c>
      <c r="S237" s="123" t="s">
        <v>221</v>
      </c>
    </row>
    <row customHeight="true" ht="23.703703703703702" r="238">
      <c r="A238" s="133">
        <v>45947</v>
      </c>
      <c r="B238" s="119" t="s">
        <v>211</v>
      </c>
      <c r="C238" s="119">
        <v>0</v>
      </c>
      <c r="D238" s="134" cm="1">
        <f t="array" ref="D238:D238">_xlfn.XLOOKUP(B238&amp;S238,'气-价格-毛利'!A:A&amp;'气-价格-毛利'!B:B,'气-价格-毛利'!D:D,0)</f>
      </c>
      <c r="E238" s="121">
        <f t="shared" si="50"/>
      </c>
      <c r="F238" s="120" cm="1">
        <f t="array" ref="F238:F238">_xlfn.XLOOKUP(B238&amp;S238,'气-价格-毛利'!A:A&amp;'气-价格-毛利'!B:B,'气-价格-毛利'!C:C,0)</f>
      </c>
      <c r="G238" s="121">
        <f>C238*10</f>
      </c>
      <c r="H238" s="119">
        <v>0</v>
      </c>
      <c r="I238" s="121">
        <f t="shared" si="236"/>
      </c>
      <c r="J238" s="121">
        <f t="shared" si="267"/>
      </c>
      <c r="K238" s="123">
        <f t="shared" si="328"/>
      </c>
      <c r="L238" s="121">
        <f t="shared" si="390"/>
      </c>
      <c r="M238" s="121">
        <f t="shared" si="18"/>
      </c>
      <c r="N238" s="123">
        <f t="shared" si="80"/>
      </c>
      <c r="O238" s="119">
        <v>0</v>
      </c>
      <c r="P238" s="135">
        <f t="shared" si="112"/>
      </c>
      <c r="Q238" s="125">
        <f t="shared" si="142"/>
      </c>
      <c r="R238" s="125">
        <f t="shared" si="204"/>
      </c>
      <c r="S238" s="123" t="s">
        <v>223</v>
      </c>
    </row>
    <row customHeight="true" ht="23.703703703703702" r="239">
      <c r="A239" s="133">
        <v>45947</v>
      </c>
      <c r="B239" s="119" t="s">
        <v>213</v>
      </c>
      <c r="C239" s="119">
        <v>8</v>
      </c>
      <c r="D239" s="134" cm="1">
        <f t="array" ref="D239:D239">_xlfn.XLOOKUP(B239&amp;S239,'气-价格-毛利'!A:A&amp;'气-价格-毛利'!B:B,'气-价格-毛利'!D:D,0)</f>
      </c>
      <c r="E239" s="121">
        <f t="shared" si="50"/>
      </c>
      <c r="F239" s="120" cm="1">
        <f t="array" ref="F239:F239">_xlfn.XLOOKUP(B239&amp;S239,'气-价格-毛利'!A:A&amp;'气-价格-毛利'!B:B,'气-价格-毛利'!C:C,0)</f>
      </c>
      <c r="G239" s="121">
        <f>C239*8</f>
      </c>
      <c r="H239" s="119">
        <v>0</v>
      </c>
      <c r="I239" s="121">
        <f t="shared" si="236"/>
      </c>
      <c r="J239" s="121">
        <f t="shared" si="267"/>
      </c>
      <c r="K239" s="123">
        <f t="shared" si="328"/>
      </c>
      <c r="L239" s="121">
        <f t="shared" si="390"/>
      </c>
      <c r="M239" s="121">
        <f t="shared" si="18"/>
      </c>
      <c r="N239" s="123">
        <f t="shared" si="80"/>
      </c>
      <c r="O239" s="119">
        <v>0</v>
      </c>
      <c r="P239" s="135">
        <f t="shared" si="112"/>
      </c>
      <c r="Q239" s="125">
        <f t="shared" si="142"/>
      </c>
      <c r="R239" s="125">
        <f t="shared" si="204"/>
      </c>
      <c r="S239" s="123" t="s">
        <v>221</v>
      </c>
    </row>
    <row customHeight="true" ht="23.703703703703702" r="240">
      <c r="A240" s="133">
        <v>45947</v>
      </c>
      <c r="B240" s="119" t="s">
        <v>213</v>
      </c>
      <c r="C240" s="119">
        <v>0</v>
      </c>
      <c r="D240" s="134" cm="1">
        <f t="array" ref="D240:D240">_xlfn.XLOOKUP(B240&amp;S240,'气-价格-毛利'!A:A&amp;'气-价格-毛利'!B:B,'气-价格-毛利'!D:D,0)</f>
      </c>
      <c r="E240" s="121">
        <f t="shared" si="50"/>
      </c>
      <c r="F240" s="120" cm="1">
        <f t="array" ref="F240:F240">_xlfn.XLOOKUP(B240&amp;S240,'气-价格-毛利'!A:A&amp;'气-价格-毛利'!B:B,'气-价格-毛利'!C:C,0)</f>
      </c>
      <c r="G240" s="121">
        <f>C240*10</f>
      </c>
      <c r="H240" s="119">
        <v>0</v>
      </c>
      <c r="I240" s="121">
        <f t="shared" si="236"/>
      </c>
      <c r="J240" s="121">
        <f t="shared" si="267"/>
      </c>
      <c r="K240" s="123">
        <f t="shared" si="328"/>
      </c>
      <c r="L240" s="121">
        <f t="shared" si="390"/>
      </c>
      <c r="M240" s="121">
        <f t="shared" si="18"/>
      </c>
      <c r="N240" s="123">
        <f t="shared" si="80"/>
      </c>
      <c r="O240" s="119">
        <v>0</v>
      </c>
      <c r="P240" s="135">
        <f t="shared" si="112"/>
      </c>
      <c r="Q240" s="125">
        <f t="shared" si="142"/>
      </c>
      <c r="R240" s="125">
        <f t="shared" si="204"/>
      </c>
      <c r="S240" s="123" t="s">
        <v>223</v>
      </c>
    </row>
    <row customHeight="true" ht="23.703703703703702" r="241">
      <c r="A241" s="133">
        <v>45947</v>
      </c>
      <c r="B241" s="119" t="s">
        <v>214</v>
      </c>
      <c r="C241" s="119">
        <v>19</v>
      </c>
      <c r="D241" s="134" cm="1">
        <f t="array" ref="D241:D241">_xlfn.XLOOKUP(B241&amp;S241,'气-价格-毛利'!A:A&amp;'气-价格-毛利'!B:B,'气-价格-毛利'!D:D,0)</f>
      </c>
      <c r="E241" s="121">
        <f t="shared" si="50"/>
      </c>
      <c r="F241" s="120" cm="1">
        <f t="array" ref="F241:F241">_xlfn.XLOOKUP(B241&amp;S241,'气-价格-毛利'!A:A&amp;'气-价格-毛利'!B:B,'气-价格-毛利'!C:C,0)</f>
      </c>
      <c r="G241" s="121">
        <f>C241*8</f>
      </c>
      <c r="H241" s="119">
        <v>0</v>
      </c>
      <c r="I241" s="121">
        <f t="shared" si="236"/>
      </c>
      <c r="J241" s="121">
        <f t="shared" si="267"/>
      </c>
      <c r="K241" s="123">
        <f t="shared" si="328"/>
      </c>
      <c r="L241" s="121">
        <f t="shared" si="390"/>
      </c>
      <c r="M241" s="121">
        <f t="shared" si="18"/>
      </c>
      <c r="N241" s="123">
        <f t="shared" si="80"/>
      </c>
      <c r="O241" s="119">
        <v>0</v>
      </c>
      <c r="P241" s="135">
        <f t="shared" si="112"/>
      </c>
      <c r="Q241" s="125">
        <f t="shared" si="142"/>
      </c>
      <c r="R241" s="125">
        <f t="shared" si="204"/>
      </c>
      <c r="S241" s="123" t="s">
        <v>221</v>
      </c>
    </row>
    <row customHeight="true" ht="23.703703703703702" r="242">
      <c r="A242" s="133">
        <v>45947</v>
      </c>
      <c r="B242" s="119" t="s">
        <v>214</v>
      </c>
      <c r="C242" s="119">
        <v>0</v>
      </c>
      <c r="D242" s="134" cm="1">
        <f t="array" ref="D242:D242">_xlfn.XLOOKUP(B242&amp;S242,'气-价格-毛利'!A:A&amp;'气-价格-毛利'!B:B,'气-价格-毛利'!D:D,0)</f>
      </c>
      <c r="E242" s="121">
        <f t="shared" si="50"/>
      </c>
      <c r="F242" s="120" cm="1">
        <f t="array" ref="F242:F242">_xlfn.XLOOKUP(B242&amp;S242,'气-价格-毛利'!A:A&amp;'气-价格-毛利'!B:B,'气-价格-毛利'!C:C,0)</f>
      </c>
      <c r="G242" s="121">
        <f>C242*10</f>
      </c>
      <c r="H242" s="119">
        <v>0</v>
      </c>
      <c r="I242" s="121">
        <f t="shared" si="236"/>
      </c>
      <c r="J242" s="121">
        <f t="shared" si="267"/>
      </c>
      <c r="K242" s="123">
        <f t="shared" si="328"/>
      </c>
      <c r="L242" s="121">
        <f t="shared" si="390"/>
      </c>
      <c r="M242" s="121">
        <f t="shared" si="18"/>
      </c>
      <c r="N242" s="123">
        <f t="shared" si="80"/>
      </c>
      <c r="O242" s="119">
        <v>0</v>
      </c>
      <c r="P242" s="135">
        <f t="shared" si="112"/>
      </c>
      <c r="Q242" s="125">
        <f t="shared" si="142"/>
      </c>
      <c r="R242" s="125">
        <f t="shared" si="204"/>
      </c>
      <c r="S242" s="123" t="s">
        <v>223</v>
      </c>
    </row>
    <row customHeight="true" ht="23.703703703703702" r="243">
      <c r="A243" s="133">
        <v>45947</v>
      </c>
      <c r="B243" s="119" t="s">
        <v>216</v>
      </c>
      <c r="C243" s="119">
        <v>0</v>
      </c>
      <c r="D243" s="134" cm="1">
        <f t="array" ref="D243:D243">_xlfn.XLOOKUP(B243&amp;S243,'气-价格-毛利'!A:A&amp;'气-价格-毛利'!B:B,'气-价格-毛利'!D:D,0)</f>
      </c>
      <c r="E243" s="121">
        <f t="shared" si="50"/>
      </c>
      <c r="F243" s="120" cm="1">
        <f t="array" ref="F243:F243">_xlfn.XLOOKUP(B243&amp;S243,'气-价格-毛利'!A:A&amp;'气-价格-毛利'!B:B,'气-价格-毛利'!C:C,0)</f>
      </c>
      <c r="G243" s="121">
        <f t="shared" ref="G243:G244" si="174">C243*8</f>
      </c>
      <c r="H243" s="119">
        <v>0</v>
      </c>
      <c r="I243" s="121">
        <f t="shared" si="236"/>
      </c>
      <c r="J243" s="121">
        <f t="shared" si="267"/>
      </c>
      <c r="K243" s="123">
        <f t="shared" si="328"/>
      </c>
      <c r="L243" s="121">
        <f t="shared" ref="L243:L244" si="297">J243*9</f>
      </c>
      <c r="M243" s="121">
        <f t="shared" ref="M243:M244" si="358">E243*9</f>
      </c>
      <c r="N243" s="123">
        <f t="shared" si="80"/>
      </c>
      <c r="O243" s="119">
        <v>0</v>
      </c>
      <c r="P243" s="135">
        <f t="shared" si="112"/>
      </c>
      <c r="Q243" s="125">
        <f t="shared" si="142"/>
      </c>
      <c r="R243" s="125">
        <f t="shared" si="204"/>
      </c>
      <c r="S243" s="125"/>
    </row>
    <row customHeight="true" ht="23.703703703703702" r="244">
      <c r="A244" s="133">
        <v>45947</v>
      </c>
      <c r="B244" s="119" t="s">
        <v>216</v>
      </c>
      <c r="C244" s="119">
        <v>0</v>
      </c>
      <c r="D244" s="134" cm="1">
        <f t="array" ref="D244:D244">_xlfn.XLOOKUP(B244&amp;S244,'气-价格-毛利'!A:A&amp;'气-价格-毛利'!B:B,'气-价格-毛利'!D:D,0)</f>
      </c>
      <c r="E244" s="121">
        <f t="shared" si="50"/>
      </c>
      <c r="F244" s="120" cm="1">
        <f t="array" ref="F244:F244">_xlfn.XLOOKUP(B244&amp;S244,'气-价格-毛利'!A:A&amp;'气-价格-毛利'!B:B,'气-价格-毛利'!C:C,0)</f>
      </c>
      <c r="G244" s="121">
        <f t="shared" si="174"/>
      </c>
      <c r="H244" s="119">
        <v>0</v>
      </c>
      <c r="I244" s="121">
        <f t="shared" si="236"/>
      </c>
      <c r="J244" s="121">
        <f t="shared" si="267"/>
      </c>
      <c r="K244" s="123">
        <f t="shared" si="328"/>
      </c>
      <c r="L244" s="121">
        <f t="shared" si="297"/>
      </c>
      <c r="M244" s="121">
        <f t="shared" si="358"/>
      </c>
      <c r="N244" s="123">
        <f t="shared" si="80"/>
      </c>
      <c r="O244" s="119">
        <v>0</v>
      </c>
      <c r="P244" s="135">
        <f t="shared" si="112"/>
      </c>
      <c r="Q244" s="125">
        <f t="shared" si="142"/>
      </c>
      <c r="R244" s="125">
        <f t="shared" si="204"/>
      </c>
      <c r="S244" s="125"/>
    </row>
    <row customHeight="true" ht="23.703703703703702" r="245">
      <c r="A245" s="133">
        <v>45947</v>
      </c>
      <c r="B245" s="119" t="s">
        <v>217</v>
      </c>
      <c r="C245" s="119">
        <v>0</v>
      </c>
      <c r="D245" s="134" cm="1">
        <f t="array" ref="D245:D245">_xlfn.XLOOKUP(B245&amp;S245,'气-价格-毛利'!A:A&amp;'气-价格-毛利'!B:B,'气-价格-毛利'!D:D,0)</f>
      </c>
      <c r="E245" s="121">
        <f t="shared" si="50"/>
      </c>
      <c r="F245" s="120" cm="1">
        <f t="array" ref="F245:F245">_xlfn.XLOOKUP(B245&amp;S245,'气-价格-毛利'!A:A&amp;'气-价格-毛利'!B:B,'气-价格-毛利'!C:C,0)</f>
      </c>
      <c r="G245" s="121"/>
      <c r="H245" s="119">
        <v>0</v>
      </c>
      <c r="I245" s="121">
        <f t="shared" si="236"/>
      </c>
      <c r="J245" s="121">
        <f>C245*F245-H245-I245</f>
      </c>
      <c r="K245" s="123">
        <f t="shared" si="328"/>
      </c>
      <c r="L245" s="121">
        <f>J245*7</f>
      </c>
      <c r="M245" s="121">
        <f>E245*7</f>
      </c>
      <c r="N245" s="123">
        <f t="shared" si="80"/>
      </c>
      <c r="O245" s="119">
        <v>0</v>
      </c>
      <c r="P245" s="124">
        <f t="shared" si="112"/>
      </c>
      <c r="Q245" s="125">
        <f t="shared" si="142"/>
      </c>
      <c r="R245" s="125"/>
      <c r="S245" s="137"/>
    </row>
    <row customHeight="true" ht="23.703703703703702" r="246">
      <c r="A246" s="133">
        <v>45947</v>
      </c>
      <c r="B246" s="119" t="s">
        <v>191</v>
      </c>
      <c r="C246" s="119">
        <f>SUM(C235:C245)</f>
      </c>
      <c r="D246" s="129"/>
      <c r="E246" s="121">
        <f>SUM(E235:E245)</f>
      </c>
      <c r="F246" s="122">
        <f>SUM(F235:F244)</f>
      </c>
      <c r="G246" s="121"/>
      <c r="H246" s="121"/>
      <c r="I246" s="121"/>
      <c r="J246" s="121">
        <f>SUM(J235:J245)</f>
      </c>
      <c r="K246" s="123">
        <f t="shared" si="328"/>
      </c>
      <c r="L246" s="121">
        <f>SUM(L235:L245)</f>
      </c>
      <c r="M246" s="121">
        <f>SUM(M235:M245)</f>
      </c>
      <c r="N246" s="123"/>
      <c r="O246" s="135">
        <f>SUM(O235:O244)</f>
      </c>
      <c r="P246" s="135">
        <f t="shared" si="112"/>
      </c>
      <c r="Q246" s="125">
        <f t="shared" si="142"/>
      </c>
      <c r="R246" s="125"/>
      <c r="S246" s="129"/>
    </row>
    <row customHeight="true" ht="23.703703703703702" r="247">
      <c r="B247" s="117" t="s">
        <v>218</v>
      </c>
    </row>
    <row customHeight="true" ht="23.703703703703702" r="248">
      <c r="A248" s="111" t="s">
        <v>219</v>
      </c>
      <c r="B248" s="112" t="s">
        <v>192</v>
      </c>
      <c r="C248" s="130" t="s">
        <v>193</v>
      </c>
      <c r="D248" s="112" t="s">
        <v>194</v>
      </c>
      <c r="E248" s="113" t="s">
        <v>195</v>
      </c>
      <c r="F248" s="114" t="s">
        <v>196</v>
      </c>
      <c r="G248" s="113" t="s">
        <v>197</v>
      </c>
      <c r="H248" s="131" t="s">
        <v>198</v>
      </c>
      <c r="I248" s="113" t="s">
        <v>199</v>
      </c>
      <c r="J248" s="113" t="s">
        <v>196</v>
      </c>
      <c r="K248" s="115" t="s">
        <v>200</v>
      </c>
      <c r="L248" s="113" t="s">
        <v>201</v>
      </c>
      <c r="M248" s="113" t="s">
        <v>202</v>
      </c>
      <c r="N248" s="112" t="s">
        <v>203</v>
      </c>
      <c r="O248" s="132" t="s">
        <v>204</v>
      </c>
      <c r="P248" s="116" t="s">
        <v>205</v>
      </c>
      <c r="Q248" s="115" t="s">
        <v>206</v>
      </c>
      <c r="R248" s="115" t="s">
        <v>207</v>
      </c>
      <c r="S248" s="115" t="s">
        <v>220</v>
      </c>
    </row>
    <row customHeight="true" ht="23.703703703703702" r="249">
      <c r="A249" s="133">
        <v>45948</v>
      </c>
      <c r="B249" s="119" t="s">
        <v>210</v>
      </c>
      <c r="C249" s="119">
        <v>0</v>
      </c>
      <c r="D249" s="134" cm="1">
        <f t="array" ref="D249:D249">_xlfn.XLOOKUP(B249&amp;S249,'气-价格-毛利'!A:A&amp;'气-价格-毛利'!B:B,'气-价格-毛利'!D:D,0)</f>
      </c>
      <c r="E249" s="121">
        <f t="shared" ref="E249:E259" si="51">C249*D249</f>
      </c>
      <c r="F249" s="120" cm="1">
        <f t="array" ref="F249:F249">_xlfn.XLOOKUP(B249&amp;S249,'气-价格-毛利'!A:A&amp;'气-价格-毛利'!B:B,'气-价格-毛利'!C:C,0)</f>
      </c>
      <c r="G249" s="121">
        <f>C249*8</f>
      </c>
      <c r="H249" s="119">
        <v>0</v>
      </c>
      <c r="I249" s="121">
        <f t="shared" ref="I249:I259" si="237">E249*0.025</f>
      </c>
      <c r="J249" s="121">
        <f t="shared" ref="J249:J258" si="268">F249*C249+G249-H249-I249</f>
      </c>
      <c r="K249" s="123">
        <f t="shared" ref="K249:K260" si="329">IFERROR(J249/E249,0)</f>
      </c>
      <c r="L249" s="121">
        <f t="shared" ref="L249:L256" si="391">J249*8</f>
      </c>
      <c r="M249" s="121">
        <f t="shared" ref="M249:M256" si="19">E249*8</f>
      </c>
      <c r="N249" s="123">
        <f t="shared" ref="N249:N259" si="81">IFERROR(H249/E249,0)</f>
      </c>
      <c r="O249" s="119">
        <v>0</v>
      </c>
      <c r="P249" s="135">
        <f t="shared" ref="P249:P260" si="113">C249-O249</f>
      </c>
      <c r="Q249" s="125">
        <f t="shared" ref="Q249:Q260" si="143">IFERROR(O249/C249,0)</f>
      </c>
      <c r="R249" s="125">
        <f t="shared" ref="R249:R258" si="205">IFERROR(H249/(E249*Q249),0)</f>
      </c>
      <c r="S249" s="123" t="s">
        <v>221</v>
      </c>
    </row>
    <row customHeight="true" ht="23.703703703703702" r="250">
      <c r="A250" s="133">
        <v>45948</v>
      </c>
      <c r="B250" s="119" t="s">
        <v>210</v>
      </c>
      <c r="C250" s="119">
        <v>0</v>
      </c>
      <c r="D250" s="134" cm="1">
        <f t="array" ref="D250:D250">_xlfn.XLOOKUP(B250&amp;S250,'气-价格-毛利'!A:A&amp;'气-价格-毛利'!B:B,'气-价格-毛利'!D:D,0)</f>
      </c>
      <c r="E250" s="121">
        <f t="shared" si="51"/>
      </c>
      <c r="F250" s="120" cm="1">
        <f t="array" ref="F250:F250">_xlfn.XLOOKUP(B250&amp;S250,'气-价格-毛利'!A:A&amp;'气-价格-毛利'!B:B,'气-价格-毛利'!C:C,0)</f>
      </c>
      <c r="G250" s="121">
        <f>C250*10</f>
      </c>
      <c r="H250" s="119">
        <v>0</v>
      </c>
      <c r="I250" s="121">
        <f t="shared" si="237"/>
      </c>
      <c r="J250" s="121">
        <f t="shared" si="268"/>
      </c>
      <c r="K250" s="123">
        <f t="shared" si="329"/>
      </c>
      <c r="L250" s="121">
        <f t="shared" si="391"/>
      </c>
      <c r="M250" s="121">
        <f t="shared" si="19"/>
      </c>
      <c r="N250" s="123">
        <f t="shared" si="81"/>
      </c>
      <c r="O250" s="119">
        <v>0</v>
      </c>
      <c r="P250" s="135">
        <f t="shared" si="113"/>
      </c>
      <c r="Q250" s="125">
        <f t="shared" si="143"/>
      </c>
      <c r="R250" s="125">
        <f t="shared" si="205"/>
      </c>
      <c r="S250" s="123" t="s">
        <v>223</v>
      </c>
    </row>
    <row customHeight="true" ht="23.703703703703702" r="251">
      <c r="A251" s="133">
        <v>45948</v>
      </c>
      <c r="B251" s="119" t="s">
        <v>211</v>
      </c>
      <c r="C251" s="119">
        <v>0</v>
      </c>
      <c r="D251" s="134" cm="1">
        <f t="array" ref="D251:D251">_xlfn.XLOOKUP(B251&amp;S251,'气-价格-毛利'!A:A&amp;'气-价格-毛利'!B:B,'气-价格-毛利'!D:D,0)</f>
      </c>
      <c r="E251" s="121">
        <f t="shared" si="51"/>
      </c>
      <c r="F251" s="120" cm="1">
        <f t="array" ref="F251:F251">_xlfn.XLOOKUP(B251&amp;S251,'气-价格-毛利'!A:A&amp;'气-价格-毛利'!B:B,'气-价格-毛利'!C:C,0)</f>
      </c>
      <c r="G251" s="121">
        <f>C251*8</f>
      </c>
      <c r="H251" s="119">
        <v>0</v>
      </c>
      <c r="I251" s="121">
        <f t="shared" si="237"/>
      </c>
      <c r="J251" s="121">
        <f t="shared" si="268"/>
      </c>
      <c r="K251" s="123">
        <f t="shared" si="329"/>
      </c>
      <c r="L251" s="121">
        <f t="shared" si="391"/>
      </c>
      <c r="M251" s="121">
        <f t="shared" si="19"/>
      </c>
      <c r="N251" s="123">
        <f t="shared" si="81"/>
      </c>
      <c r="O251" s="119">
        <v>0</v>
      </c>
      <c r="P251" s="135">
        <f t="shared" si="113"/>
      </c>
      <c r="Q251" s="125">
        <f t="shared" si="143"/>
      </c>
      <c r="R251" s="125">
        <f t="shared" si="205"/>
      </c>
      <c r="S251" s="123" t="s">
        <v>221</v>
      </c>
    </row>
    <row customHeight="true" ht="23.703703703703702" r="252">
      <c r="A252" s="133">
        <v>45948</v>
      </c>
      <c r="B252" s="119" t="s">
        <v>211</v>
      </c>
      <c r="C252" s="119">
        <v>0</v>
      </c>
      <c r="D252" s="134" cm="1">
        <f t="array" ref="D252:D252">_xlfn.XLOOKUP(B252&amp;S252,'气-价格-毛利'!A:A&amp;'气-价格-毛利'!B:B,'气-价格-毛利'!D:D,0)</f>
      </c>
      <c r="E252" s="121">
        <f t="shared" si="51"/>
      </c>
      <c r="F252" s="120" cm="1">
        <f t="array" ref="F252:F252">_xlfn.XLOOKUP(B252&amp;S252,'气-价格-毛利'!A:A&amp;'气-价格-毛利'!B:B,'气-价格-毛利'!C:C,0)</f>
      </c>
      <c r="G252" s="121">
        <f>C252*10</f>
      </c>
      <c r="H252" s="119">
        <v>0</v>
      </c>
      <c r="I252" s="121">
        <f t="shared" si="237"/>
      </c>
      <c r="J252" s="121">
        <f t="shared" si="268"/>
      </c>
      <c r="K252" s="123">
        <f t="shared" si="329"/>
      </c>
      <c r="L252" s="121">
        <f t="shared" si="391"/>
      </c>
      <c r="M252" s="121">
        <f t="shared" si="19"/>
      </c>
      <c r="N252" s="123">
        <f t="shared" si="81"/>
      </c>
      <c r="O252" s="119">
        <v>0</v>
      </c>
      <c r="P252" s="135">
        <f t="shared" si="113"/>
      </c>
      <c r="Q252" s="125">
        <f t="shared" si="143"/>
      </c>
      <c r="R252" s="125">
        <f t="shared" si="205"/>
      </c>
      <c r="S252" s="123" t="s">
        <v>223</v>
      </c>
    </row>
    <row customHeight="true" ht="23.703703703703702" r="253">
      <c r="A253" s="133">
        <v>45948</v>
      </c>
      <c r="B253" s="119" t="s">
        <v>213</v>
      </c>
      <c r="C253" s="119">
        <v>2</v>
      </c>
      <c r="D253" s="134" cm="1">
        <f t="array" ref="D253:D253">_xlfn.XLOOKUP(B253&amp;S253,'气-价格-毛利'!A:A&amp;'气-价格-毛利'!B:B,'气-价格-毛利'!D:D,0)</f>
      </c>
      <c r="E253" s="121">
        <f t="shared" si="51"/>
      </c>
      <c r="F253" s="120" cm="1">
        <f t="array" ref="F253:F253">_xlfn.XLOOKUP(B253&amp;S253,'气-价格-毛利'!A:A&amp;'气-价格-毛利'!B:B,'气-价格-毛利'!C:C,0)</f>
      </c>
      <c r="G253" s="121">
        <f>C253*8</f>
      </c>
      <c r="H253" s="119">
        <v>0</v>
      </c>
      <c r="I253" s="121">
        <f t="shared" si="237"/>
      </c>
      <c r="J253" s="121">
        <f t="shared" si="268"/>
      </c>
      <c r="K253" s="123">
        <f t="shared" si="329"/>
      </c>
      <c r="L253" s="121">
        <f t="shared" si="391"/>
      </c>
      <c r="M253" s="121">
        <f t="shared" si="19"/>
      </c>
      <c r="N253" s="123">
        <f t="shared" si="81"/>
      </c>
      <c r="O253" s="119">
        <v>0</v>
      </c>
      <c r="P253" s="135">
        <f t="shared" si="113"/>
      </c>
      <c r="Q253" s="125">
        <f t="shared" si="143"/>
      </c>
      <c r="R253" s="125">
        <f t="shared" si="205"/>
      </c>
      <c r="S253" s="123" t="s">
        <v>221</v>
      </c>
    </row>
    <row customHeight="true" ht="23.703703703703702" r="254">
      <c r="A254" s="133">
        <v>45948</v>
      </c>
      <c r="B254" s="119" t="s">
        <v>213</v>
      </c>
      <c r="C254" s="119">
        <v>0</v>
      </c>
      <c r="D254" s="134" cm="1">
        <f t="array" ref="D254:D254">_xlfn.XLOOKUP(B254&amp;S254,'气-价格-毛利'!A:A&amp;'气-价格-毛利'!B:B,'气-价格-毛利'!D:D,0)</f>
      </c>
      <c r="E254" s="121">
        <f t="shared" si="51"/>
      </c>
      <c r="F254" s="120" cm="1">
        <f t="array" ref="F254:F254">_xlfn.XLOOKUP(B254&amp;S254,'气-价格-毛利'!A:A&amp;'气-价格-毛利'!B:B,'气-价格-毛利'!C:C,0)</f>
      </c>
      <c r="G254" s="121">
        <f>C254*10</f>
      </c>
      <c r="H254" s="119">
        <v>0</v>
      </c>
      <c r="I254" s="121">
        <f t="shared" si="237"/>
      </c>
      <c r="J254" s="121">
        <f t="shared" si="268"/>
      </c>
      <c r="K254" s="123">
        <f t="shared" si="329"/>
      </c>
      <c r="L254" s="121">
        <f t="shared" si="391"/>
      </c>
      <c r="M254" s="121">
        <f t="shared" si="19"/>
      </c>
      <c r="N254" s="123">
        <f t="shared" si="81"/>
      </c>
      <c r="O254" s="119">
        <v>0</v>
      </c>
      <c r="P254" s="135">
        <f t="shared" si="113"/>
      </c>
      <c r="Q254" s="125">
        <f t="shared" si="143"/>
      </c>
      <c r="R254" s="125">
        <f t="shared" si="205"/>
      </c>
      <c r="S254" s="123" t="s">
        <v>223</v>
      </c>
    </row>
    <row customHeight="true" ht="23.703703703703702" r="255">
      <c r="A255" s="133">
        <v>45948</v>
      </c>
      <c r="B255" s="119" t="s">
        <v>214</v>
      </c>
      <c r="C255" s="119">
        <v>10</v>
      </c>
      <c r="D255" s="134" cm="1">
        <f t="array" ref="D255:D255">_xlfn.XLOOKUP(B255&amp;S255,'气-价格-毛利'!A:A&amp;'气-价格-毛利'!B:B,'气-价格-毛利'!D:D,0)</f>
      </c>
      <c r="E255" s="121">
        <f t="shared" si="51"/>
      </c>
      <c r="F255" s="120" cm="1">
        <f t="array" ref="F255:F255">_xlfn.XLOOKUP(B255&amp;S255,'气-价格-毛利'!A:A&amp;'气-价格-毛利'!B:B,'气-价格-毛利'!C:C,0)</f>
      </c>
      <c r="G255" s="121">
        <f>C255*8</f>
      </c>
      <c r="H255" s="119">
        <v>0</v>
      </c>
      <c r="I255" s="121">
        <f t="shared" si="237"/>
      </c>
      <c r="J255" s="121">
        <f t="shared" si="268"/>
      </c>
      <c r="K255" s="123">
        <f t="shared" si="329"/>
      </c>
      <c r="L255" s="121">
        <f t="shared" si="391"/>
      </c>
      <c r="M255" s="121">
        <f t="shared" si="19"/>
      </c>
      <c r="N255" s="123">
        <f t="shared" si="81"/>
      </c>
      <c r="O255" s="119">
        <v>0</v>
      </c>
      <c r="P255" s="135">
        <f t="shared" si="113"/>
      </c>
      <c r="Q255" s="125">
        <f t="shared" si="143"/>
      </c>
      <c r="R255" s="125">
        <f t="shared" si="205"/>
      </c>
      <c r="S255" s="123" t="s">
        <v>221</v>
      </c>
    </row>
    <row customHeight="true" ht="23.703703703703702" r="256">
      <c r="A256" s="133">
        <v>45948</v>
      </c>
      <c r="B256" s="119" t="s">
        <v>214</v>
      </c>
      <c r="C256" s="119">
        <v>0</v>
      </c>
      <c r="D256" s="134" cm="1">
        <f t="array" ref="D256:D256">_xlfn.XLOOKUP(B256&amp;S256,'气-价格-毛利'!A:A&amp;'气-价格-毛利'!B:B,'气-价格-毛利'!D:D,0)</f>
      </c>
      <c r="E256" s="121">
        <f t="shared" si="51"/>
      </c>
      <c r="F256" s="120" cm="1">
        <f t="array" ref="F256:F256">_xlfn.XLOOKUP(B256&amp;S256,'气-价格-毛利'!A:A&amp;'气-价格-毛利'!B:B,'气-价格-毛利'!C:C,0)</f>
      </c>
      <c r="G256" s="121">
        <f>C256*10</f>
      </c>
      <c r="H256" s="119">
        <v>0</v>
      </c>
      <c r="I256" s="121">
        <f t="shared" si="237"/>
      </c>
      <c r="J256" s="121">
        <f t="shared" si="268"/>
      </c>
      <c r="K256" s="123">
        <f t="shared" si="329"/>
      </c>
      <c r="L256" s="121">
        <f t="shared" si="391"/>
      </c>
      <c r="M256" s="121">
        <f t="shared" si="19"/>
      </c>
      <c r="N256" s="123">
        <f t="shared" si="81"/>
      </c>
      <c r="O256" s="119">
        <v>0</v>
      </c>
      <c r="P256" s="135">
        <f t="shared" si="113"/>
      </c>
      <c r="Q256" s="125">
        <f t="shared" si="143"/>
      </c>
      <c r="R256" s="125">
        <f t="shared" si="205"/>
      </c>
      <c r="S256" s="123" t="s">
        <v>223</v>
      </c>
    </row>
    <row customHeight="true" ht="23.703703703703702" r="257">
      <c r="A257" s="133">
        <v>45948</v>
      </c>
      <c r="B257" s="119" t="s">
        <v>216</v>
      </c>
      <c r="C257" s="119">
        <v>0</v>
      </c>
      <c r="D257" s="134" cm="1">
        <f t="array" ref="D257:D257">_xlfn.XLOOKUP(B257&amp;S257,'气-价格-毛利'!A:A&amp;'气-价格-毛利'!B:B,'气-价格-毛利'!D:D,0)</f>
      </c>
      <c r="E257" s="121">
        <f t="shared" si="51"/>
      </c>
      <c r="F257" s="120" cm="1">
        <f t="array" ref="F257:F257">_xlfn.XLOOKUP(B257&amp;S257,'气-价格-毛利'!A:A&amp;'气-价格-毛利'!B:B,'气-价格-毛利'!C:C,0)</f>
      </c>
      <c r="G257" s="121">
        <f t="shared" ref="G257:G258" si="175">C257*8</f>
      </c>
      <c r="H257" s="119">
        <v>0</v>
      </c>
      <c r="I257" s="121">
        <f t="shared" si="237"/>
      </c>
      <c r="J257" s="121">
        <f t="shared" si="268"/>
      </c>
      <c r="K257" s="123">
        <f t="shared" si="329"/>
      </c>
      <c r="L257" s="121">
        <f t="shared" ref="L257:L258" si="298">J257*9</f>
      </c>
      <c r="M257" s="121">
        <f t="shared" ref="M257:M258" si="359">E257*9</f>
      </c>
      <c r="N257" s="123">
        <f t="shared" si="81"/>
      </c>
      <c r="O257" s="119">
        <v>0</v>
      </c>
      <c r="P257" s="135">
        <f t="shared" si="113"/>
      </c>
      <c r="Q257" s="125">
        <f t="shared" si="143"/>
      </c>
      <c r="R257" s="125">
        <f t="shared" si="205"/>
      </c>
      <c r="S257" s="125"/>
    </row>
    <row customHeight="true" ht="23.703703703703702" r="258">
      <c r="A258" s="133">
        <v>45948</v>
      </c>
      <c r="B258" s="119" t="s">
        <v>216</v>
      </c>
      <c r="C258" s="119">
        <v>0</v>
      </c>
      <c r="D258" s="134" cm="1">
        <f t="array" ref="D258:D258">_xlfn.XLOOKUP(B258&amp;S258,'气-价格-毛利'!A:A&amp;'气-价格-毛利'!B:B,'气-价格-毛利'!D:D,0)</f>
      </c>
      <c r="E258" s="121">
        <f t="shared" si="51"/>
      </c>
      <c r="F258" s="120" cm="1">
        <f t="array" ref="F258:F258">_xlfn.XLOOKUP(B258&amp;S258,'气-价格-毛利'!A:A&amp;'气-价格-毛利'!B:B,'气-价格-毛利'!C:C,0)</f>
      </c>
      <c r="G258" s="121">
        <f t="shared" si="175"/>
      </c>
      <c r="H258" s="119">
        <v>0</v>
      </c>
      <c r="I258" s="121">
        <f t="shared" si="237"/>
      </c>
      <c r="J258" s="121">
        <f t="shared" si="268"/>
      </c>
      <c r="K258" s="123">
        <f t="shared" si="329"/>
      </c>
      <c r="L258" s="121">
        <f t="shared" si="298"/>
      </c>
      <c r="M258" s="121">
        <f t="shared" si="359"/>
      </c>
      <c r="N258" s="123">
        <f t="shared" si="81"/>
      </c>
      <c r="O258" s="119">
        <v>0</v>
      </c>
      <c r="P258" s="135">
        <f t="shared" si="113"/>
      </c>
      <c r="Q258" s="125">
        <f t="shared" si="143"/>
      </c>
      <c r="R258" s="125">
        <f t="shared" si="205"/>
      </c>
      <c r="S258" s="125"/>
    </row>
    <row customHeight="true" ht="23.703703703703702" r="259">
      <c r="A259" s="133">
        <v>45948</v>
      </c>
      <c r="B259" s="119" t="s">
        <v>217</v>
      </c>
      <c r="C259" s="119">
        <v>0</v>
      </c>
      <c r="D259" s="134" cm="1">
        <f t="array" ref="D259:D259">_xlfn.XLOOKUP(B259&amp;S259,'气-价格-毛利'!A:A&amp;'气-价格-毛利'!B:B,'气-价格-毛利'!D:D,0)</f>
      </c>
      <c r="E259" s="121">
        <f t="shared" si="51"/>
      </c>
      <c r="F259" s="120" cm="1">
        <f t="array" ref="F259:F259">_xlfn.XLOOKUP(B259&amp;S259,'气-价格-毛利'!A:A&amp;'气-价格-毛利'!B:B,'气-价格-毛利'!C:C,0)</f>
      </c>
      <c r="G259" s="121"/>
      <c r="H259" s="119">
        <v>0</v>
      </c>
      <c r="I259" s="121">
        <f t="shared" si="237"/>
      </c>
      <c r="J259" s="121">
        <f>C259*F259-H259-I259</f>
      </c>
      <c r="K259" s="123">
        <f t="shared" si="329"/>
      </c>
      <c r="L259" s="121">
        <f>J259*7</f>
      </c>
      <c r="M259" s="121">
        <f>E259*7</f>
      </c>
      <c r="N259" s="123">
        <f t="shared" si="81"/>
      </c>
      <c r="O259" s="119">
        <v>0</v>
      </c>
      <c r="P259" s="124">
        <f t="shared" si="113"/>
      </c>
      <c r="Q259" s="125">
        <f t="shared" si="143"/>
      </c>
      <c r="R259" s="125"/>
      <c r="S259" s="137"/>
    </row>
    <row customHeight="true" ht="23.703703703703702" r="260">
      <c r="A260" s="133">
        <v>45948</v>
      </c>
      <c r="B260" s="119" t="s">
        <v>191</v>
      </c>
      <c r="C260" s="119">
        <f>SUM(C249:C259)</f>
      </c>
      <c r="D260" s="129"/>
      <c r="E260" s="121">
        <f>SUM(E249:E259)</f>
      </c>
      <c r="F260" s="122">
        <f>SUM(F249:F258)</f>
      </c>
      <c r="G260" s="121"/>
      <c r="H260" s="121"/>
      <c r="I260" s="121"/>
      <c r="J260" s="121">
        <f>SUM(J249:J259)</f>
      </c>
      <c r="K260" s="123">
        <f t="shared" si="329"/>
      </c>
      <c r="L260" s="121">
        <f>SUM(L249:L259)</f>
      </c>
      <c r="M260" s="121">
        <f>SUM(M249:M259)</f>
      </c>
      <c r="N260" s="123"/>
      <c r="O260" s="135">
        <f>SUM(O249:O258)</f>
      </c>
      <c r="P260" s="135">
        <f t="shared" si="113"/>
      </c>
      <c r="Q260" s="125">
        <f t="shared" si="143"/>
      </c>
      <c r="R260" s="125"/>
      <c r="S260" s="129"/>
    </row>
    <row customHeight="true" ht="23.703703703703702" r="261">
      <c r="B261" s="117" t="s">
        <v>218</v>
      </c>
    </row>
    <row customHeight="true" ht="23.703703703703702" r="262">
      <c r="A262" s="111" t="s">
        <v>219</v>
      </c>
      <c r="B262" s="112" t="s">
        <v>192</v>
      </c>
      <c r="C262" s="130" t="s">
        <v>193</v>
      </c>
      <c r="D262" s="112" t="s">
        <v>194</v>
      </c>
      <c r="E262" s="113" t="s">
        <v>195</v>
      </c>
      <c r="F262" s="114" t="s">
        <v>196</v>
      </c>
      <c r="G262" s="113" t="s">
        <v>197</v>
      </c>
      <c r="H262" s="131" t="s">
        <v>198</v>
      </c>
      <c r="I262" s="113" t="s">
        <v>199</v>
      </c>
      <c r="J262" s="113" t="s">
        <v>196</v>
      </c>
      <c r="K262" s="115" t="s">
        <v>200</v>
      </c>
      <c r="L262" s="113" t="s">
        <v>201</v>
      </c>
      <c r="M262" s="113" t="s">
        <v>202</v>
      </c>
      <c r="N262" s="112" t="s">
        <v>203</v>
      </c>
      <c r="O262" s="132" t="s">
        <v>204</v>
      </c>
      <c r="P262" s="116" t="s">
        <v>205</v>
      </c>
      <c r="Q262" s="115" t="s">
        <v>206</v>
      </c>
      <c r="R262" s="115" t="s">
        <v>207</v>
      </c>
      <c r="S262" s="115" t="s">
        <v>220</v>
      </c>
    </row>
    <row customHeight="true" ht="23.703703703703702" r="263">
      <c r="A263" s="133">
        <v>45949</v>
      </c>
      <c r="B263" s="119" t="s">
        <v>210</v>
      </c>
      <c r="C263" s="119">
        <v>0</v>
      </c>
      <c r="D263" s="134" cm="1">
        <f t="array" ref="D263:D263">_xlfn.XLOOKUP(B263&amp;S263,'气-价格-毛利'!A:A&amp;'气-价格-毛利'!B:B,'气-价格-毛利'!D:D,0)</f>
      </c>
      <c r="E263" s="121">
        <f t="shared" ref="E263:E273" si="52">C263*D263</f>
      </c>
      <c r="F263" s="120" cm="1">
        <f t="array" ref="F263:F263">_xlfn.XLOOKUP(B263&amp;S263,'气-价格-毛利'!A:A&amp;'气-价格-毛利'!B:B,'气-价格-毛利'!C:C,0)</f>
      </c>
      <c r="G263" s="121">
        <f>C263*8</f>
      </c>
      <c r="H263" s="119">
        <v>0</v>
      </c>
      <c r="I263" s="121">
        <f t="shared" ref="I263:I273" si="238">E263*0.025</f>
      </c>
      <c r="J263" s="121">
        <f t="shared" ref="J263:J272" si="269">F263*C263+G263-H263-I263</f>
      </c>
      <c r="K263" s="123">
        <f t="shared" ref="K263:K274" si="330">IFERROR(J263/E263,0)</f>
      </c>
      <c r="L263" s="121">
        <f t="shared" ref="L263:L270" si="392">J263*8</f>
      </c>
      <c r="M263" s="121">
        <f t="shared" ref="M263:M270" si="20">E263*8</f>
      </c>
      <c r="N263" s="123">
        <f t="shared" ref="N263:N273" si="82">IFERROR(H263/E263,0)</f>
      </c>
      <c r="O263" s="119">
        <v>0</v>
      </c>
      <c r="P263" s="135">
        <f t="shared" ref="P263:P274" si="114">C263-O263</f>
      </c>
      <c r="Q263" s="125">
        <f t="shared" ref="Q263:Q274" si="144">IFERROR(O263/C263,0)</f>
      </c>
      <c r="R263" s="125">
        <f t="shared" ref="R263:R272" si="206">IFERROR(H263/(E263*Q263),0)</f>
      </c>
      <c r="S263" s="123" t="s">
        <v>221</v>
      </c>
    </row>
    <row customHeight="true" ht="23.703703703703702" r="264">
      <c r="A264" s="133">
        <v>45949</v>
      </c>
      <c r="B264" s="119" t="s">
        <v>210</v>
      </c>
      <c r="C264" s="119">
        <v>1</v>
      </c>
      <c r="D264" s="134" cm="1">
        <f t="array" ref="D264:D264">_xlfn.XLOOKUP(B264&amp;S264,'气-价格-毛利'!A:A&amp;'气-价格-毛利'!B:B,'气-价格-毛利'!D:D,0)</f>
      </c>
      <c r="E264" s="121">
        <f t="shared" si="52"/>
      </c>
      <c r="F264" s="120" cm="1">
        <f t="array" ref="F264:F264">_xlfn.XLOOKUP(B264&amp;S264,'气-价格-毛利'!A:A&amp;'气-价格-毛利'!B:B,'气-价格-毛利'!C:C,0)</f>
      </c>
      <c r="G264" s="121">
        <f>C264*10</f>
      </c>
      <c r="H264" s="119">
        <v>0</v>
      </c>
      <c r="I264" s="121">
        <f t="shared" si="238"/>
      </c>
      <c r="J264" s="121">
        <f t="shared" si="269"/>
      </c>
      <c r="K264" s="123">
        <f t="shared" si="330"/>
      </c>
      <c r="L264" s="121">
        <f t="shared" si="392"/>
      </c>
      <c r="M264" s="121">
        <f t="shared" si="20"/>
      </c>
      <c r="N264" s="123">
        <f t="shared" si="82"/>
      </c>
      <c r="O264" s="119">
        <v>0</v>
      </c>
      <c r="P264" s="135">
        <f t="shared" si="114"/>
      </c>
      <c r="Q264" s="125">
        <f t="shared" si="144"/>
      </c>
      <c r="R264" s="125">
        <f t="shared" si="206"/>
      </c>
      <c r="S264" s="123" t="s">
        <v>223</v>
      </c>
    </row>
    <row customHeight="true" ht="23.703703703703702" r="265">
      <c r="A265" s="133">
        <v>45949</v>
      </c>
      <c r="B265" s="119" t="s">
        <v>211</v>
      </c>
      <c r="C265" s="119">
        <v>0</v>
      </c>
      <c r="D265" s="134" cm="1">
        <f t="array" ref="D265:D265">_xlfn.XLOOKUP(B265&amp;S265,'气-价格-毛利'!A:A&amp;'气-价格-毛利'!B:B,'气-价格-毛利'!D:D,0)</f>
      </c>
      <c r="E265" s="121">
        <f t="shared" si="52"/>
      </c>
      <c r="F265" s="120" cm="1">
        <f t="array" ref="F265:F265">_xlfn.XLOOKUP(B265&amp;S265,'气-价格-毛利'!A:A&amp;'气-价格-毛利'!B:B,'气-价格-毛利'!C:C,0)</f>
      </c>
      <c r="G265" s="121">
        <f>C265*8</f>
      </c>
      <c r="H265" s="119">
        <v>0</v>
      </c>
      <c r="I265" s="121">
        <f t="shared" si="238"/>
      </c>
      <c r="J265" s="121">
        <f t="shared" si="269"/>
      </c>
      <c r="K265" s="123">
        <f t="shared" si="330"/>
      </c>
      <c r="L265" s="121">
        <f t="shared" si="392"/>
      </c>
      <c r="M265" s="121">
        <f t="shared" si="20"/>
      </c>
      <c r="N265" s="123">
        <f t="shared" si="82"/>
      </c>
      <c r="O265" s="119">
        <v>0</v>
      </c>
      <c r="P265" s="135">
        <f t="shared" si="114"/>
      </c>
      <c r="Q265" s="125">
        <f t="shared" si="144"/>
      </c>
      <c r="R265" s="125">
        <f t="shared" si="206"/>
      </c>
      <c r="S265" s="123" t="s">
        <v>221</v>
      </c>
    </row>
    <row customHeight="true" ht="23.703703703703702" r="266">
      <c r="A266" s="133">
        <v>45949</v>
      </c>
      <c r="B266" s="119" t="s">
        <v>211</v>
      </c>
      <c r="C266" s="119">
        <v>0</v>
      </c>
      <c r="D266" s="134" cm="1">
        <f t="array" ref="D266:D266">_xlfn.XLOOKUP(B266&amp;S266,'气-价格-毛利'!A:A&amp;'气-价格-毛利'!B:B,'气-价格-毛利'!D:D,0)</f>
      </c>
      <c r="E266" s="121">
        <f t="shared" si="52"/>
      </c>
      <c r="F266" s="120" cm="1">
        <f t="array" ref="F266:F266">_xlfn.XLOOKUP(B266&amp;S266,'气-价格-毛利'!A:A&amp;'气-价格-毛利'!B:B,'气-价格-毛利'!C:C,0)</f>
      </c>
      <c r="G266" s="121">
        <f>C266*10</f>
      </c>
      <c r="H266" s="119">
        <v>0</v>
      </c>
      <c r="I266" s="121">
        <f t="shared" si="238"/>
      </c>
      <c r="J266" s="121">
        <f t="shared" si="269"/>
      </c>
      <c r="K266" s="123">
        <f t="shared" si="330"/>
      </c>
      <c r="L266" s="121">
        <f t="shared" si="392"/>
      </c>
      <c r="M266" s="121">
        <f t="shared" si="20"/>
      </c>
      <c r="N266" s="123">
        <f t="shared" si="82"/>
      </c>
      <c r="O266" s="119">
        <v>0</v>
      </c>
      <c r="P266" s="135">
        <f t="shared" si="114"/>
      </c>
      <c r="Q266" s="125">
        <f t="shared" si="144"/>
      </c>
      <c r="R266" s="125">
        <f t="shared" si="206"/>
      </c>
      <c r="S266" s="123" t="s">
        <v>223</v>
      </c>
    </row>
    <row customHeight="true" ht="23.703703703703702" r="267">
      <c r="A267" s="133">
        <v>45949</v>
      </c>
      <c r="B267" s="119" t="s">
        <v>213</v>
      </c>
      <c r="C267" s="119">
        <v>0</v>
      </c>
      <c r="D267" s="134" cm="1">
        <f t="array" ref="D267:D267">_xlfn.XLOOKUP(B267&amp;S267,'气-价格-毛利'!A:A&amp;'气-价格-毛利'!B:B,'气-价格-毛利'!D:D,0)</f>
      </c>
      <c r="E267" s="121">
        <f t="shared" si="52"/>
      </c>
      <c r="F267" s="120" cm="1">
        <f t="array" ref="F267:F267">_xlfn.XLOOKUP(B267&amp;S267,'气-价格-毛利'!A:A&amp;'气-价格-毛利'!B:B,'气-价格-毛利'!C:C,0)</f>
      </c>
      <c r="G267" s="121">
        <f>C267*8</f>
      </c>
      <c r="H267" s="119">
        <v>0</v>
      </c>
      <c r="I267" s="121">
        <f t="shared" si="238"/>
      </c>
      <c r="J267" s="121">
        <f t="shared" si="269"/>
      </c>
      <c r="K267" s="123">
        <f t="shared" si="330"/>
      </c>
      <c r="L267" s="121">
        <f t="shared" si="392"/>
      </c>
      <c r="M267" s="121">
        <f t="shared" si="20"/>
      </c>
      <c r="N267" s="123">
        <f t="shared" si="82"/>
      </c>
      <c r="O267" s="119">
        <v>0</v>
      </c>
      <c r="P267" s="135">
        <f t="shared" si="114"/>
      </c>
      <c r="Q267" s="125">
        <f t="shared" si="144"/>
      </c>
      <c r="R267" s="125">
        <f t="shared" si="206"/>
      </c>
      <c r="S267" s="123" t="s">
        <v>221</v>
      </c>
    </row>
    <row customHeight="true" ht="23.703703703703702" r="268">
      <c r="A268" s="133">
        <v>45949</v>
      </c>
      <c r="B268" s="119" t="s">
        <v>213</v>
      </c>
      <c r="C268" s="119">
        <v>0</v>
      </c>
      <c r="D268" s="134" cm="1">
        <f t="array" ref="D268:D268">_xlfn.XLOOKUP(B268&amp;S268,'气-价格-毛利'!A:A&amp;'气-价格-毛利'!B:B,'气-价格-毛利'!D:D,0)</f>
      </c>
      <c r="E268" s="121">
        <f t="shared" si="52"/>
      </c>
      <c r="F268" s="120" cm="1">
        <f t="array" ref="F268:F268">_xlfn.XLOOKUP(B268&amp;S268,'气-价格-毛利'!A:A&amp;'气-价格-毛利'!B:B,'气-价格-毛利'!C:C,0)</f>
      </c>
      <c r="G268" s="121">
        <f>C268*10</f>
      </c>
      <c r="H268" s="119">
        <v>0</v>
      </c>
      <c r="I268" s="121">
        <f t="shared" si="238"/>
      </c>
      <c r="J268" s="121">
        <f t="shared" si="269"/>
      </c>
      <c r="K268" s="123">
        <f t="shared" si="330"/>
      </c>
      <c r="L268" s="121">
        <f t="shared" si="392"/>
      </c>
      <c r="M268" s="121">
        <f t="shared" si="20"/>
      </c>
      <c r="N268" s="123">
        <f t="shared" si="82"/>
      </c>
      <c r="O268" s="119">
        <v>0</v>
      </c>
      <c r="P268" s="135">
        <f t="shared" si="114"/>
      </c>
      <c r="Q268" s="125">
        <f t="shared" si="144"/>
      </c>
      <c r="R268" s="125">
        <f t="shared" si="206"/>
      </c>
      <c r="S268" s="123" t="s">
        <v>223</v>
      </c>
    </row>
    <row customHeight="true" ht="23.703703703703702" r="269">
      <c r="A269" s="133">
        <v>45949</v>
      </c>
      <c r="B269" s="119" t="s">
        <v>214</v>
      </c>
      <c r="C269" s="119">
        <v>1</v>
      </c>
      <c r="D269" s="134" cm="1">
        <f t="array" ref="D269:D269">_xlfn.XLOOKUP(B269&amp;S269,'气-价格-毛利'!A:A&amp;'气-价格-毛利'!B:B,'气-价格-毛利'!D:D,0)</f>
      </c>
      <c r="E269" s="121">
        <f t="shared" si="52"/>
      </c>
      <c r="F269" s="120" cm="1">
        <f t="array" ref="F269:F269">_xlfn.XLOOKUP(B269&amp;S269,'气-价格-毛利'!A:A&amp;'气-价格-毛利'!B:B,'气-价格-毛利'!C:C,0)</f>
      </c>
      <c r="G269" s="121">
        <f>C269*8</f>
      </c>
      <c r="H269" s="119">
        <v>0</v>
      </c>
      <c r="I269" s="121">
        <f t="shared" si="238"/>
      </c>
      <c r="J269" s="121">
        <f t="shared" si="269"/>
      </c>
      <c r="K269" s="123">
        <f t="shared" si="330"/>
      </c>
      <c r="L269" s="121">
        <f t="shared" si="392"/>
      </c>
      <c r="M269" s="121">
        <f t="shared" si="20"/>
      </c>
      <c r="N269" s="123">
        <f t="shared" si="82"/>
      </c>
      <c r="O269" s="119">
        <v>0</v>
      </c>
      <c r="P269" s="135">
        <f t="shared" si="114"/>
      </c>
      <c r="Q269" s="125">
        <f t="shared" si="144"/>
      </c>
      <c r="R269" s="125">
        <f t="shared" si="206"/>
      </c>
      <c r="S269" s="123" t="s">
        <v>221</v>
      </c>
    </row>
    <row customHeight="true" ht="23.703703703703702" r="270">
      <c r="A270" s="133">
        <v>45949</v>
      </c>
      <c r="B270" s="119" t="s">
        <v>214</v>
      </c>
      <c r="C270" s="119">
        <v>1</v>
      </c>
      <c r="D270" s="134" cm="1">
        <f t="array" ref="D270:D270">_xlfn.XLOOKUP(B270&amp;S270,'气-价格-毛利'!A:A&amp;'气-价格-毛利'!B:B,'气-价格-毛利'!D:D,0)</f>
      </c>
      <c r="E270" s="121">
        <f t="shared" si="52"/>
      </c>
      <c r="F270" s="120" cm="1">
        <f t="array" ref="F270:F270">_xlfn.XLOOKUP(B270&amp;S270,'气-价格-毛利'!A:A&amp;'气-价格-毛利'!B:B,'气-价格-毛利'!C:C,0)</f>
      </c>
      <c r="G270" s="121">
        <f>C270*10</f>
      </c>
      <c r="H270" s="119">
        <v>0</v>
      </c>
      <c r="I270" s="121">
        <f t="shared" si="238"/>
      </c>
      <c r="J270" s="121">
        <f t="shared" si="269"/>
      </c>
      <c r="K270" s="123">
        <f t="shared" si="330"/>
      </c>
      <c r="L270" s="121">
        <f t="shared" si="392"/>
      </c>
      <c r="M270" s="121">
        <f t="shared" si="20"/>
      </c>
      <c r="N270" s="123">
        <f t="shared" si="82"/>
      </c>
      <c r="O270" s="119">
        <v>0</v>
      </c>
      <c r="P270" s="135">
        <f t="shared" si="114"/>
      </c>
      <c r="Q270" s="125">
        <f t="shared" si="144"/>
      </c>
      <c r="R270" s="125">
        <f t="shared" si="206"/>
      </c>
      <c r="S270" s="123" t="s">
        <v>223</v>
      </c>
    </row>
    <row customHeight="true" ht="23.703703703703702" r="271">
      <c r="A271" s="133">
        <v>45949</v>
      </c>
      <c r="B271" s="119" t="s">
        <v>216</v>
      </c>
      <c r="C271" s="119">
        <v>0</v>
      </c>
      <c r="D271" s="134" cm="1">
        <f t="array" ref="D271:D271">_xlfn.XLOOKUP(B271&amp;S271,'气-价格-毛利'!A:A&amp;'气-价格-毛利'!B:B,'气-价格-毛利'!D:D,0)</f>
      </c>
      <c r="E271" s="121">
        <f t="shared" si="52"/>
      </c>
      <c r="F271" s="120" cm="1">
        <f t="array" ref="F271:F271">_xlfn.XLOOKUP(B271&amp;S271,'气-价格-毛利'!A:A&amp;'气-价格-毛利'!B:B,'气-价格-毛利'!C:C,0)</f>
      </c>
      <c r="G271" s="121">
        <f t="shared" ref="G271:G272" si="176">C271*8</f>
      </c>
      <c r="H271" s="119">
        <v>0</v>
      </c>
      <c r="I271" s="121">
        <f t="shared" si="238"/>
      </c>
      <c r="J271" s="121">
        <f t="shared" si="269"/>
      </c>
      <c r="K271" s="123">
        <f t="shared" si="330"/>
      </c>
      <c r="L271" s="121">
        <f t="shared" ref="L271:L272" si="299">J271*9</f>
      </c>
      <c r="M271" s="121">
        <f t="shared" ref="M271:M272" si="360">E271*9</f>
      </c>
      <c r="N271" s="123">
        <f t="shared" si="82"/>
      </c>
      <c r="O271" s="119">
        <v>0</v>
      </c>
      <c r="P271" s="135">
        <f t="shared" si="114"/>
      </c>
      <c r="Q271" s="125">
        <f t="shared" si="144"/>
      </c>
      <c r="R271" s="125">
        <f t="shared" si="206"/>
      </c>
      <c r="S271" s="125"/>
    </row>
    <row customHeight="true" ht="23.703703703703702" r="272">
      <c r="A272" s="133">
        <v>45949</v>
      </c>
      <c r="B272" s="119" t="s">
        <v>216</v>
      </c>
      <c r="C272" s="119">
        <v>0</v>
      </c>
      <c r="D272" s="134" cm="1">
        <f t="array" ref="D272:D272">_xlfn.XLOOKUP(B272&amp;S272,'气-价格-毛利'!A:A&amp;'气-价格-毛利'!B:B,'气-价格-毛利'!D:D,0)</f>
      </c>
      <c r="E272" s="121">
        <f t="shared" si="52"/>
      </c>
      <c r="F272" s="120" cm="1">
        <f t="array" ref="F272:F272">_xlfn.XLOOKUP(B272&amp;S272,'气-价格-毛利'!A:A&amp;'气-价格-毛利'!B:B,'气-价格-毛利'!C:C,0)</f>
      </c>
      <c r="G272" s="121">
        <f t="shared" si="176"/>
      </c>
      <c r="H272" s="119">
        <v>0</v>
      </c>
      <c r="I272" s="121">
        <f t="shared" si="238"/>
      </c>
      <c r="J272" s="121">
        <f t="shared" si="269"/>
      </c>
      <c r="K272" s="123">
        <f t="shared" si="330"/>
      </c>
      <c r="L272" s="121">
        <f t="shared" si="299"/>
      </c>
      <c r="M272" s="121">
        <f t="shared" si="360"/>
      </c>
      <c r="N272" s="123">
        <f t="shared" si="82"/>
      </c>
      <c r="O272" s="119">
        <v>0</v>
      </c>
      <c r="P272" s="135">
        <f t="shared" si="114"/>
      </c>
      <c r="Q272" s="125">
        <f t="shared" si="144"/>
      </c>
      <c r="R272" s="125">
        <f t="shared" si="206"/>
      </c>
      <c r="S272" s="125"/>
    </row>
    <row customHeight="true" ht="23.703703703703702" r="273">
      <c r="A273" s="133">
        <v>45949</v>
      </c>
      <c r="B273" s="119" t="s">
        <v>217</v>
      </c>
      <c r="C273" s="119">
        <v>0</v>
      </c>
      <c r="D273" s="134" cm="1">
        <f t="array" ref="D273:D273">_xlfn.XLOOKUP(B273&amp;S273,'气-价格-毛利'!A:A&amp;'气-价格-毛利'!B:B,'气-价格-毛利'!D:D,0)</f>
      </c>
      <c r="E273" s="121">
        <f t="shared" si="52"/>
      </c>
      <c r="F273" s="120" cm="1">
        <f t="array" ref="F273:F273">_xlfn.XLOOKUP(B273&amp;S273,'气-价格-毛利'!A:A&amp;'气-价格-毛利'!B:B,'气-价格-毛利'!C:C,0)</f>
      </c>
      <c r="G273" s="121"/>
      <c r="H273" s="119">
        <v>0</v>
      </c>
      <c r="I273" s="121">
        <f t="shared" si="238"/>
      </c>
      <c r="J273" s="121">
        <f>C273*F273-H273-I273</f>
      </c>
      <c r="K273" s="123">
        <f t="shared" si="330"/>
      </c>
      <c r="L273" s="121">
        <f>J273*7</f>
      </c>
      <c r="M273" s="121">
        <f>E273*7</f>
      </c>
      <c r="N273" s="123">
        <f t="shared" si="82"/>
      </c>
      <c r="O273" s="119">
        <v>0</v>
      </c>
      <c r="P273" s="124">
        <f t="shared" si="114"/>
      </c>
      <c r="Q273" s="125">
        <f t="shared" si="144"/>
      </c>
      <c r="R273" s="125"/>
      <c r="S273" s="137"/>
    </row>
    <row customHeight="true" ht="23.703703703703702" r="274">
      <c r="A274" s="133">
        <v>45949</v>
      </c>
      <c r="B274" s="119" t="s">
        <v>191</v>
      </c>
      <c r="C274" s="119">
        <f>SUM(C263:C273)</f>
      </c>
      <c r="D274" s="129"/>
      <c r="E274" s="121">
        <f>SUM(E263:E273)</f>
      </c>
      <c r="F274" s="122">
        <f>SUM(F263:F272)</f>
      </c>
      <c r="G274" s="121"/>
      <c r="H274" s="121"/>
      <c r="I274" s="121"/>
      <c r="J274" s="121">
        <f>SUM(J263:J273)</f>
      </c>
      <c r="K274" s="123">
        <f t="shared" si="330"/>
      </c>
      <c r="L274" s="121">
        <f>SUM(L263:L273)</f>
      </c>
      <c r="M274" s="121">
        <f>SUM(M263:M273)</f>
      </c>
      <c r="N274" s="123"/>
      <c r="O274" s="135">
        <f>SUM(O263:O272)</f>
      </c>
      <c r="P274" s="135">
        <f t="shared" si="114"/>
      </c>
      <c r="Q274" s="125">
        <f t="shared" si="144"/>
      </c>
      <c r="R274" s="125"/>
      <c r="S274" s="129"/>
    </row>
    <row customHeight="true" ht="23.703703703703702" r="275">
      <c r="B275" s="117" t="s">
        <v>218</v>
      </c>
    </row>
    <row customHeight="true" ht="23.703703703703702" r="276">
      <c r="A276" s="111" t="s">
        <v>219</v>
      </c>
      <c r="B276" s="112" t="s">
        <v>192</v>
      </c>
      <c r="C276" s="130" t="s">
        <v>193</v>
      </c>
      <c r="D276" s="112" t="s">
        <v>194</v>
      </c>
      <c r="E276" s="113" t="s">
        <v>195</v>
      </c>
      <c r="F276" s="114" t="s">
        <v>196</v>
      </c>
      <c r="G276" s="113" t="s">
        <v>197</v>
      </c>
      <c r="H276" s="131" t="s">
        <v>198</v>
      </c>
      <c r="I276" s="113" t="s">
        <v>199</v>
      </c>
      <c r="J276" s="113" t="s">
        <v>196</v>
      </c>
      <c r="K276" s="115" t="s">
        <v>200</v>
      </c>
      <c r="L276" s="113" t="s">
        <v>201</v>
      </c>
      <c r="M276" s="113" t="s">
        <v>202</v>
      </c>
      <c r="N276" s="112" t="s">
        <v>203</v>
      </c>
      <c r="O276" s="132" t="s">
        <v>204</v>
      </c>
      <c r="P276" s="116" t="s">
        <v>205</v>
      </c>
      <c r="Q276" s="115" t="s">
        <v>206</v>
      </c>
      <c r="R276" s="115" t="s">
        <v>207</v>
      </c>
      <c r="S276" s="115" t="s">
        <v>220</v>
      </c>
    </row>
    <row customHeight="true" ht="23.703703703703702" r="277">
      <c r="A277" s="133">
        <v>45950</v>
      </c>
      <c r="B277" s="119" t="s">
        <v>210</v>
      </c>
      <c r="C277" s="119">
        <v>0</v>
      </c>
      <c r="D277" s="134" cm="1">
        <f t="array" ref="D277:D277">_xlfn.XLOOKUP(B277&amp;S277,'气-价格-毛利'!A:A&amp;'气-价格-毛利'!B:B,'气-价格-毛利'!D:D,0)</f>
      </c>
      <c r="E277" s="121">
        <f t="shared" ref="E277:E287" si="53">C277*D277</f>
      </c>
      <c r="F277" s="120" cm="1">
        <f t="array" ref="F277:F277">_xlfn.XLOOKUP(B277&amp;S277,'气-价格-毛利'!A:A&amp;'气-价格-毛利'!B:B,'气-价格-毛利'!C:C,0)</f>
      </c>
      <c r="G277" s="121">
        <f>C277*8</f>
      </c>
      <c r="H277" s="119">
        <v>0</v>
      </c>
      <c r="I277" s="121">
        <f t="shared" ref="I277:I287" si="239">E277*0.025</f>
      </c>
      <c r="J277" s="121">
        <f t="shared" ref="J277:J286" si="270">F277*C277+G277-H277-I277</f>
      </c>
      <c r="K277" s="123">
        <f t="shared" ref="K277:K288" si="331">IFERROR(J277/E277,0)</f>
      </c>
      <c r="L277" s="121">
        <f t="shared" ref="L277:L284" si="393">J277*8</f>
      </c>
      <c r="M277" s="121">
        <f t="shared" ref="M277:M284" si="21">E277*8</f>
      </c>
      <c r="N277" s="123">
        <f t="shared" ref="N277:N287" si="83">IFERROR(H277/E277,0)</f>
      </c>
      <c r="O277" s="119">
        <v>0</v>
      </c>
      <c r="P277" s="135">
        <f t="shared" ref="P277:P288" si="115">C277-O277</f>
      </c>
      <c r="Q277" s="125">
        <f t="shared" ref="Q277:Q288" si="145">IFERROR(O277/C277,0)</f>
      </c>
      <c r="R277" s="125">
        <f t="shared" ref="R277:R286" si="207">IFERROR(H277/(E277*Q277),0)</f>
      </c>
      <c r="S277" s="123" t="s">
        <v>221</v>
      </c>
    </row>
    <row customHeight="true" ht="23.703703703703702" r="278">
      <c r="A278" s="133">
        <v>45950</v>
      </c>
      <c r="B278" s="119" t="s">
        <v>210</v>
      </c>
      <c r="C278" s="119">
        <v>1</v>
      </c>
      <c r="D278" s="134" cm="1">
        <f t="array" ref="D278:D278">_xlfn.XLOOKUP(B278&amp;S278,'气-价格-毛利'!A:A&amp;'气-价格-毛利'!B:B,'气-价格-毛利'!D:D,0)</f>
      </c>
      <c r="E278" s="121">
        <f t="shared" si="53"/>
      </c>
      <c r="F278" s="120" cm="1">
        <f t="array" ref="F278:F278">_xlfn.XLOOKUP(B278&amp;S278,'气-价格-毛利'!A:A&amp;'气-价格-毛利'!B:B,'气-价格-毛利'!C:C,0)</f>
      </c>
      <c r="G278" s="121">
        <f>C278*10</f>
      </c>
      <c r="H278" s="119">
        <v>0</v>
      </c>
      <c r="I278" s="121">
        <f t="shared" si="239"/>
      </c>
      <c r="J278" s="121">
        <f t="shared" si="270"/>
      </c>
      <c r="K278" s="123">
        <f t="shared" si="331"/>
      </c>
      <c r="L278" s="121">
        <f t="shared" si="393"/>
      </c>
      <c r="M278" s="121">
        <f t="shared" si="21"/>
      </c>
      <c r="N278" s="123">
        <f t="shared" si="83"/>
      </c>
      <c r="O278" s="119">
        <v>0</v>
      </c>
      <c r="P278" s="135">
        <f t="shared" si="115"/>
      </c>
      <c r="Q278" s="125">
        <f t="shared" si="145"/>
      </c>
      <c r="R278" s="125">
        <f t="shared" si="207"/>
      </c>
      <c r="S278" s="123" t="s">
        <v>223</v>
      </c>
    </row>
    <row customHeight="true" ht="23.703703703703702" r="279">
      <c r="A279" s="133">
        <v>45950</v>
      </c>
      <c r="B279" s="119" t="s">
        <v>211</v>
      </c>
      <c r="C279" s="119">
        <v>0</v>
      </c>
      <c r="D279" s="134" cm="1">
        <f t="array" ref="D279:D279">_xlfn.XLOOKUP(B279&amp;S279,'气-价格-毛利'!A:A&amp;'气-价格-毛利'!B:B,'气-价格-毛利'!D:D,0)</f>
      </c>
      <c r="E279" s="121">
        <f t="shared" si="53"/>
      </c>
      <c r="F279" s="120" cm="1">
        <f t="array" ref="F279:F279">_xlfn.XLOOKUP(B279&amp;S279,'气-价格-毛利'!A:A&amp;'气-价格-毛利'!B:B,'气-价格-毛利'!C:C,0)</f>
      </c>
      <c r="G279" s="121">
        <f>C279*8</f>
      </c>
      <c r="H279" s="119">
        <v>0</v>
      </c>
      <c r="I279" s="121">
        <f t="shared" si="239"/>
      </c>
      <c r="J279" s="121">
        <f t="shared" si="270"/>
      </c>
      <c r="K279" s="123">
        <f t="shared" si="331"/>
      </c>
      <c r="L279" s="121">
        <f t="shared" si="393"/>
      </c>
      <c r="M279" s="121">
        <f t="shared" si="21"/>
      </c>
      <c r="N279" s="123">
        <f t="shared" si="83"/>
      </c>
      <c r="O279" s="119">
        <v>0</v>
      </c>
      <c r="P279" s="135">
        <f t="shared" si="115"/>
      </c>
      <c r="Q279" s="125">
        <f t="shared" si="145"/>
      </c>
      <c r="R279" s="125">
        <f t="shared" si="207"/>
      </c>
      <c r="S279" s="123" t="s">
        <v>221</v>
      </c>
    </row>
    <row customHeight="true" ht="23.703703703703702" r="280">
      <c r="A280" s="133">
        <v>45950</v>
      </c>
      <c r="B280" s="119" t="s">
        <v>211</v>
      </c>
      <c r="C280" s="119">
        <v>0</v>
      </c>
      <c r="D280" s="134" cm="1">
        <f t="array" ref="D280:D280">_xlfn.XLOOKUP(B280&amp;S280,'气-价格-毛利'!A:A&amp;'气-价格-毛利'!B:B,'气-价格-毛利'!D:D,0)</f>
      </c>
      <c r="E280" s="121">
        <f t="shared" si="53"/>
      </c>
      <c r="F280" s="120" cm="1">
        <f t="array" ref="F280:F280">_xlfn.XLOOKUP(B280&amp;S280,'气-价格-毛利'!A:A&amp;'气-价格-毛利'!B:B,'气-价格-毛利'!C:C,0)</f>
      </c>
      <c r="G280" s="121">
        <f>C280*10</f>
      </c>
      <c r="H280" s="119">
        <v>0</v>
      </c>
      <c r="I280" s="121">
        <f t="shared" si="239"/>
      </c>
      <c r="J280" s="121">
        <f t="shared" si="270"/>
      </c>
      <c r="K280" s="123">
        <f t="shared" si="331"/>
      </c>
      <c r="L280" s="121">
        <f t="shared" si="393"/>
      </c>
      <c r="M280" s="121">
        <f t="shared" si="21"/>
      </c>
      <c r="N280" s="123">
        <f t="shared" si="83"/>
      </c>
      <c r="O280" s="119">
        <v>0</v>
      </c>
      <c r="P280" s="135">
        <f t="shared" si="115"/>
      </c>
      <c r="Q280" s="125">
        <f t="shared" si="145"/>
      </c>
      <c r="R280" s="125">
        <f t="shared" si="207"/>
      </c>
      <c r="S280" s="123" t="s">
        <v>223</v>
      </c>
    </row>
    <row customHeight="true" ht="23.703703703703702" r="281">
      <c r="A281" s="133">
        <v>45950</v>
      </c>
      <c r="B281" s="119" t="s">
        <v>213</v>
      </c>
      <c r="C281" s="119">
        <v>0</v>
      </c>
      <c r="D281" s="134" cm="1">
        <f t="array" ref="D281:D281">_xlfn.XLOOKUP(B281&amp;S281,'气-价格-毛利'!A:A&amp;'气-价格-毛利'!B:B,'气-价格-毛利'!D:D,0)</f>
      </c>
      <c r="E281" s="121">
        <f t="shared" si="53"/>
      </c>
      <c r="F281" s="120" cm="1">
        <f t="array" ref="F281:F281">_xlfn.XLOOKUP(B281&amp;S281,'气-价格-毛利'!A:A&amp;'气-价格-毛利'!B:B,'气-价格-毛利'!C:C,0)</f>
      </c>
      <c r="G281" s="121">
        <f>C281*8</f>
      </c>
      <c r="H281" s="119">
        <v>0</v>
      </c>
      <c r="I281" s="121">
        <f t="shared" si="239"/>
      </c>
      <c r="J281" s="121">
        <f t="shared" si="270"/>
      </c>
      <c r="K281" s="123">
        <f t="shared" si="331"/>
      </c>
      <c r="L281" s="121">
        <f t="shared" si="393"/>
      </c>
      <c r="M281" s="121">
        <f t="shared" si="21"/>
      </c>
      <c r="N281" s="123">
        <f t="shared" si="83"/>
      </c>
      <c r="O281" s="119">
        <v>0</v>
      </c>
      <c r="P281" s="135">
        <f t="shared" si="115"/>
      </c>
      <c r="Q281" s="125">
        <f t="shared" si="145"/>
      </c>
      <c r="R281" s="125">
        <f t="shared" si="207"/>
      </c>
      <c r="S281" s="123" t="s">
        <v>221</v>
      </c>
    </row>
    <row customHeight="true" ht="23.703703703703702" r="282">
      <c r="A282" s="133">
        <v>45950</v>
      </c>
      <c r="B282" s="119" t="s">
        <v>213</v>
      </c>
      <c r="C282" s="119">
        <v>1</v>
      </c>
      <c r="D282" s="134" cm="1">
        <f t="array" ref="D282:D282">_xlfn.XLOOKUP(B282&amp;S282,'气-价格-毛利'!A:A&amp;'气-价格-毛利'!B:B,'气-价格-毛利'!D:D,0)</f>
      </c>
      <c r="E282" s="121">
        <f t="shared" si="53"/>
      </c>
      <c r="F282" s="120" cm="1">
        <f t="array" ref="F282:F282">_xlfn.XLOOKUP(B282&amp;S282,'气-价格-毛利'!A:A&amp;'气-价格-毛利'!B:B,'气-价格-毛利'!C:C,0)</f>
      </c>
      <c r="G282" s="121">
        <f>C282*10</f>
      </c>
      <c r="H282" s="119">
        <v>0</v>
      </c>
      <c r="I282" s="121">
        <f t="shared" si="239"/>
      </c>
      <c r="J282" s="121">
        <f t="shared" si="270"/>
      </c>
      <c r="K282" s="123">
        <f t="shared" si="331"/>
      </c>
      <c r="L282" s="121">
        <f t="shared" si="393"/>
      </c>
      <c r="M282" s="121">
        <f t="shared" si="21"/>
      </c>
      <c r="N282" s="123">
        <f t="shared" si="83"/>
      </c>
      <c r="O282" s="119">
        <v>0</v>
      </c>
      <c r="P282" s="135">
        <f t="shared" si="115"/>
      </c>
      <c r="Q282" s="125">
        <f t="shared" si="145"/>
      </c>
      <c r="R282" s="125">
        <f t="shared" si="207"/>
      </c>
      <c r="S282" s="123" t="s">
        <v>223</v>
      </c>
    </row>
    <row customHeight="true" ht="23.703703703703702" r="283">
      <c r="A283" s="133">
        <v>45950</v>
      </c>
      <c r="B283" s="119" t="s">
        <v>214</v>
      </c>
      <c r="C283" s="119">
        <v>0</v>
      </c>
      <c r="D283" s="134" cm="1">
        <f t="array" ref="D283:D283">_xlfn.XLOOKUP(B283&amp;S283,'气-价格-毛利'!A:A&amp;'气-价格-毛利'!B:B,'气-价格-毛利'!D:D,0)</f>
      </c>
      <c r="E283" s="121">
        <f t="shared" si="53"/>
      </c>
      <c r="F283" s="120" cm="1">
        <f t="array" ref="F283:F283">_xlfn.XLOOKUP(B283&amp;S283,'气-价格-毛利'!A:A&amp;'气-价格-毛利'!B:B,'气-价格-毛利'!C:C,0)</f>
      </c>
      <c r="G283" s="121">
        <f>C283*8</f>
      </c>
      <c r="H283" s="119">
        <v>0</v>
      </c>
      <c r="I283" s="121">
        <f t="shared" si="239"/>
      </c>
      <c r="J283" s="121">
        <f t="shared" si="270"/>
      </c>
      <c r="K283" s="123">
        <f t="shared" si="331"/>
      </c>
      <c r="L283" s="121">
        <f t="shared" si="393"/>
      </c>
      <c r="M283" s="121">
        <f t="shared" si="21"/>
      </c>
      <c r="N283" s="123">
        <f t="shared" si="83"/>
      </c>
      <c r="O283" s="119">
        <v>0</v>
      </c>
      <c r="P283" s="135">
        <f t="shared" si="115"/>
      </c>
      <c r="Q283" s="125">
        <f t="shared" si="145"/>
      </c>
      <c r="R283" s="125">
        <f t="shared" si="207"/>
      </c>
      <c r="S283" s="123" t="s">
        <v>221</v>
      </c>
    </row>
    <row customHeight="true" ht="23.703703703703702" r="284">
      <c r="A284" s="133">
        <v>45950</v>
      </c>
      <c r="B284" s="119" t="s">
        <v>214</v>
      </c>
      <c r="C284" s="119">
        <v>0</v>
      </c>
      <c r="D284" s="134" cm="1">
        <f t="array" ref="D284:D284">_xlfn.XLOOKUP(B284&amp;S284,'气-价格-毛利'!A:A&amp;'气-价格-毛利'!B:B,'气-价格-毛利'!D:D,0)</f>
      </c>
      <c r="E284" s="121">
        <f t="shared" si="53"/>
      </c>
      <c r="F284" s="120" cm="1">
        <f t="array" ref="F284:F284">_xlfn.XLOOKUP(B284&amp;S284,'气-价格-毛利'!A:A&amp;'气-价格-毛利'!B:B,'气-价格-毛利'!C:C,0)</f>
      </c>
      <c r="G284" s="121">
        <f>C284*10</f>
      </c>
      <c r="H284" s="119">
        <v>0</v>
      </c>
      <c r="I284" s="121">
        <f t="shared" si="239"/>
      </c>
      <c r="J284" s="121">
        <f t="shared" si="270"/>
      </c>
      <c r="K284" s="123">
        <f t="shared" si="331"/>
      </c>
      <c r="L284" s="121">
        <f t="shared" si="393"/>
      </c>
      <c r="M284" s="121">
        <f t="shared" si="21"/>
      </c>
      <c r="N284" s="123">
        <f t="shared" si="83"/>
      </c>
      <c r="O284" s="119">
        <v>0</v>
      </c>
      <c r="P284" s="135">
        <f t="shared" si="115"/>
      </c>
      <c r="Q284" s="125">
        <f t="shared" si="145"/>
      </c>
      <c r="R284" s="125">
        <f t="shared" si="207"/>
      </c>
      <c r="S284" s="123" t="s">
        <v>223</v>
      </c>
    </row>
    <row customHeight="true" ht="23.703703703703702" r="285">
      <c r="A285" s="133">
        <v>45950</v>
      </c>
      <c r="B285" s="119" t="s">
        <v>216</v>
      </c>
      <c r="C285" s="119">
        <v>0</v>
      </c>
      <c r="D285" s="134" cm="1">
        <f t="array" ref="D285:D285">_xlfn.XLOOKUP(B285&amp;S285,'气-价格-毛利'!A:A&amp;'气-价格-毛利'!B:B,'气-价格-毛利'!D:D,0)</f>
      </c>
      <c r="E285" s="121">
        <f t="shared" si="53"/>
      </c>
      <c r="F285" s="120" cm="1">
        <f t="array" ref="F285:F285">_xlfn.XLOOKUP(B285&amp;S285,'气-价格-毛利'!A:A&amp;'气-价格-毛利'!B:B,'气-价格-毛利'!C:C,0)</f>
      </c>
      <c r="G285" s="121">
        <f t="shared" ref="G285:G286" si="177">C285*8</f>
      </c>
      <c r="H285" s="119">
        <v>0</v>
      </c>
      <c r="I285" s="121">
        <f t="shared" si="239"/>
      </c>
      <c r="J285" s="121">
        <f t="shared" si="270"/>
      </c>
      <c r="K285" s="123">
        <f t="shared" si="331"/>
      </c>
      <c r="L285" s="121">
        <f t="shared" ref="L285:L286" si="300">J285*9</f>
      </c>
      <c r="M285" s="121">
        <f t="shared" ref="M285:M286" si="361">E285*9</f>
      </c>
      <c r="N285" s="123">
        <f t="shared" si="83"/>
      </c>
      <c r="O285" s="119">
        <v>0</v>
      </c>
      <c r="P285" s="135">
        <f t="shared" si="115"/>
      </c>
      <c r="Q285" s="125">
        <f t="shared" si="145"/>
      </c>
      <c r="R285" s="125">
        <f t="shared" si="207"/>
      </c>
      <c r="S285" s="125"/>
    </row>
    <row customHeight="true" ht="23.703703703703702" r="286">
      <c r="A286" s="133">
        <v>45950</v>
      </c>
      <c r="B286" s="119" t="s">
        <v>216</v>
      </c>
      <c r="C286" s="119">
        <v>0</v>
      </c>
      <c r="D286" s="134" cm="1">
        <f t="array" ref="D286:D286">_xlfn.XLOOKUP(B286&amp;S286,'气-价格-毛利'!A:A&amp;'气-价格-毛利'!B:B,'气-价格-毛利'!D:D,0)</f>
      </c>
      <c r="E286" s="121">
        <f t="shared" si="53"/>
      </c>
      <c r="F286" s="120" cm="1">
        <f t="array" ref="F286:F286">_xlfn.XLOOKUP(B286&amp;S286,'气-价格-毛利'!A:A&amp;'气-价格-毛利'!B:B,'气-价格-毛利'!C:C,0)</f>
      </c>
      <c r="G286" s="121">
        <f t="shared" si="177"/>
      </c>
      <c r="H286" s="119">
        <v>0</v>
      </c>
      <c r="I286" s="121">
        <f t="shared" si="239"/>
      </c>
      <c r="J286" s="121">
        <f t="shared" si="270"/>
      </c>
      <c r="K286" s="123">
        <f t="shared" si="331"/>
      </c>
      <c r="L286" s="121">
        <f t="shared" si="300"/>
      </c>
      <c r="M286" s="121">
        <f t="shared" si="361"/>
      </c>
      <c r="N286" s="123">
        <f t="shared" si="83"/>
      </c>
      <c r="O286" s="119">
        <v>0</v>
      </c>
      <c r="P286" s="135">
        <f t="shared" si="115"/>
      </c>
      <c r="Q286" s="125">
        <f t="shared" si="145"/>
      </c>
      <c r="R286" s="125">
        <f t="shared" si="207"/>
      </c>
      <c r="S286" s="125"/>
    </row>
    <row customHeight="true" ht="23.703703703703702" r="287">
      <c r="A287" s="133">
        <v>45950</v>
      </c>
      <c r="B287" s="119" t="s">
        <v>217</v>
      </c>
      <c r="C287" s="119">
        <v>0</v>
      </c>
      <c r="D287" s="134" cm="1">
        <f t="array" ref="D287:D287">_xlfn.XLOOKUP(B287&amp;S287,'气-价格-毛利'!A:A&amp;'气-价格-毛利'!B:B,'气-价格-毛利'!D:D,0)</f>
      </c>
      <c r="E287" s="121">
        <f t="shared" si="53"/>
      </c>
      <c r="F287" s="120" cm="1">
        <f t="array" ref="F287:F287">_xlfn.XLOOKUP(B287&amp;S287,'气-价格-毛利'!A:A&amp;'气-价格-毛利'!B:B,'气-价格-毛利'!C:C,0)</f>
      </c>
      <c r="G287" s="121"/>
      <c r="H287" s="119">
        <v>0</v>
      </c>
      <c r="I287" s="121">
        <f t="shared" si="239"/>
      </c>
      <c r="J287" s="121">
        <f>C287*F287-H287-I287</f>
      </c>
      <c r="K287" s="123">
        <f t="shared" si="331"/>
      </c>
      <c r="L287" s="121">
        <f>J287*7</f>
      </c>
      <c r="M287" s="121">
        <f>E287*7</f>
      </c>
      <c r="N287" s="123">
        <f t="shared" si="83"/>
      </c>
      <c r="O287" s="119">
        <v>0</v>
      </c>
      <c r="P287" s="124">
        <f t="shared" si="115"/>
      </c>
      <c r="Q287" s="125">
        <f t="shared" si="145"/>
      </c>
      <c r="R287" s="125"/>
      <c r="S287" s="137"/>
    </row>
    <row customHeight="true" ht="23.703703703703702" r="288">
      <c r="A288" s="133">
        <v>45950</v>
      </c>
      <c r="B288" s="119" t="s">
        <v>191</v>
      </c>
      <c r="C288" s="119">
        <f>SUM(C277:C287)</f>
      </c>
      <c r="D288" s="129"/>
      <c r="E288" s="121">
        <f>SUM(E277:E287)</f>
      </c>
      <c r="F288" s="122">
        <f>SUM(F277:F286)</f>
      </c>
      <c r="G288" s="121"/>
      <c r="H288" s="121"/>
      <c r="I288" s="121"/>
      <c r="J288" s="121">
        <f>SUM(J277:J287)</f>
      </c>
      <c r="K288" s="123">
        <f t="shared" si="331"/>
      </c>
      <c r="L288" s="121">
        <f>SUM(L277:L287)</f>
      </c>
      <c r="M288" s="121">
        <f>SUM(M277:M287)</f>
      </c>
      <c r="N288" s="123"/>
      <c r="O288" s="135">
        <f>SUM(O277:O286)</f>
      </c>
      <c r="P288" s="135">
        <f t="shared" si="115"/>
      </c>
      <c r="Q288" s="125">
        <f t="shared" si="145"/>
      </c>
      <c r="R288" s="125"/>
      <c r="S288" s="129"/>
    </row>
    <row customHeight="true" ht="23.703703703703702" r="289">
      <c r="B289" s="117" t="s">
        <v>218</v>
      </c>
    </row>
    <row customHeight="true" ht="23.703703703703702" r="290">
      <c r="A290" s="111" t="s">
        <v>219</v>
      </c>
      <c r="B290" s="112" t="s">
        <v>192</v>
      </c>
      <c r="C290" s="130" t="s">
        <v>193</v>
      </c>
      <c r="D290" s="112" t="s">
        <v>194</v>
      </c>
      <c r="E290" s="113" t="s">
        <v>195</v>
      </c>
      <c r="F290" s="114" t="s">
        <v>196</v>
      </c>
      <c r="G290" s="113" t="s">
        <v>197</v>
      </c>
      <c r="H290" s="131" t="s">
        <v>198</v>
      </c>
      <c r="I290" s="113" t="s">
        <v>199</v>
      </c>
      <c r="J290" s="113" t="s">
        <v>196</v>
      </c>
      <c r="K290" s="115" t="s">
        <v>200</v>
      </c>
      <c r="L290" s="113" t="s">
        <v>201</v>
      </c>
      <c r="M290" s="113" t="s">
        <v>202</v>
      </c>
      <c r="N290" s="112" t="s">
        <v>203</v>
      </c>
      <c r="O290" s="132" t="s">
        <v>204</v>
      </c>
      <c r="P290" s="116" t="s">
        <v>205</v>
      </c>
      <c r="Q290" s="115" t="s">
        <v>206</v>
      </c>
      <c r="R290" s="115" t="s">
        <v>207</v>
      </c>
      <c r="S290" s="115" t="s">
        <v>220</v>
      </c>
    </row>
    <row customHeight="true" ht="23.703703703703702" r="291">
      <c r="A291" s="133">
        <v>45951</v>
      </c>
      <c r="B291" s="119" t="s">
        <v>210</v>
      </c>
      <c r="C291" s="119">
        <v>0</v>
      </c>
      <c r="D291" s="134" cm="1">
        <f t="array" ref="D291:D291">_xlfn.XLOOKUP(B291&amp;S291,'气-价格-毛利'!A:A&amp;'气-价格-毛利'!B:B,'气-价格-毛利'!D:D,0)</f>
      </c>
      <c r="E291" s="121">
        <f t="shared" ref="E291:E301" si="54">C291*D291</f>
      </c>
      <c r="F291" s="120" cm="1">
        <f t="array" ref="F291:F291">_xlfn.XLOOKUP(B291&amp;S291,'气-价格-毛利'!A:A&amp;'气-价格-毛利'!B:B,'气-价格-毛利'!C:C,0)</f>
      </c>
      <c r="G291" s="121">
        <f>C291*8</f>
      </c>
      <c r="H291" s="119">
        <v>0</v>
      </c>
      <c r="I291" s="121">
        <f t="shared" ref="I291:I301" si="240">E291*0.025</f>
      </c>
      <c r="J291" s="121">
        <f t="shared" ref="J291:J300" si="271">F291*C291+G291-H291-I291</f>
      </c>
      <c r="K291" s="123">
        <f t="shared" ref="K291:K302" si="332">IFERROR(J291/E291,0)</f>
      </c>
      <c r="L291" s="121">
        <f t="shared" ref="L291:L298" si="394">J291*8</f>
      </c>
      <c r="M291" s="121">
        <f t="shared" ref="M291:M298" si="22">E291*8</f>
      </c>
      <c r="N291" s="123">
        <f t="shared" ref="N291:N301" si="84">IFERROR(H291/E291,0)</f>
      </c>
      <c r="O291" s="119">
        <v>0</v>
      </c>
      <c r="P291" s="135">
        <f t="shared" ref="P291:P302" si="116">C291-O291</f>
      </c>
      <c r="Q291" s="125">
        <f t="shared" ref="Q291:Q302" si="146">IFERROR(O291/C291,0)</f>
      </c>
      <c r="R291" s="125">
        <f t="shared" ref="R291:R300" si="208">IFERROR(H291/(E291*Q291),0)</f>
      </c>
      <c r="S291" s="123" t="s">
        <v>221</v>
      </c>
    </row>
    <row customHeight="true" ht="23.703703703703702" r="292">
      <c r="A292" s="133">
        <v>45951</v>
      </c>
      <c r="B292" s="119" t="s">
        <v>210</v>
      </c>
      <c r="C292" s="119">
        <v>0</v>
      </c>
      <c r="D292" s="134" cm="1">
        <f t="array" ref="D292:D292">_xlfn.XLOOKUP(B292&amp;S292,'气-价格-毛利'!A:A&amp;'气-价格-毛利'!B:B,'气-价格-毛利'!D:D,0)</f>
      </c>
      <c r="E292" s="121">
        <f t="shared" si="54"/>
      </c>
      <c r="F292" s="120" cm="1">
        <f t="array" ref="F292:F292">_xlfn.XLOOKUP(B292&amp;S292,'气-价格-毛利'!A:A&amp;'气-价格-毛利'!B:B,'气-价格-毛利'!C:C,0)</f>
      </c>
      <c r="G292" s="121">
        <f>C292*10</f>
      </c>
      <c r="H292" s="119">
        <v>0</v>
      </c>
      <c r="I292" s="121">
        <f t="shared" si="240"/>
      </c>
      <c r="J292" s="121">
        <f t="shared" si="271"/>
      </c>
      <c r="K292" s="123">
        <f t="shared" si="332"/>
      </c>
      <c r="L292" s="121">
        <f t="shared" si="394"/>
      </c>
      <c r="M292" s="121">
        <f t="shared" si="22"/>
      </c>
      <c r="N292" s="123">
        <f t="shared" si="84"/>
      </c>
      <c r="O292" s="119">
        <v>0</v>
      </c>
      <c r="P292" s="135">
        <f t="shared" si="116"/>
      </c>
      <c r="Q292" s="125">
        <f t="shared" si="146"/>
      </c>
      <c r="R292" s="125">
        <f t="shared" si="208"/>
      </c>
      <c r="S292" s="123" t="s">
        <v>223</v>
      </c>
    </row>
    <row customHeight="true" ht="23.703703703703702" r="293">
      <c r="A293" s="133">
        <v>45951</v>
      </c>
      <c r="B293" s="119" t="s">
        <v>211</v>
      </c>
      <c r="C293" s="119">
        <v>0</v>
      </c>
      <c r="D293" s="134" cm="1">
        <f t="array" ref="D293:D293">_xlfn.XLOOKUP(B293&amp;S293,'气-价格-毛利'!A:A&amp;'气-价格-毛利'!B:B,'气-价格-毛利'!D:D,0)</f>
      </c>
      <c r="E293" s="121">
        <f t="shared" si="54"/>
      </c>
      <c r="F293" s="120" cm="1">
        <f t="array" ref="F293:F293">_xlfn.XLOOKUP(B293&amp;S293,'气-价格-毛利'!A:A&amp;'气-价格-毛利'!B:B,'气-价格-毛利'!C:C,0)</f>
      </c>
      <c r="G293" s="121">
        <f>C293*8</f>
      </c>
      <c r="H293" s="119">
        <v>0</v>
      </c>
      <c r="I293" s="121">
        <f t="shared" si="240"/>
      </c>
      <c r="J293" s="121">
        <f t="shared" si="271"/>
      </c>
      <c r="K293" s="123">
        <f t="shared" si="332"/>
      </c>
      <c r="L293" s="121">
        <f t="shared" si="394"/>
      </c>
      <c r="M293" s="121">
        <f t="shared" si="22"/>
      </c>
      <c r="N293" s="123">
        <f t="shared" si="84"/>
      </c>
      <c r="O293" s="119">
        <v>0</v>
      </c>
      <c r="P293" s="135">
        <f t="shared" si="116"/>
      </c>
      <c r="Q293" s="125">
        <f t="shared" si="146"/>
      </c>
      <c r="R293" s="125">
        <f t="shared" si="208"/>
      </c>
      <c r="S293" s="123" t="s">
        <v>221</v>
      </c>
    </row>
    <row customHeight="true" ht="23.703703703703702" r="294">
      <c r="A294" s="133">
        <v>45951</v>
      </c>
      <c r="B294" s="119" t="s">
        <v>211</v>
      </c>
      <c r="C294" s="119">
        <v>0</v>
      </c>
      <c r="D294" s="134" cm="1">
        <f t="array" ref="D294:D294">_xlfn.XLOOKUP(B294&amp;S294,'气-价格-毛利'!A:A&amp;'气-价格-毛利'!B:B,'气-价格-毛利'!D:D,0)</f>
      </c>
      <c r="E294" s="121">
        <f t="shared" si="54"/>
      </c>
      <c r="F294" s="120" cm="1">
        <f t="array" ref="F294:F294">_xlfn.XLOOKUP(B294&amp;S294,'气-价格-毛利'!A:A&amp;'气-价格-毛利'!B:B,'气-价格-毛利'!C:C,0)</f>
      </c>
      <c r="G294" s="121">
        <f>C294*10</f>
      </c>
      <c r="H294" s="119">
        <v>0</v>
      </c>
      <c r="I294" s="121">
        <f t="shared" si="240"/>
      </c>
      <c r="J294" s="121">
        <f t="shared" si="271"/>
      </c>
      <c r="K294" s="123">
        <f t="shared" si="332"/>
      </c>
      <c r="L294" s="121">
        <f t="shared" si="394"/>
      </c>
      <c r="M294" s="121">
        <f t="shared" si="22"/>
      </c>
      <c r="N294" s="123">
        <f t="shared" si="84"/>
      </c>
      <c r="O294" s="119">
        <v>0</v>
      </c>
      <c r="P294" s="135">
        <f t="shared" si="116"/>
      </c>
      <c r="Q294" s="125">
        <f t="shared" si="146"/>
      </c>
      <c r="R294" s="125">
        <f t="shared" si="208"/>
      </c>
      <c r="S294" s="123" t="s">
        <v>223</v>
      </c>
    </row>
    <row customHeight="true" ht="23.703703703703702" r="295">
      <c r="A295" s="133">
        <v>45951</v>
      </c>
      <c r="B295" s="119" t="s">
        <v>213</v>
      </c>
      <c r="C295" s="119">
        <v>1</v>
      </c>
      <c r="D295" s="134" cm="1">
        <f t="array" ref="D295:D295">_xlfn.XLOOKUP(B295&amp;S295,'气-价格-毛利'!A:A&amp;'气-价格-毛利'!B:B,'气-价格-毛利'!D:D,0)</f>
      </c>
      <c r="E295" s="121">
        <f t="shared" si="54"/>
      </c>
      <c r="F295" s="120" cm="1">
        <f t="array" ref="F295:F295">_xlfn.XLOOKUP(B295&amp;S295,'气-价格-毛利'!A:A&amp;'气-价格-毛利'!B:B,'气-价格-毛利'!C:C,0)</f>
      </c>
      <c r="G295" s="121">
        <f>C295*8</f>
      </c>
      <c r="H295" s="119">
        <v>0</v>
      </c>
      <c r="I295" s="121">
        <f t="shared" si="240"/>
      </c>
      <c r="J295" s="121">
        <f t="shared" si="271"/>
      </c>
      <c r="K295" s="123">
        <f t="shared" si="332"/>
      </c>
      <c r="L295" s="121">
        <f t="shared" si="394"/>
      </c>
      <c r="M295" s="121">
        <f t="shared" si="22"/>
      </c>
      <c r="N295" s="123">
        <f t="shared" si="84"/>
      </c>
      <c r="O295" s="119">
        <v>0</v>
      </c>
      <c r="P295" s="135">
        <f t="shared" si="116"/>
      </c>
      <c r="Q295" s="125">
        <f t="shared" si="146"/>
      </c>
      <c r="R295" s="125">
        <f t="shared" si="208"/>
      </c>
      <c r="S295" s="123" t="s">
        <v>221</v>
      </c>
    </row>
    <row customHeight="true" ht="23.703703703703702" r="296">
      <c r="A296" s="133">
        <v>45951</v>
      </c>
      <c r="B296" s="119" t="s">
        <v>213</v>
      </c>
      <c r="C296" s="119">
        <v>0</v>
      </c>
      <c r="D296" s="134" cm="1">
        <f t="array" ref="D296:D296">_xlfn.XLOOKUP(B296&amp;S296,'气-价格-毛利'!A:A&amp;'气-价格-毛利'!B:B,'气-价格-毛利'!D:D,0)</f>
      </c>
      <c r="E296" s="121">
        <f t="shared" si="54"/>
      </c>
      <c r="F296" s="120" cm="1">
        <f t="array" ref="F296:F296">_xlfn.XLOOKUP(B296&amp;S296,'气-价格-毛利'!A:A&amp;'气-价格-毛利'!B:B,'气-价格-毛利'!C:C,0)</f>
      </c>
      <c r="G296" s="121">
        <f>C296*10</f>
      </c>
      <c r="H296" s="119">
        <v>0</v>
      </c>
      <c r="I296" s="121">
        <f t="shared" si="240"/>
      </c>
      <c r="J296" s="121">
        <f t="shared" si="271"/>
      </c>
      <c r="K296" s="123">
        <f t="shared" si="332"/>
      </c>
      <c r="L296" s="121">
        <f t="shared" si="394"/>
      </c>
      <c r="M296" s="121">
        <f t="shared" si="22"/>
      </c>
      <c r="N296" s="123">
        <f t="shared" si="84"/>
      </c>
      <c r="O296" s="119">
        <v>0</v>
      </c>
      <c r="P296" s="135">
        <f t="shared" si="116"/>
      </c>
      <c r="Q296" s="125">
        <f t="shared" si="146"/>
      </c>
      <c r="R296" s="125">
        <f t="shared" si="208"/>
      </c>
      <c r="S296" s="123" t="s">
        <v>223</v>
      </c>
    </row>
    <row customHeight="true" ht="23.703703703703702" r="297">
      <c r="A297" s="133">
        <v>45951</v>
      </c>
      <c r="B297" s="119" t="s">
        <v>214</v>
      </c>
      <c r="C297" s="119">
        <v>0</v>
      </c>
      <c r="D297" s="134" cm="1">
        <f t="array" ref="D297:D297">_xlfn.XLOOKUP(B297&amp;S297,'气-价格-毛利'!A:A&amp;'气-价格-毛利'!B:B,'气-价格-毛利'!D:D,0)</f>
      </c>
      <c r="E297" s="121">
        <f t="shared" si="54"/>
      </c>
      <c r="F297" s="120" cm="1">
        <f t="array" ref="F297:F297">_xlfn.XLOOKUP(B297&amp;S297,'气-价格-毛利'!A:A&amp;'气-价格-毛利'!B:B,'气-价格-毛利'!C:C,0)</f>
      </c>
      <c r="G297" s="121">
        <f>C297*8</f>
      </c>
      <c r="H297" s="119">
        <v>0</v>
      </c>
      <c r="I297" s="121">
        <f t="shared" si="240"/>
      </c>
      <c r="J297" s="121">
        <f t="shared" si="271"/>
      </c>
      <c r="K297" s="123">
        <f t="shared" si="332"/>
      </c>
      <c r="L297" s="121">
        <f t="shared" si="394"/>
      </c>
      <c r="M297" s="121">
        <f t="shared" si="22"/>
      </c>
      <c r="N297" s="123">
        <f t="shared" si="84"/>
      </c>
      <c r="O297" s="119">
        <v>0</v>
      </c>
      <c r="P297" s="135">
        <f t="shared" si="116"/>
      </c>
      <c r="Q297" s="125">
        <f t="shared" si="146"/>
      </c>
      <c r="R297" s="125">
        <f t="shared" si="208"/>
      </c>
      <c r="S297" s="123" t="s">
        <v>221</v>
      </c>
    </row>
    <row customHeight="true" ht="23.703703703703702" r="298">
      <c r="A298" s="133">
        <v>45951</v>
      </c>
      <c r="B298" s="119" t="s">
        <v>214</v>
      </c>
      <c r="C298" s="119">
        <v>0</v>
      </c>
      <c r="D298" s="134" cm="1">
        <f t="array" ref="D298:D298">_xlfn.XLOOKUP(B298&amp;S298,'气-价格-毛利'!A:A&amp;'气-价格-毛利'!B:B,'气-价格-毛利'!D:D,0)</f>
      </c>
      <c r="E298" s="121">
        <f t="shared" si="54"/>
      </c>
      <c r="F298" s="120" cm="1">
        <f t="array" ref="F298:F298">_xlfn.XLOOKUP(B298&amp;S298,'气-价格-毛利'!A:A&amp;'气-价格-毛利'!B:B,'气-价格-毛利'!C:C,0)</f>
      </c>
      <c r="G298" s="121">
        <f>C298*10</f>
      </c>
      <c r="H298" s="119">
        <v>0</v>
      </c>
      <c r="I298" s="121">
        <f t="shared" si="240"/>
      </c>
      <c r="J298" s="121">
        <f t="shared" si="271"/>
      </c>
      <c r="K298" s="123">
        <f t="shared" si="332"/>
      </c>
      <c r="L298" s="121">
        <f t="shared" si="394"/>
      </c>
      <c r="M298" s="121">
        <f t="shared" si="22"/>
      </c>
      <c r="N298" s="123">
        <f t="shared" si="84"/>
      </c>
      <c r="O298" s="119">
        <v>0</v>
      </c>
      <c r="P298" s="135">
        <f t="shared" si="116"/>
      </c>
      <c r="Q298" s="125">
        <f t="shared" si="146"/>
      </c>
      <c r="R298" s="125">
        <f t="shared" si="208"/>
      </c>
      <c r="S298" s="123" t="s">
        <v>223</v>
      </c>
    </row>
    <row customHeight="true" ht="23.703703703703702" r="299">
      <c r="A299" s="133">
        <v>45951</v>
      </c>
      <c r="B299" s="119" t="s">
        <v>216</v>
      </c>
      <c r="C299" s="119">
        <v>0</v>
      </c>
      <c r="D299" s="134" cm="1">
        <f t="array" ref="D299:D299">_xlfn.XLOOKUP(B299&amp;S299,'气-价格-毛利'!A:A&amp;'气-价格-毛利'!B:B,'气-价格-毛利'!D:D,0)</f>
      </c>
      <c r="E299" s="121">
        <f t="shared" si="54"/>
      </c>
      <c r="F299" s="120" cm="1">
        <f t="array" ref="F299:F299">_xlfn.XLOOKUP(B299&amp;S299,'气-价格-毛利'!A:A&amp;'气-价格-毛利'!B:B,'气-价格-毛利'!C:C,0)</f>
      </c>
      <c r="G299" s="121">
        <f t="shared" ref="G299:G300" si="178">C299*8</f>
      </c>
      <c r="H299" s="119">
        <v>0</v>
      </c>
      <c r="I299" s="121">
        <f t="shared" si="240"/>
      </c>
      <c r="J299" s="121">
        <f t="shared" si="271"/>
      </c>
      <c r="K299" s="123">
        <f t="shared" si="332"/>
      </c>
      <c r="L299" s="121">
        <f t="shared" ref="L299:L300" si="301">J299*9</f>
      </c>
      <c r="M299" s="121">
        <f t="shared" ref="M299:M300" si="362">E299*9</f>
      </c>
      <c r="N299" s="123">
        <f t="shared" si="84"/>
      </c>
      <c r="O299" s="119">
        <v>0</v>
      </c>
      <c r="P299" s="135">
        <f t="shared" si="116"/>
      </c>
      <c r="Q299" s="125">
        <f t="shared" si="146"/>
      </c>
      <c r="R299" s="125">
        <f t="shared" si="208"/>
      </c>
      <c r="S299" s="125"/>
    </row>
    <row customHeight="true" ht="23.703703703703702" r="300">
      <c r="A300" s="133">
        <v>45951</v>
      </c>
      <c r="B300" s="119" t="s">
        <v>216</v>
      </c>
      <c r="C300" s="119">
        <v>0</v>
      </c>
      <c r="D300" s="134" cm="1">
        <f t="array" ref="D300:D300">_xlfn.XLOOKUP(B300&amp;S300,'气-价格-毛利'!A:A&amp;'气-价格-毛利'!B:B,'气-价格-毛利'!D:D,0)</f>
      </c>
      <c r="E300" s="121">
        <f t="shared" si="54"/>
      </c>
      <c r="F300" s="120" cm="1">
        <f t="array" ref="F300:F300">_xlfn.XLOOKUP(B300&amp;S300,'气-价格-毛利'!A:A&amp;'气-价格-毛利'!B:B,'气-价格-毛利'!C:C,0)</f>
      </c>
      <c r="G300" s="121">
        <f t="shared" si="178"/>
      </c>
      <c r="H300" s="119">
        <v>0</v>
      </c>
      <c r="I300" s="121">
        <f t="shared" si="240"/>
      </c>
      <c r="J300" s="121">
        <f t="shared" si="271"/>
      </c>
      <c r="K300" s="123">
        <f t="shared" si="332"/>
      </c>
      <c r="L300" s="121">
        <f t="shared" si="301"/>
      </c>
      <c r="M300" s="121">
        <f t="shared" si="362"/>
      </c>
      <c r="N300" s="123">
        <f t="shared" si="84"/>
      </c>
      <c r="O300" s="119">
        <v>0</v>
      </c>
      <c r="P300" s="135">
        <f t="shared" si="116"/>
      </c>
      <c r="Q300" s="125">
        <f t="shared" si="146"/>
      </c>
      <c r="R300" s="125">
        <f t="shared" si="208"/>
      </c>
      <c r="S300" s="125"/>
    </row>
    <row customHeight="true" ht="23.703703703703702" r="301">
      <c r="A301" s="133">
        <v>45951</v>
      </c>
      <c r="B301" s="119" t="s">
        <v>217</v>
      </c>
      <c r="C301" s="119">
        <v>0</v>
      </c>
      <c r="D301" s="134" cm="1">
        <f t="array" ref="D301:D301">_xlfn.XLOOKUP(B301&amp;S301,'气-价格-毛利'!A:A&amp;'气-价格-毛利'!B:B,'气-价格-毛利'!D:D,0)</f>
      </c>
      <c r="E301" s="121">
        <f t="shared" si="54"/>
      </c>
      <c r="F301" s="120" cm="1">
        <f t="array" ref="F301:F301">_xlfn.XLOOKUP(B301&amp;S301,'气-价格-毛利'!A:A&amp;'气-价格-毛利'!B:B,'气-价格-毛利'!C:C,0)</f>
      </c>
      <c r="G301" s="121"/>
      <c r="H301" s="119">
        <v>0</v>
      </c>
      <c r="I301" s="121">
        <f t="shared" si="240"/>
      </c>
      <c r="J301" s="121">
        <f>C301*F301-H301-I301</f>
      </c>
      <c r="K301" s="123">
        <f t="shared" si="332"/>
      </c>
      <c r="L301" s="121">
        <f>J301*7</f>
      </c>
      <c r="M301" s="121">
        <f>E301*7</f>
      </c>
      <c r="N301" s="123">
        <f t="shared" si="84"/>
      </c>
      <c r="O301" s="119">
        <v>0</v>
      </c>
      <c r="P301" s="124">
        <f t="shared" si="116"/>
      </c>
      <c r="Q301" s="125">
        <f t="shared" si="146"/>
      </c>
      <c r="R301" s="125"/>
      <c r="S301" s="137"/>
    </row>
    <row customHeight="true" ht="23.703703703703702" r="302">
      <c r="A302" s="133">
        <v>45951</v>
      </c>
      <c r="B302" s="119" t="s">
        <v>191</v>
      </c>
      <c r="C302" s="119">
        <f>SUM(C291:C301)</f>
      </c>
      <c r="D302" s="129"/>
      <c r="E302" s="121">
        <f>SUM(E291:E301)</f>
      </c>
      <c r="F302" s="122">
        <f>SUM(F291:F300)</f>
      </c>
      <c r="G302" s="121"/>
      <c r="H302" s="121"/>
      <c r="I302" s="121"/>
      <c r="J302" s="121">
        <f>SUM(J291:J301)</f>
      </c>
      <c r="K302" s="123">
        <f t="shared" si="332"/>
      </c>
      <c r="L302" s="121">
        <f>SUM(L291:L301)</f>
      </c>
      <c r="M302" s="121">
        <f>SUM(M291:M301)</f>
      </c>
      <c r="N302" s="123"/>
      <c r="O302" s="135">
        <f>SUM(O291:O300)</f>
      </c>
      <c r="P302" s="135">
        <f t="shared" si="116"/>
      </c>
      <c r="Q302" s="125">
        <f t="shared" si="146"/>
      </c>
      <c r="R302" s="125"/>
      <c r="S302" s="129"/>
    </row>
    <row customHeight="true" ht="23.703703703703702" r="303">
      <c r="B303" s="117" t="s">
        <v>218</v>
      </c>
    </row>
    <row customHeight="true" ht="23.703703703703702" r="304">
      <c r="A304" s="111" t="s">
        <v>219</v>
      </c>
      <c r="B304" s="112" t="s">
        <v>192</v>
      </c>
      <c r="C304" s="130" t="s">
        <v>193</v>
      </c>
      <c r="D304" s="112" t="s">
        <v>194</v>
      </c>
      <c r="E304" s="113" t="s">
        <v>195</v>
      </c>
      <c r="F304" s="114" t="s">
        <v>196</v>
      </c>
      <c r="G304" s="113" t="s">
        <v>197</v>
      </c>
      <c r="H304" s="131" t="s">
        <v>198</v>
      </c>
      <c r="I304" s="113" t="s">
        <v>199</v>
      </c>
      <c r="J304" s="113" t="s">
        <v>196</v>
      </c>
      <c r="K304" s="115" t="s">
        <v>200</v>
      </c>
      <c r="L304" s="113" t="s">
        <v>201</v>
      </c>
      <c r="M304" s="113" t="s">
        <v>202</v>
      </c>
      <c r="N304" s="112" t="s">
        <v>203</v>
      </c>
      <c r="O304" s="132" t="s">
        <v>204</v>
      </c>
      <c r="P304" s="116" t="s">
        <v>205</v>
      </c>
      <c r="Q304" s="115" t="s">
        <v>206</v>
      </c>
      <c r="R304" s="115" t="s">
        <v>207</v>
      </c>
      <c r="S304" s="115" t="s">
        <v>220</v>
      </c>
    </row>
    <row customHeight="true" ht="23.703703703703702" r="305">
      <c r="A305" s="133">
        <v>45952</v>
      </c>
      <c r="B305" s="119" t="s">
        <v>210</v>
      </c>
      <c r="C305" s="119">
        <v>0</v>
      </c>
      <c r="D305" s="134" cm="1">
        <f t="array" ref="D305:D305">_xlfn.XLOOKUP(B305&amp;S305,'气-价格-毛利'!A:A&amp;'气-价格-毛利'!B:B,'气-价格-毛利'!D:D,0)</f>
      </c>
      <c r="E305" s="121">
        <f t="shared" ref="E305:E315" si="55">C305*D305</f>
      </c>
      <c r="F305" s="120" cm="1">
        <f t="array" ref="F305:F305">_xlfn.XLOOKUP(B305&amp;S305,'气-价格-毛利'!A:A&amp;'气-价格-毛利'!B:B,'气-价格-毛利'!C:C,0)</f>
      </c>
      <c r="G305" s="121">
        <f>C305*8</f>
      </c>
      <c r="H305" s="119">
        <v>0</v>
      </c>
      <c r="I305" s="121">
        <f t="shared" ref="I305:I315" si="241">E305*0.025</f>
      </c>
      <c r="J305" s="121">
        <f t="shared" ref="J305:J314" si="272">F305*C305+G305-H305-I305</f>
      </c>
      <c r="K305" s="123">
        <f t="shared" ref="K305:K316" si="333">IFERROR(J305/E305,0)</f>
      </c>
      <c r="L305" s="121">
        <f t="shared" ref="L305:L312" si="395">J305*8</f>
      </c>
      <c r="M305" s="121">
        <f t="shared" ref="M305:M312" si="23">E305*8</f>
      </c>
      <c r="N305" s="123">
        <f t="shared" ref="N305:N315" si="85">IFERROR(H305/E305,0)</f>
      </c>
      <c r="O305" s="119">
        <v>0</v>
      </c>
      <c r="P305" s="135">
        <f t="shared" ref="P305:P316" si="117">C305-O305</f>
      </c>
      <c r="Q305" s="125">
        <f t="shared" ref="Q305:Q316" si="147">IFERROR(O305/C305,0)</f>
      </c>
      <c r="R305" s="125">
        <f t="shared" ref="R305:R314" si="209">IFERROR(H305/(E305*Q305),0)</f>
      </c>
      <c r="S305" s="123" t="s">
        <v>221</v>
      </c>
    </row>
    <row customHeight="true" ht="23.703703703703702" r="306">
      <c r="A306" s="133">
        <v>45952</v>
      </c>
      <c r="B306" s="119" t="s">
        <v>210</v>
      </c>
      <c r="C306" s="119">
        <v>0</v>
      </c>
      <c r="D306" s="134" cm="1">
        <f t="array" ref="D306:D306">_xlfn.XLOOKUP(B306&amp;S306,'气-价格-毛利'!A:A&amp;'气-价格-毛利'!B:B,'气-价格-毛利'!D:D,0)</f>
      </c>
      <c r="E306" s="121">
        <f t="shared" si="55"/>
      </c>
      <c r="F306" s="120" cm="1">
        <f t="array" ref="F306:F306">_xlfn.XLOOKUP(B306&amp;S306,'气-价格-毛利'!A:A&amp;'气-价格-毛利'!B:B,'气-价格-毛利'!C:C,0)</f>
      </c>
      <c r="G306" s="121">
        <f>C306*10</f>
      </c>
      <c r="H306" s="119">
        <v>0</v>
      </c>
      <c r="I306" s="121">
        <f t="shared" si="241"/>
      </c>
      <c r="J306" s="121">
        <f t="shared" si="272"/>
      </c>
      <c r="K306" s="123">
        <f t="shared" si="333"/>
      </c>
      <c r="L306" s="121">
        <f t="shared" si="395"/>
      </c>
      <c r="M306" s="121">
        <f t="shared" si="23"/>
      </c>
      <c r="N306" s="123">
        <f t="shared" si="85"/>
      </c>
      <c r="O306" s="119">
        <v>0</v>
      </c>
      <c r="P306" s="135">
        <f t="shared" si="117"/>
      </c>
      <c r="Q306" s="125">
        <f t="shared" si="147"/>
      </c>
      <c r="R306" s="125">
        <f t="shared" si="209"/>
      </c>
      <c r="S306" s="123" t="s">
        <v>223</v>
      </c>
    </row>
    <row customHeight="true" ht="23.703703703703702" r="307">
      <c r="A307" s="133">
        <v>45952</v>
      </c>
      <c r="B307" s="119" t="s">
        <v>211</v>
      </c>
      <c r="C307" s="119">
        <v>0</v>
      </c>
      <c r="D307" s="134" cm="1">
        <f t="array" ref="D307:D307">_xlfn.XLOOKUP(B307&amp;S307,'气-价格-毛利'!A:A&amp;'气-价格-毛利'!B:B,'气-价格-毛利'!D:D,0)</f>
      </c>
      <c r="E307" s="121">
        <f t="shared" si="55"/>
      </c>
      <c r="F307" s="120" cm="1">
        <f t="array" ref="F307:F307">_xlfn.XLOOKUP(B307&amp;S307,'气-价格-毛利'!A:A&amp;'气-价格-毛利'!B:B,'气-价格-毛利'!C:C,0)</f>
      </c>
      <c r="G307" s="121">
        <f>C307*8</f>
      </c>
      <c r="H307" s="119">
        <v>0</v>
      </c>
      <c r="I307" s="121">
        <f t="shared" si="241"/>
      </c>
      <c r="J307" s="121">
        <f t="shared" si="272"/>
      </c>
      <c r="K307" s="123">
        <f t="shared" si="333"/>
      </c>
      <c r="L307" s="121">
        <f t="shared" si="395"/>
      </c>
      <c r="M307" s="121">
        <f t="shared" si="23"/>
      </c>
      <c r="N307" s="123">
        <f t="shared" si="85"/>
      </c>
      <c r="O307" s="119">
        <v>0</v>
      </c>
      <c r="P307" s="135">
        <f t="shared" si="117"/>
      </c>
      <c r="Q307" s="125">
        <f t="shared" si="147"/>
      </c>
      <c r="R307" s="125">
        <f t="shared" si="209"/>
      </c>
      <c r="S307" s="123" t="s">
        <v>224</v>
      </c>
    </row>
    <row customHeight="true" ht="23.703703703703702" r="308">
      <c r="A308" s="133">
        <v>45952</v>
      </c>
      <c r="B308" s="119" t="s">
        <v>211</v>
      </c>
      <c r="C308" s="119">
        <v>0</v>
      </c>
      <c r="D308" s="134" cm="1">
        <f t="array" ref="D308:D308">_xlfn.XLOOKUP(B308&amp;S308,'气-价格-毛利'!A:A&amp;'气-价格-毛利'!B:B,'气-价格-毛利'!D:D,0)</f>
      </c>
      <c r="E308" s="121">
        <f t="shared" si="55"/>
      </c>
      <c r="F308" s="120" cm="1">
        <f t="array" ref="F308:F308">_xlfn.XLOOKUP(B308&amp;S308,'气-价格-毛利'!A:A&amp;'气-价格-毛利'!B:B,'气-价格-毛利'!C:C,0)</f>
      </c>
      <c r="G308" s="121">
        <f>C308*10</f>
      </c>
      <c r="H308" s="119">
        <v>0</v>
      </c>
      <c r="I308" s="121">
        <f t="shared" si="241"/>
      </c>
      <c r="J308" s="121">
        <f t="shared" si="272"/>
      </c>
      <c r="K308" s="123">
        <f t="shared" si="333"/>
      </c>
      <c r="L308" s="121">
        <f t="shared" si="395"/>
      </c>
      <c r="M308" s="121">
        <f t="shared" si="23"/>
      </c>
      <c r="N308" s="123">
        <f t="shared" si="85"/>
      </c>
      <c r="O308" s="119">
        <v>0</v>
      </c>
      <c r="P308" s="135">
        <f t="shared" si="117"/>
      </c>
      <c r="Q308" s="125">
        <f t="shared" si="147"/>
      </c>
      <c r="R308" s="125">
        <f t="shared" si="209"/>
      </c>
      <c r="S308" s="123" t="s">
        <v>223</v>
      </c>
    </row>
    <row customHeight="true" ht="23.703703703703702" r="309">
      <c r="A309" s="133">
        <v>45952</v>
      </c>
      <c r="B309" s="119" t="s">
        <v>213</v>
      </c>
      <c r="C309" s="119">
        <v>2</v>
      </c>
      <c r="D309" s="134" cm="1">
        <f t="array" ref="D309:D309">_xlfn.XLOOKUP(B309&amp;S309,'气-价格-毛利'!A:A&amp;'气-价格-毛利'!B:B,'气-价格-毛利'!D:D,0)</f>
      </c>
      <c r="E309" s="121">
        <f t="shared" si="55"/>
      </c>
      <c r="F309" s="120" cm="1">
        <f t="array" ref="F309:F309">_xlfn.XLOOKUP(B309&amp;S309,'气-价格-毛利'!A:A&amp;'气-价格-毛利'!B:B,'气-价格-毛利'!C:C,0)</f>
      </c>
      <c r="G309" s="121">
        <f>C309*8</f>
      </c>
      <c r="H309" s="119">
        <v>0</v>
      </c>
      <c r="I309" s="121">
        <f t="shared" si="241"/>
      </c>
      <c r="J309" s="121">
        <f t="shared" si="272"/>
      </c>
      <c r="K309" s="123">
        <f t="shared" si="333"/>
      </c>
      <c r="L309" s="121">
        <f t="shared" si="395"/>
      </c>
      <c r="M309" s="121">
        <f t="shared" si="23"/>
      </c>
      <c r="N309" s="123">
        <f t="shared" si="85"/>
      </c>
      <c r="O309" s="119">
        <v>0</v>
      </c>
      <c r="P309" s="135">
        <f t="shared" si="117"/>
      </c>
      <c r="Q309" s="125">
        <f t="shared" si="147"/>
      </c>
      <c r="R309" s="125">
        <f t="shared" si="209"/>
      </c>
      <c r="S309" s="123" t="s">
        <v>224</v>
      </c>
    </row>
    <row customHeight="true" ht="23.703703703703702" r="310">
      <c r="A310" s="133">
        <v>45952</v>
      </c>
      <c r="B310" s="119" t="s">
        <v>213</v>
      </c>
      <c r="C310" s="119">
        <v>0</v>
      </c>
      <c r="D310" s="134" cm="1">
        <f t="array" ref="D310:D310">_xlfn.XLOOKUP(B310&amp;S310,'气-价格-毛利'!A:A&amp;'气-价格-毛利'!B:B,'气-价格-毛利'!D:D,0)</f>
      </c>
      <c r="E310" s="121">
        <f t="shared" si="55"/>
      </c>
      <c r="F310" s="120" cm="1">
        <f t="array" ref="F310:F310">_xlfn.XLOOKUP(B310&amp;S310,'气-价格-毛利'!A:A&amp;'气-价格-毛利'!B:B,'气-价格-毛利'!C:C,0)</f>
      </c>
      <c r="G310" s="121">
        <f>C310*10</f>
      </c>
      <c r="H310" s="119">
        <v>0</v>
      </c>
      <c r="I310" s="121">
        <f t="shared" si="241"/>
      </c>
      <c r="J310" s="121">
        <f t="shared" si="272"/>
      </c>
      <c r="K310" s="123">
        <f t="shared" si="333"/>
      </c>
      <c r="L310" s="121">
        <f t="shared" si="395"/>
      </c>
      <c r="M310" s="121">
        <f t="shared" si="23"/>
      </c>
      <c r="N310" s="123">
        <f t="shared" si="85"/>
      </c>
      <c r="O310" s="119">
        <v>0</v>
      </c>
      <c r="P310" s="135">
        <f t="shared" si="117"/>
      </c>
      <c r="Q310" s="125">
        <f t="shared" si="147"/>
      </c>
      <c r="R310" s="125">
        <f t="shared" si="209"/>
      </c>
      <c r="S310" s="123" t="s">
        <v>223</v>
      </c>
    </row>
    <row customHeight="true" ht="23.703703703703702" r="311">
      <c r="A311" s="133">
        <v>45952</v>
      </c>
      <c r="B311" s="119" t="s">
        <v>214</v>
      </c>
      <c r="C311" s="119">
        <v>0</v>
      </c>
      <c r="D311" s="134" cm="1">
        <f t="array" ref="D311:D311">_xlfn.XLOOKUP(B311&amp;S311,'气-价格-毛利'!A:A&amp;'气-价格-毛利'!B:B,'气-价格-毛利'!D:D,0)</f>
      </c>
      <c r="E311" s="121">
        <f t="shared" si="55"/>
      </c>
      <c r="F311" s="120" cm="1">
        <f t="array" ref="F311:F311">_xlfn.XLOOKUP(B311&amp;S311,'气-价格-毛利'!A:A&amp;'气-价格-毛利'!B:B,'气-价格-毛利'!C:C,0)</f>
      </c>
      <c r="G311" s="121">
        <f>C311*8</f>
      </c>
      <c r="H311" s="119">
        <v>0</v>
      </c>
      <c r="I311" s="121">
        <f t="shared" si="241"/>
      </c>
      <c r="J311" s="121">
        <f t="shared" si="272"/>
      </c>
      <c r="K311" s="123">
        <f t="shared" si="333"/>
      </c>
      <c r="L311" s="121">
        <f t="shared" si="395"/>
      </c>
      <c r="M311" s="121">
        <f t="shared" si="23"/>
      </c>
      <c r="N311" s="123">
        <f t="shared" si="85"/>
      </c>
      <c r="O311" s="119">
        <v>0</v>
      </c>
      <c r="P311" s="135">
        <f t="shared" si="117"/>
      </c>
      <c r="Q311" s="125">
        <f t="shared" si="147"/>
      </c>
      <c r="R311" s="125">
        <f t="shared" si="209"/>
      </c>
      <c r="S311" s="123" t="s">
        <v>224</v>
      </c>
    </row>
    <row customHeight="true" ht="23.703703703703702" r="312">
      <c r="A312" s="133">
        <v>45952</v>
      </c>
      <c r="B312" s="119" t="s">
        <v>214</v>
      </c>
      <c r="C312" s="119">
        <v>0</v>
      </c>
      <c r="D312" s="134" cm="1">
        <f t="array" ref="D312:D312">_xlfn.XLOOKUP(B312&amp;S312,'气-价格-毛利'!A:A&amp;'气-价格-毛利'!B:B,'气-价格-毛利'!D:D,0)</f>
      </c>
      <c r="E312" s="121">
        <f t="shared" si="55"/>
      </c>
      <c r="F312" s="120" cm="1">
        <f t="array" ref="F312:F312">_xlfn.XLOOKUP(B312&amp;S312,'气-价格-毛利'!A:A&amp;'气-价格-毛利'!B:B,'气-价格-毛利'!C:C,0)</f>
      </c>
      <c r="G312" s="121">
        <f>C312*10</f>
      </c>
      <c r="H312" s="119">
        <v>0</v>
      </c>
      <c r="I312" s="121">
        <f t="shared" si="241"/>
      </c>
      <c r="J312" s="121">
        <f t="shared" si="272"/>
      </c>
      <c r="K312" s="123">
        <f t="shared" si="333"/>
      </c>
      <c r="L312" s="121">
        <f t="shared" si="395"/>
      </c>
      <c r="M312" s="121">
        <f t="shared" si="23"/>
      </c>
      <c r="N312" s="123">
        <f t="shared" si="85"/>
      </c>
      <c r="O312" s="119">
        <v>0</v>
      </c>
      <c r="P312" s="135">
        <f t="shared" si="117"/>
      </c>
      <c r="Q312" s="125">
        <f t="shared" si="147"/>
      </c>
      <c r="R312" s="125">
        <f t="shared" si="209"/>
      </c>
      <c r="S312" s="123" t="s">
        <v>223</v>
      </c>
    </row>
    <row customHeight="true" ht="23.703703703703702" r="313">
      <c r="A313" s="133">
        <v>45952</v>
      </c>
      <c r="B313" s="119" t="s">
        <v>216</v>
      </c>
      <c r="C313" s="119">
        <v>0</v>
      </c>
      <c r="D313" s="134" cm="1">
        <f t="array" ref="D313:D313">_xlfn.XLOOKUP(B313&amp;S313,'气-价格-毛利'!A:A&amp;'气-价格-毛利'!B:B,'气-价格-毛利'!D:D,0)</f>
      </c>
      <c r="E313" s="121">
        <f t="shared" si="55"/>
      </c>
      <c r="F313" s="120" cm="1">
        <f t="array" ref="F313:F313">_xlfn.XLOOKUP(B313&amp;S313,'气-价格-毛利'!A:A&amp;'气-价格-毛利'!B:B,'气-价格-毛利'!C:C,0)</f>
      </c>
      <c r="G313" s="121">
        <f t="shared" ref="G313:G314" si="179">C313*8</f>
      </c>
      <c r="H313" s="119">
        <v>0</v>
      </c>
      <c r="I313" s="121">
        <f t="shared" si="241"/>
      </c>
      <c r="J313" s="121">
        <f t="shared" si="272"/>
      </c>
      <c r="K313" s="123">
        <f t="shared" si="333"/>
      </c>
      <c r="L313" s="121">
        <f t="shared" ref="L313:L314" si="302">J313*9</f>
      </c>
      <c r="M313" s="121">
        <f t="shared" ref="M313:M314" si="363">E313*9</f>
      </c>
      <c r="N313" s="123">
        <f t="shared" si="85"/>
      </c>
      <c r="O313" s="119">
        <v>0</v>
      </c>
      <c r="P313" s="135">
        <f t="shared" si="117"/>
      </c>
      <c r="Q313" s="125">
        <f t="shared" si="147"/>
      </c>
      <c r="R313" s="125">
        <f t="shared" si="209"/>
      </c>
      <c r="S313" s="125"/>
    </row>
    <row customHeight="true" ht="23.703703703703702" r="314">
      <c r="A314" s="133">
        <v>45952</v>
      </c>
      <c r="B314" s="119" t="s">
        <v>216</v>
      </c>
      <c r="C314" s="119">
        <v>0</v>
      </c>
      <c r="D314" s="134" cm="1">
        <f t="array" ref="D314:D314">_xlfn.XLOOKUP(B314&amp;S314,'气-价格-毛利'!A:A&amp;'气-价格-毛利'!B:B,'气-价格-毛利'!D:D,0)</f>
      </c>
      <c r="E314" s="121">
        <f t="shared" si="55"/>
      </c>
      <c r="F314" s="120" cm="1">
        <f t="array" ref="F314:F314">_xlfn.XLOOKUP(B314&amp;S314,'气-价格-毛利'!A:A&amp;'气-价格-毛利'!B:B,'气-价格-毛利'!C:C,0)</f>
      </c>
      <c r="G314" s="121">
        <f t="shared" si="179"/>
      </c>
      <c r="H314" s="119">
        <v>0</v>
      </c>
      <c r="I314" s="121">
        <f t="shared" si="241"/>
      </c>
      <c r="J314" s="121">
        <f t="shared" si="272"/>
      </c>
      <c r="K314" s="123">
        <f t="shared" si="333"/>
      </c>
      <c r="L314" s="121">
        <f t="shared" si="302"/>
      </c>
      <c r="M314" s="121">
        <f t="shared" si="363"/>
      </c>
      <c r="N314" s="123">
        <f t="shared" si="85"/>
      </c>
      <c r="O314" s="119">
        <v>0</v>
      </c>
      <c r="P314" s="135">
        <f t="shared" si="117"/>
      </c>
      <c r="Q314" s="125">
        <f t="shared" si="147"/>
      </c>
      <c r="R314" s="125">
        <f t="shared" si="209"/>
      </c>
      <c r="S314" s="125"/>
    </row>
    <row customHeight="true" ht="23.703703703703702" r="315">
      <c r="A315" s="133">
        <v>45952</v>
      </c>
      <c r="B315" s="119" t="s">
        <v>217</v>
      </c>
      <c r="C315" s="119">
        <v>0</v>
      </c>
      <c r="D315" s="134" cm="1">
        <f t="array" ref="D315:D315">_xlfn.XLOOKUP(B315&amp;S315,'气-价格-毛利'!A:A&amp;'气-价格-毛利'!B:B,'气-价格-毛利'!D:D,0)</f>
      </c>
      <c r="E315" s="121">
        <f t="shared" si="55"/>
      </c>
      <c r="F315" s="120" cm="1">
        <f t="array" ref="F315:F315">_xlfn.XLOOKUP(B315&amp;S315,'气-价格-毛利'!A:A&amp;'气-价格-毛利'!B:B,'气-价格-毛利'!C:C,0)</f>
      </c>
      <c r="G315" s="121"/>
      <c r="H315" s="119">
        <v>0</v>
      </c>
      <c r="I315" s="121">
        <f t="shared" si="241"/>
      </c>
      <c r="J315" s="121">
        <f>C315*F315-H315-I315</f>
      </c>
      <c r="K315" s="123">
        <f t="shared" si="333"/>
      </c>
      <c r="L315" s="121">
        <f>J315*7</f>
      </c>
      <c r="M315" s="121">
        <f>E315*7</f>
      </c>
      <c r="N315" s="123">
        <f t="shared" si="85"/>
      </c>
      <c r="O315" s="119">
        <v>0</v>
      </c>
      <c r="P315" s="124">
        <f t="shared" si="117"/>
      </c>
      <c r="Q315" s="125">
        <f t="shared" si="147"/>
      </c>
      <c r="R315" s="125"/>
      <c r="S315" s="137"/>
    </row>
    <row customHeight="true" ht="23.703703703703702" r="316">
      <c r="A316" s="133">
        <v>45952</v>
      </c>
      <c r="B316" s="119" t="s">
        <v>191</v>
      </c>
      <c r="C316" s="119">
        <f>SUM(C305:C315)</f>
      </c>
      <c r="D316" s="129"/>
      <c r="E316" s="121">
        <f>SUM(E305:E315)</f>
      </c>
      <c r="F316" s="122">
        <f>SUM(F305:F314)</f>
      </c>
      <c r="G316" s="121"/>
      <c r="H316" s="121"/>
      <c r="I316" s="121"/>
      <c r="J316" s="121">
        <f>SUM(J305:J315)</f>
      </c>
      <c r="K316" s="123">
        <f t="shared" si="333"/>
      </c>
      <c r="L316" s="121">
        <f>SUM(L305:L315)</f>
      </c>
      <c r="M316" s="121">
        <f>SUM(M305:M315)</f>
      </c>
      <c r="N316" s="123"/>
      <c r="O316" s="135">
        <f>SUM(O305:O314)</f>
      </c>
      <c r="P316" s="135">
        <f t="shared" si="117"/>
      </c>
      <c r="Q316" s="125">
        <f t="shared" si="147"/>
      </c>
      <c r="R316" s="125"/>
      <c r="S316" s="129"/>
    </row>
    <row customHeight="true" ht="23.703703703703702" r="317">
      <c r="B317" s="117" t="s">
        <v>218</v>
      </c>
    </row>
    <row customHeight="true" ht="23.703703703703702" r="318">
      <c r="A318" s="111" t="s">
        <v>219</v>
      </c>
      <c r="B318" s="112" t="s">
        <v>192</v>
      </c>
      <c r="C318" s="130" t="s">
        <v>193</v>
      </c>
      <c r="D318" s="112" t="s">
        <v>194</v>
      </c>
      <c r="E318" s="113" t="s">
        <v>195</v>
      </c>
      <c r="F318" s="114" t="s">
        <v>196</v>
      </c>
      <c r="G318" s="113" t="s">
        <v>197</v>
      </c>
      <c r="H318" s="131" t="s">
        <v>198</v>
      </c>
      <c r="I318" s="113" t="s">
        <v>199</v>
      </c>
      <c r="J318" s="113" t="s">
        <v>196</v>
      </c>
      <c r="K318" s="115" t="s">
        <v>200</v>
      </c>
      <c r="L318" s="113" t="s">
        <v>201</v>
      </c>
      <c r="M318" s="113" t="s">
        <v>202</v>
      </c>
      <c r="N318" s="112" t="s">
        <v>203</v>
      </c>
      <c r="O318" s="132" t="s">
        <v>204</v>
      </c>
      <c r="P318" s="116" t="s">
        <v>205</v>
      </c>
      <c r="Q318" s="115" t="s">
        <v>206</v>
      </c>
      <c r="R318" s="115" t="s">
        <v>207</v>
      </c>
      <c r="S318" s="115" t="s">
        <v>220</v>
      </c>
    </row>
    <row customHeight="true" ht="23.703703703703702" r="319">
      <c r="A319" s="133">
        <v>45953</v>
      </c>
      <c r="B319" s="119" t="s">
        <v>210</v>
      </c>
      <c r="C319" s="119"/>
      <c r="D319" s="134" cm="1">
        <f t="array" ref="D319:D319">_xlfn.XLOOKUP(B319&amp;S319,'气-价格-毛利'!A:A&amp;'气-价格-毛利'!B:B,'气-价格-毛利'!D:D,0)</f>
      </c>
      <c r="E319" s="121">
        <f t="shared" ref="E319:E329" si="56">C319*D319</f>
      </c>
      <c r="F319" s="120" cm="1">
        <f t="array" ref="F319:F319">_xlfn.XLOOKUP(B319&amp;S319,'气-价格-毛利'!A:A&amp;'气-价格-毛利'!B:B,'气-价格-毛利'!C:C,0)</f>
      </c>
      <c r="G319" s="121">
        <f>C319*8</f>
      </c>
      <c r="H319" s="119">
        <v>0</v>
      </c>
      <c r="I319" s="121">
        <f t="shared" ref="I319:I329" si="242">E319*0.025</f>
      </c>
      <c r="J319" s="121">
        <f t="shared" ref="J319:J328" si="273">F319*C319+G319-H319-I319</f>
      </c>
      <c r="K319" s="123">
        <f t="shared" ref="K319:K330" si="334">IFERROR(J319/E319,0)</f>
      </c>
      <c r="L319" s="121">
        <f t="shared" ref="L319:L326" si="396">J319*8</f>
      </c>
      <c r="M319" s="121">
        <f t="shared" ref="M319:M326" si="24">E319*8</f>
      </c>
      <c r="N319" s="123">
        <f t="shared" ref="N319:N329" si="86">IFERROR(H319/E319,0)</f>
      </c>
      <c r="O319" s="119">
        <v>0</v>
      </c>
      <c r="P319" s="135">
        <f t="shared" ref="P319:P330" si="118">C319-O319</f>
      </c>
      <c r="Q319" s="125">
        <f t="shared" ref="Q319:Q330" si="148">IFERROR(O319/C319,0)</f>
      </c>
      <c r="R319" s="125">
        <f t="shared" ref="R319:R328" si="210">IFERROR(H319/(E319*Q319),0)</f>
      </c>
      <c r="S319" s="123" t="s">
        <v>221</v>
      </c>
    </row>
    <row customHeight="true" ht="23.703703703703702" r="320">
      <c r="A320" s="133">
        <v>45953</v>
      </c>
      <c r="B320" s="119" t="s">
        <v>210</v>
      </c>
      <c r="C320" s="119"/>
      <c r="D320" s="134" cm="1">
        <f t="array" ref="D320:D320">_xlfn.XLOOKUP(B320&amp;S320,'气-价格-毛利'!A:A&amp;'气-价格-毛利'!B:B,'气-价格-毛利'!D:D,0)</f>
      </c>
      <c r="E320" s="121">
        <f t="shared" si="56"/>
      </c>
      <c r="F320" s="120" cm="1">
        <f t="array" ref="F320:F320">_xlfn.XLOOKUP(B320&amp;S320,'气-价格-毛利'!A:A&amp;'气-价格-毛利'!B:B,'气-价格-毛利'!C:C,0)</f>
      </c>
      <c r="G320" s="121">
        <f>C320*10</f>
      </c>
      <c r="H320" s="119">
        <v>0</v>
      </c>
      <c r="I320" s="121">
        <f t="shared" si="242"/>
      </c>
      <c r="J320" s="121">
        <f t="shared" si="273"/>
      </c>
      <c r="K320" s="123">
        <f t="shared" si="334"/>
      </c>
      <c r="L320" s="121">
        <f t="shared" si="396"/>
      </c>
      <c r="M320" s="121">
        <f t="shared" si="24"/>
      </c>
      <c r="N320" s="123">
        <f t="shared" si="86"/>
      </c>
      <c r="O320" s="119">
        <v>0</v>
      </c>
      <c r="P320" s="135">
        <f t="shared" si="118"/>
      </c>
      <c r="Q320" s="125">
        <f t="shared" si="148"/>
      </c>
      <c r="R320" s="125">
        <f t="shared" si="210"/>
      </c>
      <c r="S320" s="123" t="s">
        <v>223</v>
      </c>
    </row>
    <row customHeight="true" ht="23.703703703703702" r="321">
      <c r="A321" s="133">
        <v>45953</v>
      </c>
      <c r="B321" s="119" t="s">
        <v>211</v>
      </c>
      <c r="C321" s="119"/>
      <c r="D321" s="134" cm="1">
        <f t="array" ref="D321:D321">_xlfn.XLOOKUP(B321&amp;S321,'气-价格-毛利'!A:A&amp;'气-价格-毛利'!B:B,'气-价格-毛利'!D:D,0)</f>
      </c>
      <c r="E321" s="121">
        <f t="shared" si="56"/>
      </c>
      <c r="F321" s="120" cm="1">
        <f t="array" ref="F321:F321">_xlfn.XLOOKUP(B321&amp;S321,'气-价格-毛利'!A:A&amp;'气-价格-毛利'!B:B,'气-价格-毛利'!C:C,0)</f>
      </c>
      <c r="G321" s="121">
        <f>C321*8</f>
      </c>
      <c r="H321" s="119">
        <v>0</v>
      </c>
      <c r="I321" s="121">
        <f t="shared" si="242"/>
      </c>
      <c r="J321" s="121">
        <f t="shared" si="273"/>
      </c>
      <c r="K321" s="123">
        <f t="shared" si="334"/>
      </c>
      <c r="L321" s="121">
        <f t="shared" si="396"/>
      </c>
      <c r="M321" s="121">
        <f t="shared" si="24"/>
      </c>
      <c r="N321" s="123">
        <f t="shared" si="86"/>
      </c>
      <c r="O321" s="119">
        <v>0</v>
      </c>
      <c r="P321" s="135">
        <f t="shared" si="118"/>
      </c>
      <c r="Q321" s="125">
        <f t="shared" si="148"/>
      </c>
      <c r="R321" s="125">
        <f t="shared" si="210"/>
      </c>
      <c r="S321" s="123" t="s">
        <v>224</v>
      </c>
    </row>
    <row customHeight="true" ht="23.703703703703702" r="322">
      <c r="A322" s="133">
        <v>45953</v>
      </c>
      <c r="B322" s="119" t="s">
        <v>211</v>
      </c>
      <c r="C322" s="119"/>
      <c r="D322" s="134" cm="1">
        <f t="array" ref="D322:D322">_xlfn.XLOOKUP(B322&amp;S322,'气-价格-毛利'!A:A&amp;'气-价格-毛利'!B:B,'气-价格-毛利'!D:D,0)</f>
      </c>
      <c r="E322" s="121">
        <f t="shared" si="56"/>
      </c>
      <c r="F322" s="120" cm="1">
        <f t="array" ref="F322:F322">_xlfn.XLOOKUP(B322&amp;S322,'气-价格-毛利'!A:A&amp;'气-价格-毛利'!B:B,'气-价格-毛利'!C:C,0)</f>
      </c>
      <c r="G322" s="121">
        <f>C322*10</f>
      </c>
      <c r="H322" s="119">
        <v>0</v>
      </c>
      <c r="I322" s="121">
        <f t="shared" si="242"/>
      </c>
      <c r="J322" s="121">
        <f t="shared" si="273"/>
      </c>
      <c r="K322" s="123">
        <f t="shared" si="334"/>
      </c>
      <c r="L322" s="121">
        <f t="shared" si="396"/>
      </c>
      <c r="M322" s="121">
        <f t="shared" si="24"/>
      </c>
      <c r="N322" s="123">
        <f t="shared" si="86"/>
      </c>
      <c r="O322" s="119">
        <v>0</v>
      </c>
      <c r="P322" s="135">
        <f t="shared" si="118"/>
      </c>
      <c r="Q322" s="125">
        <f t="shared" si="148"/>
      </c>
      <c r="R322" s="125">
        <f t="shared" si="210"/>
      </c>
      <c r="S322" s="123" t="s">
        <v>223</v>
      </c>
    </row>
    <row customHeight="true" ht="23.703703703703702" r="323">
      <c r="A323" s="133">
        <v>45953</v>
      </c>
      <c r="B323" s="119" t="s">
        <v>213</v>
      </c>
      <c r="C323" s="119">
        <v>17</v>
      </c>
      <c r="D323" s="134" cm="1">
        <f t="array" ref="D323:D323">_xlfn.XLOOKUP(B323&amp;S323,'气-价格-毛利'!A:A&amp;'气-价格-毛利'!B:B,'气-价格-毛利'!D:D,0)</f>
      </c>
      <c r="E323" s="121">
        <f t="shared" si="56"/>
      </c>
      <c r="F323" s="120" cm="1">
        <f t="array" ref="F323:F323">_xlfn.XLOOKUP(B323&amp;S323,'气-价格-毛利'!A:A&amp;'气-价格-毛利'!B:B,'气-价格-毛利'!C:C,0)</f>
      </c>
      <c r="G323" s="121">
        <f>C323*8</f>
      </c>
      <c r="H323" s="119">
        <v>1.07</v>
      </c>
      <c r="I323" s="121">
        <f t="shared" si="242"/>
      </c>
      <c r="J323" s="121">
        <f t="shared" si="273"/>
      </c>
      <c r="K323" s="123">
        <f t="shared" si="334"/>
      </c>
      <c r="L323" s="121">
        <f t="shared" si="396"/>
      </c>
      <c r="M323" s="121">
        <f t="shared" si="24"/>
      </c>
      <c r="N323" s="123">
        <f t="shared" si="86"/>
      </c>
      <c r="O323" s="119">
        <v>0</v>
      </c>
      <c r="P323" s="135">
        <f t="shared" si="118"/>
      </c>
      <c r="Q323" s="125">
        <f t="shared" si="148"/>
      </c>
      <c r="R323" s="125">
        <f t="shared" si="210"/>
      </c>
      <c r="S323" s="123" t="s">
        <v>224</v>
      </c>
    </row>
    <row customHeight="true" ht="23.703703703703702" r="324">
      <c r="A324" s="133">
        <v>45953</v>
      </c>
      <c r="B324" s="119" t="s">
        <v>213</v>
      </c>
      <c r="C324" s="119"/>
      <c r="D324" s="134" cm="1">
        <f t="array" ref="D324:D324">_xlfn.XLOOKUP(B324&amp;S324,'气-价格-毛利'!A:A&amp;'气-价格-毛利'!B:B,'气-价格-毛利'!D:D,0)</f>
      </c>
      <c r="E324" s="121">
        <f t="shared" si="56"/>
      </c>
      <c r="F324" s="120" cm="1">
        <f t="array" ref="F324:F324">_xlfn.XLOOKUP(B324&amp;S324,'气-价格-毛利'!A:A&amp;'气-价格-毛利'!B:B,'气-价格-毛利'!C:C,0)</f>
      </c>
      <c r="G324" s="121">
        <f>C324*10</f>
      </c>
      <c r="H324" s="119">
        <v>0</v>
      </c>
      <c r="I324" s="121">
        <f t="shared" si="242"/>
      </c>
      <c r="J324" s="121">
        <f t="shared" si="273"/>
      </c>
      <c r="K324" s="123">
        <f t="shared" si="334"/>
      </c>
      <c r="L324" s="121">
        <f t="shared" si="396"/>
      </c>
      <c r="M324" s="121">
        <f t="shared" si="24"/>
      </c>
      <c r="N324" s="123">
        <f t="shared" si="86"/>
      </c>
      <c r="O324" s="119">
        <v>0</v>
      </c>
      <c r="P324" s="135">
        <f t="shared" si="118"/>
      </c>
      <c r="Q324" s="125">
        <f t="shared" si="148"/>
      </c>
      <c r="R324" s="125">
        <f t="shared" si="210"/>
      </c>
      <c r="S324" s="123" t="s">
        <v>223</v>
      </c>
    </row>
    <row customHeight="true" ht="23.703703703703702" r="325">
      <c r="A325" s="133">
        <v>45953</v>
      </c>
      <c r="B325" s="119" t="s">
        <v>214</v>
      </c>
      <c r="C325" s="119"/>
      <c r="D325" s="134" cm="1">
        <f t="array" ref="D325:D325">_xlfn.XLOOKUP(B325&amp;S325,'气-价格-毛利'!A:A&amp;'气-价格-毛利'!B:B,'气-价格-毛利'!D:D,0)</f>
      </c>
      <c r="E325" s="121">
        <f t="shared" si="56"/>
      </c>
      <c r="F325" s="120" cm="1">
        <f t="array" ref="F325:F325">_xlfn.XLOOKUP(B325&amp;S325,'气-价格-毛利'!A:A&amp;'气-价格-毛利'!B:B,'气-价格-毛利'!C:C,0)</f>
      </c>
      <c r="G325" s="121">
        <f>C325*8</f>
      </c>
      <c r="H325" s="119">
        <v>0</v>
      </c>
      <c r="I325" s="121">
        <f t="shared" si="242"/>
      </c>
      <c r="J325" s="121">
        <f t="shared" si="273"/>
      </c>
      <c r="K325" s="123">
        <f t="shared" si="334"/>
      </c>
      <c r="L325" s="121">
        <f t="shared" si="396"/>
      </c>
      <c r="M325" s="121">
        <f t="shared" si="24"/>
      </c>
      <c r="N325" s="123">
        <f t="shared" si="86"/>
      </c>
      <c r="O325" s="119">
        <v>0</v>
      </c>
      <c r="P325" s="135">
        <f t="shared" si="118"/>
      </c>
      <c r="Q325" s="125">
        <f t="shared" si="148"/>
      </c>
      <c r="R325" s="125">
        <f t="shared" si="210"/>
      </c>
      <c r="S325" s="123" t="s">
        <v>224</v>
      </c>
    </row>
    <row customHeight="true" ht="23.703703703703702" r="326">
      <c r="A326" s="133">
        <v>45953</v>
      </c>
      <c r="B326" s="119" t="s">
        <v>214</v>
      </c>
      <c r="C326" s="119"/>
      <c r="D326" s="134" cm="1">
        <f t="array" ref="D326:D326">_xlfn.XLOOKUP(B326&amp;S326,'气-价格-毛利'!A:A&amp;'气-价格-毛利'!B:B,'气-价格-毛利'!D:D,0)</f>
      </c>
      <c r="E326" s="121">
        <f t="shared" si="56"/>
      </c>
      <c r="F326" s="120" cm="1">
        <f t="array" ref="F326:F326">_xlfn.XLOOKUP(B326&amp;S326,'气-价格-毛利'!A:A&amp;'气-价格-毛利'!B:B,'气-价格-毛利'!C:C,0)</f>
      </c>
      <c r="G326" s="121">
        <f>C326*10</f>
      </c>
      <c r="H326" s="119">
        <v>0</v>
      </c>
      <c r="I326" s="121">
        <f t="shared" si="242"/>
      </c>
      <c r="J326" s="121">
        <f t="shared" si="273"/>
      </c>
      <c r="K326" s="123">
        <f t="shared" si="334"/>
      </c>
      <c r="L326" s="121">
        <f t="shared" si="396"/>
      </c>
      <c r="M326" s="121">
        <f t="shared" si="24"/>
      </c>
      <c r="N326" s="123">
        <f t="shared" si="86"/>
      </c>
      <c r="O326" s="119">
        <v>0</v>
      </c>
      <c r="P326" s="135">
        <f t="shared" si="118"/>
      </c>
      <c r="Q326" s="125">
        <f t="shared" si="148"/>
      </c>
      <c r="R326" s="125">
        <f t="shared" si="210"/>
      </c>
      <c r="S326" s="123" t="s">
        <v>223</v>
      </c>
    </row>
    <row customHeight="true" ht="23.703703703703702" r="327">
      <c r="A327" s="133">
        <v>45953</v>
      </c>
      <c r="B327" s="119" t="s">
        <v>216</v>
      </c>
      <c r="C327" s="119"/>
      <c r="D327" s="134" cm="1">
        <f t="array" ref="D327:D327">_xlfn.XLOOKUP(B327&amp;S327,'气-价格-毛利'!A:A&amp;'气-价格-毛利'!B:B,'气-价格-毛利'!D:D,0)</f>
      </c>
      <c r="E327" s="121">
        <f t="shared" si="56"/>
      </c>
      <c r="F327" s="120" cm="1">
        <f t="array" ref="F327:F327">_xlfn.XLOOKUP(B327&amp;S327,'气-价格-毛利'!A:A&amp;'气-价格-毛利'!B:B,'气-价格-毛利'!C:C,0)</f>
      </c>
      <c r="G327" s="121">
        <f t="shared" ref="G327:G328" si="180">C327*8</f>
      </c>
      <c r="H327" s="119">
        <v>0</v>
      </c>
      <c r="I327" s="121">
        <f t="shared" si="242"/>
      </c>
      <c r="J327" s="121">
        <f t="shared" si="273"/>
      </c>
      <c r="K327" s="123">
        <f t="shared" si="334"/>
      </c>
      <c r="L327" s="121">
        <f t="shared" ref="L327:L328" si="303">J327*9</f>
      </c>
      <c r="M327" s="121">
        <f t="shared" ref="M327:M328" si="364">E327*9</f>
      </c>
      <c r="N327" s="123">
        <f t="shared" si="86"/>
      </c>
      <c r="O327" s="119">
        <v>0</v>
      </c>
      <c r="P327" s="135">
        <f t="shared" si="118"/>
      </c>
      <c r="Q327" s="125">
        <f t="shared" si="148"/>
      </c>
      <c r="R327" s="125">
        <f t="shared" si="210"/>
      </c>
      <c r="S327" s="125"/>
    </row>
    <row customHeight="true" ht="23.703703703703702" r="328">
      <c r="A328" s="133">
        <v>45953</v>
      </c>
      <c r="B328" s="119" t="s">
        <v>216</v>
      </c>
      <c r="C328" s="119"/>
      <c r="D328" s="134" cm="1">
        <f t="array" ref="D328:D328">_xlfn.XLOOKUP(B328&amp;S328,'气-价格-毛利'!A:A&amp;'气-价格-毛利'!B:B,'气-价格-毛利'!D:D,0)</f>
      </c>
      <c r="E328" s="121">
        <f t="shared" si="56"/>
      </c>
      <c r="F328" s="120" cm="1">
        <f t="array" ref="F328:F328">_xlfn.XLOOKUP(B328&amp;S328,'气-价格-毛利'!A:A&amp;'气-价格-毛利'!B:B,'气-价格-毛利'!C:C,0)</f>
      </c>
      <c r="G328" s="121">
        <f t="shared" si="180"/>
      </c>
      <c r="H328" s="119">
        <v>0</v>
      </c>
      <c r="I328" s="121">
        <f t="shared" si="242"/>
      </c>
      <c r="J328" s="121">
        <f t="shared" si="273"/>
      </c>
      <c r="K328" s="123">
        <f t="shared" si="334"/>
      </c>
      <c r="L328" s="121">
        <f t="shared" si="303"/>
      </c>
      <c r="M328" s="121">
        <f t="shared" si="364"/>
      </c>
      <c r="N328" s="123">
        <f t="shared" si="86"/>
      </c>
      <c r="O328" s="119">
        <v>0</v>
      </c>
      <c r="P328" s="135">
        <f t="shared" si="118"/>
      </c>
      <c r="Q328" s="125">
        <f t="shared" si="148"/>
      </c>
      <c r="R328" s="125">
        <f t="shared" si="210"/>
      </c>
      <c r="S328" s="125"/>
    </row>
    <row customHeight="true" ht="23.703703703703702" r="329">
      <c r="A329" s="133">
        <v>45953</v>
      </c>
      <c r="B329" s="119" t="s">
        <v>217</v>
      </c>
      <c r="C329" s="119"/>
      <c r="D329" s="134" cm="1">
        <f t="array" ref="D329:D329">_xlfn.XLOOKUP(B329&amp;S329,'气-价格-毛利'!A:A&amp;'气-价格-毛利'!B:B,'气-价格-毛利'!D:D,0)</f>
      </c>
      <c r="E329" s="121">
        <f t="shared" si="56"/>
      </c>
      <c r="F329" s="120" cm="1">
        <f t="array" ref="F329:F329">_xlfn.XLOOKUP(B329&amp;S329,'气-价格-毛利'!A:A&amp;'气-价格-毛利'!B:B,'气-价格-毛利'!C:C,0)</f>
      </c>
      <c r="G329" s="121"/>
      <c r="H329" s="119">
        <v>0</v>
      </c>
      <c r="I329" s="121">
        <f t="shared" si="242"/>
      </c>
      <c r="J329" s="121">
        <f>C329*F329-H329-I329</f>
      </c>
      <c r="K329" s="123">
        <f t="shared" si="334"/>
      </c>
      <c r="L329" s="121">
        <f>J329*7</f>
      </c>
      <c r="M329" s="121">
        <f>E329*7</f>
      </c>
      <c r="N329" s="123">
        <f t="shared" si="86"/>
      </c>
      <c r="O329" s="119">
        <v>0</v>
      </c>
      <c r="P329" s="124">
        <f t="shared" si="118"/>
      </c>
      <c r="Q329" s="125">
        <f t="shared" si="148"/>
      </c>
      <c r="R329" s="125"/>
      <c r="S329" s="137"/>
    </row>
    <row customHeight="true" ht="23.703703703703702" r="330">
      <c r="A330" s="133">
        <v>45953</v>
      </c>
      <c r="B330" s="119" t="s">
        <v>191</v>
      </c>
      <c r="C330" s="119">
        <f>SUM(C319:C329)</f>
      </c>
      <c r="D330" s="129"/>
      <c r="E330" s="121">
        <f>SUM(E319:E329)</f>
      </c>
      <c r="F330" s="122">
        <f>SUM(F319:F328)</f>
      </c>
      <c r="G330" s="121"/>
      <c r="H330" s="121"/>
      <c r="I330" s="121"/>
      <c r="J330" s="121">
        <f>SUM(J319:J329)</f>
      </c>
      <c r="K330" s="123">
        <f t="shared" si="334"/>
      </c>
      <c r="L330" s="121">
        <f>SUM(L319:L329)</f>
      </c>
      <c r="M330" s="121">
        <f>SUM(M319:M329)</f>
      </c>
      <c r="N330" s="123"/>
      <c r="O330" s="135">
        <f>SUM(O319:O328)</f>
      </c>
      <c r="P330" s="135">
        <f t="shared" si="118"/>
      </c>
      <c r="Q330" s="125">
        <f t="shared" si="148"/>
      </c>
      <c r="R330" s="125"/>
      <c r="S330" s="129"/>
    </row>
    <row customHeight="true" ht="23.703703703703702" r="331">
      <c r="B331" s="117" t="s">
        <v>218</v>
      </c>
    </row>
    <row customHeight="true" ht="23.703703703703702" r="332">
      <c r="A332" s="111" t="s">
        <v>219</v>
      </c>
      <c r="B332" s="112" t="s">
        <v>192</v>
      </c>
      <c r="C332" s="130" t="s">
        <v>193</v>
      </c>
      <c r="D332" s="112" t="s">
        <v>194</v>
      </c>
      <c r="E332" s="113" t="s">
        <v>195</v>
      </c>
      <c r="F332" s="114" t="s">
        <v>196</v>
      </c>
      <c r="G332" s="113" t="s">
        <v>197</v>
      </c>
      <c r="H332" s="131" t="s">
        <v>198</v>
      </c>
      <c r="I332" s="113" t="s">
        <v>199</v>
      </c>
      <c r="J332" s="113" t="s">
        <v>196</v>
      </c>
      <c r="K332" s="115" t="s">
        <v>200</v>
      </c>
      <c r="L332" s="113" t="s">
        <v>201</v>
      </c>
      <c r="M332" s="113" t="s">
        <v>202</v>
      </c>
      <c r="N332" s="112" t="s">
        <v>203</v>
      </c>
      <c r="O332" s="132" t="s">
        <v>204</v>
      </c>
      <c r="P332" s="116" t="s">
        <v>205</v>
      </c>
      <c r="Q332" s="115" t="s">
        <v>206</v>
      </c>
      <c r="R332" s="115" t="s">
        <v>207</v>
      </c>
      <c r="S332" s="115" t="s">
        <v>220</v>
      </c>
    </row>
    <row customHeight="true" ht="23.703703703703702" r="333">
      <c r="A333" s="133">
        <v>45954</v>
      </c>
      <c r="B333" s="119" t="s">
        <v>210</v>
      </c>
      <c r="C333" s="119"/>
      <c r="D333" s="134" cm="1">
        <f t="array" ref="D333:D333">_xlfn.XLOOKUP(B333&amp;S333,'气-价格-毛利'!A:A&amp;'气-价格-毛利'!B:B,'气-价格-毛利'!D:D,0)</f>
      </c>
      <c r="E333" s="121">
        <f t="shared" ref="E333:E343" si="57">C333*D333</f>
      </c>
      <c r="F333" s="120" cm="1">
        <f t="array" ref="F333:F333">_xlfn.XLOOKUP(B333&amp;S333,'气-价格-毛利'!A:A&amp;'气-价格-毛利'!B:B,'气-价格-毛利'!C:C,0)</f>
      </c>
      <c r="G333" s="121">
        <f>C333*8</f>
      </c>
      <c r="H333" s="119">
        <v>0</v>
      </c>
      <c r="I333" s="121">
        <f t="shared" ref="I333:I343" si="243">E333*0.025</f>
      </c>
      <c r="J333" s="121">
        <f t="shared" ref="J333:J342" si="274">F333*C333+G333-H333-I333</f>
      </c>
      <c r="K333" s="123">
        <f t="shared" ref="K333:K344" si="335">IFERROR(J333/E333,0)</f>
      </c>
      <c r="L333" s="121">
        <f t="shared" ref="L333:L340" si="397">J333*8</f>
      </c>
      <c r="M333" s="121">
        <f t="shared" ref="M333:M340" si="25">E333*8</f>
      </c>
      <c r="N333" s="123">
        <f t="shared" ref="N333:N343" si="87">IFERROR(H333/E333,0)</f>
      </c>
      <c r="O333" s="119">
        <v>0</v>
      </c>
      <c r="P333" s="135">
        <f t="shared" ref="P333:P344" si="119">C333-O333</f>
      </c>
      <c r="Q333" s="125">
        <f t="shared" ref="Q333:Q344" si="149">IFERROR(O333/C333,0)</f>
      </c>
      <c r="R333" s="125">
        <f t="shared" ref="R333:R342" si="211">IFERROR(H333/(E333*Q333),0)</f>
      </c>
      <c r="S333" s="123" t="s">
        <v>221</v>
      </c>
    </row>
    <row customHeight="true" ht="23.703703703703702" r="334">
      <c r="A334" s="133">
        <v>45954</v>
      </c>
      <c r="B334" s="119" t="s">
        <v>210</v>
      </c>
      <c r="C334" s="119"/>
      <c r="D334" s="134" cm="1">
        <f t="array" ref="D334:D334">_xlfn.XLOOKUP(B334&amp;S334,'气-价格-毛利'!A:A&amp;'气-价格-毛利'!B:B,'气-价格-毛利'!D:D,0)</f>
      </c>
      <c r="E334" s="121">
        <f t="shared" si="57"/>
      </c>
      <c r="F334" s="120" cm="1">
        <f t="array" ref="F334:F334">_xlfn.XLOOKUP(B334&amp;S334,'气-价格-毛利'!A:A&amp;'气-价格-毛利'!B:B,'气-价格-毛利'!C:C,0)</f>
      </c>
      <c r="G334" s="121">
        <f>C334*10</f>
      </c>
      <c r="H334" s="119">
        <v>0</v>
      </c>
      <c r="I334" s="121">
        <f t="shared" si="243"/>
      </c>
      <c r="J334" s="121">
        <f t="shared" si="274"/>
      </c>
      <c r="K334" s="123">
        <f t="shared" si="335"/>
      </c>
      <c r="L334" s="121">
        <f t="shared" si="397"/>
      </c>
      <c r="M334" s="121">
        <f t="shared" si="25"/>
      </c>
      <c r="N334" s="123">
        <f t="shared" si="87"/>
      </c>
      <c r="O334" s="119">
        <v>0</v>
      </c>
      <c r="P334" s="135">
        <f t="shared" si="119"/>
      </c>
      <c r="Q334" s="125">
        <f t="shared" si="149"/>
      </c>
      <c r="R334" s="125">
        <f t="shared" si="211"/>
      </c>
      <c r="S334" s="123" t="s">
        <v>223</v>
      </c>
    </row>
    <row customHeight="true" ht="23.703703703703702" r="335">
      <c r="A335" s="133">
        <v>45954</v>
      </c>
      <c r="B335" s="119" t="s">
        <v>211</v>
      </c>
      <c r="C335" s="119"/>
      <c r="D335" s="134" cm="1">
        <f t="array" ref="D335:D335">_xlfn.XLOOKUP(B335&amp;S335,'气-价格-毛利'!A:A&amp;'气-价格-毛利'!B:B,'气-价格-毛利'!D:D,0)</f>
      </c>
      <c r="E335" s="121">
        <f t="shared" si="57"/>
      </c>
      <c r="F335" s="120" cm="1">
        <f t="array" ref="F335:F335">_xlfn.XLOOKUP(B335&amp;S335,'气-价格-毛利'!A:A&amp;'气-价格-毛利'!B:B,'气-价格-毛利'!C:C,0)</f>
      </c>
      <c r="G335" s="121">
        <f>C335*8</f>
      </c>
      <c r="H335" s="119">
        <v>0</v>
      </c>
      <c r="I335" s="121">
        <f t="shared" si="243"/>
      </c>
      <c r="J335" s="121">
        <f t="shared" si="274"/>
      </c>
      <c r="K335" s="123">
        <f t="shared" si="335"/>
      </c>
      <c r="L335" s="121">
        <f t="shared" si="397"/>
      </c>
      <c r="M335" s="121">
        <f t="shared" si="25"/>
      </c>
      <c r="N335" s="123">
        <f t="shared" si="87"/>
      </c>
      <c r="O335" s="119">
        <v>0</v>
      </c>
      <c r="P335" s="135">
        <f t="shared" si="119"/>
      </c>
      <c r="Q335" s="125">
        <f t="shared" si="149"/>
      </c>
      <c r="R335" s="125">
        <f t="shared" si="211"/>
      </c>
      <c r="S335" s="123" t="s">
        <v>224</v>
      </c>
    </row>
    <row customHeight="true" ht="23.703703703703702" r="336">
      <c r="A336" s="133">
        <v>45954</v>
      </c>
      <c r="B336" s="119" t="s">
        <v>211</v>
      </c>
      <c r="C336" s="119"/>
      <c r="D336" s="134" cm="1">
        <f t="array" ref="D336:D336">_xlfn.XLOOKUP(B336&amp;S336,'气-价格-毛利'!A:A&amp;'气-价格-毛利'!B:B,'气-价格-毛利'!D:D,0)</f>
      </c>
      <c r="E336" s="121">
        <f t="shared" si="57"/>
      </c>
      <c r="F336" s="120" cm="1">
        <f t="array" ref="F336:F336">_xlfn.XLOOKUP(B336&amp;S336,'气-价格-毛利'!A:A&amp;'气-价格-毛利'!B:B,'气-价格-毛利'!C:C,0)</f>
      </c>
      <c r="G336" s="121">
        <f>C336*10</f>
      </c>
      <c r="H336" s="119">
        <v>0</v>
      </c>
      <c r="I336" s="121">
        <f t="shared" si="243"/>
      </c>
      <c r="J336" s="121">
        <f t="shared" si="274"/>
      </c>
      <c r="K336" s="123">
        <f t="shared" si="335"/>
      </c>
      <c r="L336" s="121">
        <f t="shared" si="397"/>
      </c>
      <c r="M336" s="121">
        <f t="shared" si="25"/>
      </c>
      <c r="N336" s="123">
        <f t="shared" si="87"/>
      </c>
      <c r="O336" s="119">
        <v>0</v>
      </c>
      <c r="P336" s="135">
        <f t="shared" si="119"/>
      </c>
      <c r="Q336" s="125">
        <f t="shared" si="149"/>
      </c>
      <c r="R336" s="125">
        <f t="shared" si="211"/>
      </c>
      <c r="S336" s="123" t="s">
        <v>223</v>
      </c>
    </row>
    <row customHeight="true" ht="23.703703703703702" r="337">
      <c r="A337" s="133">
        <v>45954</v>
      </c>
      <c r="B337" s="119" t="s">
        <v>213</v>
      </c>
      <c r="C337" s="119">
        <v>1</v>
      </c>
      <c r="D337" s="134" cm="1">
        <f t="array" ref="D337:D337">_xlfn.XLOOKUP(B337&amp;S337,'气-价格-毛利'!A:A&amp;'气-价格-毛利'!B:B,'气-价格-毛利'!D:D,0)</f>
      </c>
      <c r="E337" s="121">
        <f t="shared" si="57"/>
      </c>
      <c r="F337" s="120" cm="1">
        <f t="array" ref="F337:F337">_xlfn.XLOOKUP(B337&amp;S337,'气-价格-毛利'!A:A&amp;'气-价格-毛利'!B:B,'气-价格-毛利'!C:C,0)</f>
      </c>
      <c r="G337" s="121">
        <f>C337*8</f>
      </c>
      <c r="H337" s="119">
        <v>1.07</v>
      </c>
      <c r="I337" s="121">
        <f t="shared" si="243"/>
      </c>
      <c r="J337" s="121">
        <f t="shared" si="274"/>
      </c>
      <c r="K337" s="123">
        <f t="shared" si="335"/>
      </c>
      <c r="L337" s="121">
        <f t="shared" si="397"/>
      </c>
      <c r="M337" s="121">
        <f t="shared" si="25"/>
      </c>
      <c r="N337" s="123">
        <f t="shared" si="87"/>
      </c>
      <c r="O337" s="119">
        <v>0</v>
      </c>
      <c r="P337" s="135">
        <f t="shared" si="119"/>
      </c>
      <c r="Q337" s="125">
        <f t="shared" si="149"/>
      </c>
      <c r="R337" s="125">
        <f t="shared" si="211"/>
      </c>
      <c r="S337" s="123" t="s">
        <v>224</v>
      </c>
    </row>
    <row customHeight="true" ht="23.703703703703702" r="338">
      <c r="A338" s="133">
        <v>45954</v>
      </c>
      <c r="B338" s="119" t="s">
        <v>213</v>
      </c>
      <c r="C338" s="119">
        <v>2</v>
      </c>
      <c r="D338" s="134" cm="1">
        <f t="array" ref="D338:D338">_xlfn.XLOOKUP(B338&amp;S338,'气-价格-毛利'!A:A&amp;'气-价格-毛利'!B:B,'气-价格-毛利'!D:D,0)</f>
      </c>
      <c r="E338" s="121">
        <f t="shared" si="57"/>
      </c>
      <c r="F338" s="120" cm="1">
        <f t="array" ref="F338:F338">_xlfn.XLOOKUP(B338&amp;S338,'气-价格-毛利'!A:A&amp;'气-价格-毛利'!B:B,'气-价格-毛利'!C:C,0)</f>
      </c>
      <c r="G338" s="121">
        <f>C338*10</f>
      </c>
      <c r="H338" s="119">
        <v>0</v>
      </c>
      <c r="I338" s="121">
        <f t="shared" si="243"/>
      </c>
      <c r="J338" s="121">
        <f t="shared" si="274"/>
      </c>
      <c r="K338" s="123">
        <f t="shared" si="335"/>
      </c>
      <c r="L338" s="121">
        <f t="shared" si="397"/>
      </c>
      <c r="M338" s="121">
        <f t="shared" si="25"/>
      </c>
      <c r="N338" s="123">
        <f t="shared" si="87"/>
      </c>
      <c r="O338" s="119">
        <v>0</v>
      </c>
      <c r="P338" s="135">
        <f t="shared" si="119"/>
      </c>
      <c r="Q338" s="125">
        <f t="shared" si="149"/>
      </c>
      <c r="R338" s="125">
        <f t="shared" si="211"/>
      </c>
      <c r="S338" s="123" t="s">
        <v>223</v>
      </c>
    </row>
    <row customHeight="true" ht="23.703703703703702" r="339">
      <c r="A339" s="133">
        <v>45954</v>
      </c>
      <c r="B339" s="119" t="s">
        <v>214</v>
      </c>
      <c r="C339" s="119"/>
      <c r="D339" s="134" cm="1">
        <f t="array" ref="D339:D339">_xlfn.XLOOKUP(B339&amp;S339,'气-价格-毛利'!A:A&amp;'气-价格-毛利'!B:B,'气-价格-毛利'!D:D,0)</f>
      </c>
      <c r="E339" s="121">
        <f t="shared" si="57"/>
      </c>
      <c r="F339" s="120" cm="1">
        <f t="array" ref="F339:F339">_xlfn.XLOOKUP(B339&amp;S339,'气-价格-毛利'!A:A&amp;'气-价格-毛利'!B:B,'气-价格-毛利'!C:C,0)</f>
      </c>
      <c r="G339" s="121">
        <f>C339*8</f>
      </c>
      <c r="H339" s="119">
        <v>0</v>
      </c>
      <c r="I339" s="121">
        <f t="shared" si="243"/>
      </c>
      <c r="J339" s="121">
        <f t="shared" si="274"/>
      </c>
      <c r="K339" s="123">
        <f t="shared" si="335"/>
      </c>
      <c r="L339" s="121">
        <f t="shared" si="397"/>
      </c>
      <c r="M339" s="121">
        <f t="shared" si="25"/>
      </c>
      <c r="N339" s="123">
        <f t="shared" si="87"/>
      </c>
      <c r="O339" s="119">
        <v>0</v>
      </c>
      <c r="P339" s="135">
        <f t="shared" si="119"/>
      </c>
      <c r="Q339" s="125">
        <f t="shared" si="149"/>
      </c>
      <c r="R339" s="125">
        <f t="shared" si="211"/>
      </c>
      <c r="S339" s="123" t="s">
        <v>224</v>
      </c>
    </row>
    <row customHeight="true" ht="23.703703703703702" r="340">
      <c r="A340" s="133">
        <v>45954</v>
      </c>
      <c r="B340" s="119" t="s">
        <v>214</v>
      </c>
      <c r="C340" s="119"/>
      <c r="D340" s="134" cm="1">
        <f t="array" ref="D340:D340">_xlfn.XLOOKUP(B340&amp;S340,'气-价格-毛利'!A:A&amp;'气-价格-毛利'!B:B,'气-价格-毛利'!D:D,0)</f>
      </c>
      <c r="E340" s="121">
        <f t="shared" si="57"/>
      </c>
      <c r="F340" s="120" cm="1">
        <f t="array" ref="F340:F340">_xlfn.XLOOKUP(B340&amp;S340,'气-价格-毛利'!A:A&amp;'气-价格-毛利'!B:B,'气-价格-毛利'!C:C,0)</f>
      </c>
      <c r="G340" s="121">
        <f>C340*10</f>
      </c>
      <c r="H340" s="119">
        <v>0</v>
      </c>
      <c r="I340" s="121">
        <f t="shared" si="243"/>
      </c>
      <c r="J340" s="121">
        <f t="shared" si="274"/>
      </c>
      <c r="K340" s="123">
        <f t="shared" si="335"/>
      </c>
      <c r="L340" s="121">
        <f t="shared" si="397"/>
      </c>
      <c r="M340" s="121">
        <f t="shared" si="25"/>
      </c>
      <c r="N340" s="123">
        <f t="shared" si="87"/>
      </c>
      <c r="O340" s="119">
        <v>0</v>
      </c>
      <c r="P340" s="135">
        <f t="shared" si="119"/>
      </c>
      <c r="Q340" s="125">
        <f t="shared" si="149"/>
      </c>
      <c r="R340" s="125">
        <f t="shared" si="211"/>
      </c>
      <c r="S340" s="123" t="s">
        <v>223</v>
      </c>
    </row>
    <row customHeight="true" ht="23.703703703703702" r="341">
      <c r="A341" s="133">
        <v>45954</v>
      </c>
      <c r="B341" s="119" t="s">
        <v>216</v>
      </c>
      <c r="C341" s="119"/>
      <c r="D341" s="134" cm="1">
        <f t="array" ref="D341:D341">_xlfn.XLOOKUP(B341&amp;S341,'气-价格-毛利'!A:A&amp;'气-价格-毛利'!B:B,'气-价格-毛利'!D:D,0)</f>
      </c>
      <c r="E341" s="121">
        <f t="shared" si="57"/>
      </c>
      <c r="F341" s="120" cm="1">
        <f t="array" ref="F341:F341">_xlfn.XLOOKUP(B341&amp;S341,'气-价格-毛利'!A:A&amp;'气-价格-毛利'!B:B,'气-价格-毛利'!C:C,0)</f>
      </c>
      <c r="G341" s="121">
        <f t="shared" ref="G341:G342" si="181">C341*8</f>
      </c>
      <c r="H341" s="119">
        <v>0</v>
      </c>
      <c r="I341" s="121">
        <f t="shared" si="243"/>
      </c>
      <c r="J341" s="121">
        <f t="shared" si="274"/>
      </c>
      <c r="K341" s="123">
        <f t="shared" si="335"/>
      </c>
      <c r="L341" s="121">
        <f t="shared" ref="L341:L342" si="304">J341*9</f>
      </c>
      <c r="M341" s="121">
        <f t="shared" ref="M341:M342" si="365">E341*9</f>
      </c>
      <c r="N341" s="123">
        <f t="shared" si="87"/>
      </c>
      <c r="O341" s="119">
        <v>0</v>
      </c>
      <c r="P341" s="135">
        <f t="shared" si="119"/>
      </c>
      <c r="Q341" s="125">
        <f t="shared" si="149"/>
      </c>
      <c r="R341" s="125">
        <f t="shared" si="211"/>
      </c>
      <c r="S341" s="125"/>
    </row>
    <row customHeight="true" ht="23.703703703703702" r="342">
      <c r="A342" s="133">
        <v>45954</v>
      </c>
      <c r="B342" s="119" t="s">
        <v>216</v>
      </c>
      <c r="C342" s="119"/>
      <c r="D342" s="134" cm="1">
        <f t="array" ref="D342:D342">_xlfn.XLOOKUP(B342&amp;S342,'气-价格-毛利'!A:A&amp;'气-价格-毛利'!B:B,'气-价格-毛利'!D:D,0)</f>
      </c>
      <c r="E342" s="121">
        <f t="shared" si="57"/>
      </c>
      <c r="F342" s="120" cm="1">
        <f t="array" ref="F342:F342">_xlfn.XLOOKUP(B342&amp;S342,'气-价格-毛利'!A:A&amp;'气-价格-毛利'!B:B,'气-价格-毛利'!C:C,0)</f>
      </c>
      <c r="G342" s="121">
        <f t="shared" si="181"/>
      </c>
      <c r="H342" s="119">
        <v>0</v>
      </c>
      <c r="I342" s="121">
        <f t="shared" si="243"/>
      </c>
      <c r="J342" s="121">
        <f t="shared" si="274"/>
      </c>
      <c r="K342" s="123">
        <f t="shared" si="335"/>
      </c>
      <c r="L342" s="121">
        <f t="shared" si="304"/>
      </c>
      <c r="M342" s="121">
        <f t="shared" si="365"/>
      </c>
      <c r="N342" s="123">
        <f t="shared" si="87"/>
      </c>
      <c r="O342" s="119">
        <v>0</v>
      </c>
      <c r="P342" s="135">
        <f t="shared" si="119"/>
      </c>
      <c r="Q342" s="125">
        <f t="shared" si="149"/>
      </c>
      <c r="R342" s="125">
        <f t="shared" si="211"/>
      </c>
      <c r="S342" s="125"/>
    </row>
    <row customHeight="true" ht="23.703703703703702" r="343">
      <c r="A343" s="133">
        <v>45954</v>
      </c>
      <c r="B343" s="119" t="s">
        <v>217</v>
      </c>
      <c r="C343" s="119"/>
      <c r="D343" s="134" cm="1">
        <f t="array" ref="D343:D343">_xlfn.XLOOKUP(B343&amp;S343,'气-价格-毛利'!A:A&amp;'气-价格-毛利'!B:B,'气-价格-毛利'!D:D,0)</f>
      </c>
      <c r="E343" s="121">
        <f t="shared" si="57"/>
      </c>
      <c r="F343" s="120" cm="1">
        <f t="array" ref="F343:F343">_xlfn.XLOOKUP(B343&amp;S343,'气-价格-毛利'!A:A&amp;'气-价格-毛利'!B:B,'气-价格-毛利'!C:C,0)</f>
      </c>
      <c r="G343" s="121"/>
      <c r="H343" s="119">
        <v>0</v>
      </c>
      <c r="I343" s="121">
        <f t="shared" si="243"/>
      </c>
      <c r="J343" s="121">
        <f>C343*F343-H343-I343</f>
      </c>
      <c r="K343" s="123">
        <f t="shared" si="335"/>
      </c>
      <c r="L343" s="121">
        <f>J343*7</f>
      </c>
      <c r="M343" s="121">
        <f>E343*7</f>
      </c>
      <c r="N343" s="123">
        <f t="shared" si="87"/>
      </c>
      <c r="O343" s="119">
        <v>0</v>
      </c>
      <c r="P343" s="124">
        <f t="shared" si="119"/>
      </c>
      <c r="Q343" s="125">
        <f t="shared" si="149"/>
      </c>
      <c r="R343" s="125"/>
      <c r="S343" s="137"/>
    </row>
    <row customHeight="true" ht="23.703703703703702" r="344">
      <c r="A344" s="133">
        <v>45954</v>
      </c>
      <c r="B344" s="119" t="s">
        <v>191</v>
      </c>
      <c r="C344" s="119">
        <f>SUM(C333:C343)</f>
      </c>
      <c r="D344" s="129"/>
      <c r="E344" s="121">
        <f>SUM(E333:E343)</f>
      </c>
      <c r="F344" s="122">
        <f>SUM(F333:F342)</f>
      </c>
      <c r="G344" s="121"/>
      <c r="H344" s="121"/>
      <c r="I344" s="121"/>
      <c r="J344" s="121">
        <f>SUM(J333:J343)</f>
      </c>
      <c r="K344" s="123">
        <f t="shared" si="335"/>
      </c>
      <c r="L344" s="121">
        <f>SUM(L333:L343)</f>
      </c>
      <c r="M344" s="121">
        <f>SUM(M333:M343)</f>
      </c>
      <c r="N344" s="123"/>
      <c r="O344" s="135">
        <f>SUM(O333:O342)</f>
      </c>
      <c r="P344" s="135">
        <f t="shared" si="119"/>
      </c>
      <c r="Q344" s="125">
        <f t="shared" si="149"/>
      </c>
      <c r="R344" s="125"/>
      <c r="S344" s="129"/>
    </row>
    <row customHeight="true" ht="23.703703703703702" r="345">
      <c r="B345" s="117" t="s">
        <v>218</v>
      </c>
    </row>
    <row customHeight="true" ht="23.703703703703702" r="346">
      <c r="A346" s="111" t="s">
        <v>219</v>
      </c>
      <c r="B346" s="112" t="s">
        <v>192</v>
      </c>
      <c r="C346" s="130" t="s">
        <v>193</v>
      </c>
      <c r="D346" s="112" t="s">
        <v>194</v>
      </c>
      <c r="E346" s="113" t="s">
        <v>195</v>
      </c>
      <c r="F346" s="114" t="s">
        <v>196</v>
      </c>
      <c r="G346" s="113" t="s">
        <v>197</v>
      </c>
      <c r="H346" s="131" t="s">
        <v>198</v>
      </c>
      <c r="I346" s="113" t="s">
        <v>199</v>
      </c>
      <c r="J346" s="113" t="s">
        <v>196</v>
      </c>
      <c r="K346" s="115" t="s">
        <v>200</v>
      </c>
      <c r="L346" s="113" t="s">
        <v>201</v>
      </c>
      <c r="M346" s="113" t="s">
        <v>202</v>
      </c>
      <c r="N346" s="112" t="s">
        <v>203</v>
      </c>
      <c r="O346" s="132" t="s">
        <v>204</v>
      </c>
      <c r="P346" s="116" t="s">
        <v>205</v>
      </c>
      <c r="Q346" s="115" t="s">
        <v>206</v>
      </c>
      <c r="R346" s="115" t="s">
        <v>207</v>
      </c>
      <c r="S346" s="115" t="s">
        <v>220</v>
      </c>
    </row>
    <row customHeight="true" ht="23.703703703703702" r="347">
      <c r="A347" s="133">
        <v>45955</v>
      </c>
      <c r="B347" s="119" t="s">
        <v>210</v>
      </c>
      <c r="C347" s="119"/>
      <c r="D347" s="134" cm="1">
        <f t="array" ref="D347:D347">_xlfn.XLOOKUP(B347&amp;S347,'气-价格-毛利'!A:A&amp;'气-价格-毛利'!B:B,'气-价格-毛利'!D:D,0)</f>
      </c>
      <c r="E347" s="121">
        <f t="shared" ref="E347:E357" si="58">C347*D347</f>
      </c>
      <c r="F347" s="120" cm="1">
        <f t="array" ref="F347:F347">_xlfn.XLOOKUP(B347&amp;S347,'气-价格-毛利'!A:A&amp;'气-价格-毛利'!B:B,'气-价格-毛利'!C:C,0)</f>
      </c>
      <c r="G347" s="121">
        <f>C347*8</f>
      </c>
      <c r="H347" s="119">
        <v>0</v>
      </c>
      <c r="I347" s="121">
        <f t="shared" ref="I347:I357" si="244">E347*0.025</f>
      </c>
      <c r="J347" s="121">
        <f t="shared" ref="J347:J356" si="275">F347*C347+G347-H347-I347</f>
      </c>
      <c r="K347" s="123">
        <f t="shared" ref="K347:K358" si="336">IFERROR(J347/E347,0)</f>
      </c>
      <c r="L347" s="121">
        <f t="shared" ref="L347:L354" si="398">J347*8</f>
      </c>
      <c r="M347" s="121">
        <f t="shared" ref="M347:M354" si="26">E347*8</f>
      </c>
      <c r="N347" s="123">
        <f t="shared" ref="N347:N357" si="88">IFERROR(H347/E347,0)</f>
      </c>
      <c r="O347" s="119">
        <v>0</v>
      </c>
      <c r="P347" s="135">
        <f t="shared" ref="P347:P358" si="120">C347-O347</f>
      </c>
      <c r="Q347" s="125">
        <f t="shared" ref="Q347:Q358" si="150">IFERROR(O347/C347,0)</f>
      </c>
      <c r="R347" s="125">
        <f t="shared" ref="R347:R356" si="212">IFERROR(H347/(E347*Q347),0)</f>
      </c>
      <c r="S347" s="123" t="s">
        <v>221</v>
      </c>
    </row>
    <row customHeight="true" ht="23.703703703703702" r="348">
      <c r="A348" s="133">
        <v>45955</v>
      </c>
      <c r="B348" s="119" t="s">
        <v>210</v>
      </c>
      <c r="C348" s="119"/>
      <c r="D348" s="134" cm="1">
        <f t="array" ref="D348:D348">_xlfn.XLOOKUP(B348&amp;S348,'气-价格-毛利'!A:A&amp;'气-价格-毛利'!B:B,'气-价格-毛利'!D:D,0)</f>
      </c>
      <c r="E348" s="121">
        <f t="shared" si="58"/>
      </c>
      <c r="F348" s="120" cm="1">
        <f t="array" ref="F348:F348">_xlfn.XLOOKUP(B348&amp;S348,'气-价格-毛利'!A:A&amp;'气-价格-毛利'!B:B,'气-价格-毛利'!C:C,0)</f>
      </c>
      <c r="G348" s="121">
        <f>C348*10</f>
      </c>
      <c r="H348" s="119">
        <v>0</v>
      </c>
      <c r="I348" s="121">
        <f t="shared" si="244"/>
      </c>
      <c r="J348" s="121">
        <f t="shared" si="275"/>
      </c>
      <c r="K348" s="123">
        <f t="shared" si="336"/>
      </c>
      <c r="L348" s="121">
        <f t="shared" si="398"/>
      </c>
      <c r="M348" s="121">
        <f t="shared" si="26"/>
      </c>
      <c r="N348" s="123">
        <f t="shared" si="88"/>
      </c>
      <c r="O348" s="119">
        <v>0</v>
      </c>
      <c r="P348" s="135">
        <f t="shared" si="120"/>
      </c>
      <c r="Q348" s="125">
        <f t="shared" si="150"/>
      </c>
      <c r="R348" s="125">
        <f t="shared" si="212"/>
      </c>
      <c r="S348" s="123" t="s">
        <v>223</v>
      </c>
    </row>
    <row customHeight="true" ht="23.703703703703702" r="349">
      <c r="A349" s="133">
        <v>45955</v>
      </c>
      <c r="B349" s="119" t="s">
        <v>211</v>
      </c>
      <c r="C349" s="119"/>
      <c r="D349" s="134" cm="1">
        <f t="array" ref="D349:D349">_xlfn.XLOOKUP(B349&amp;S349,'气-价格-毛利'!A:A&amp;'气-价格-毛利'!B:B,'气-价格-毛利'!D:D,0)</f>
      </c>
      <c r="E349" s="121">
        <f t="shared" si="58"/>
      </c>
      <c r="F349" s="120" cm="1">
        <f t="array" ref="F349:F349">_xlfn.XLOOKUP(B349&amp;S349,'气-价格-毛利'!A:A&amp;'气-价格-毛利'!B:B,'气-价格-毛利'!C:C,0)</f>
      </c>
      <c r="G349" s="121">
        <f>C349*8</f>
      </c>
      <c r="H349" s="119">
        <v>0</v>
      </c>
      <c r="I349" s="121">
        <f t="shared" si="244"/>
      </c>
      <c r="J349" s="121">
        <f t="shared" si="275"/>
      </c>
      <c r="K349" s="123">
        <f t="shared" si="336"/>
      </c>
      <c r="L349" s="121">
        <f t="shared" si="398"/>
      </c>
      <c r="M349" s="121">
        <f t="shared" si="26"/>
      </c>
      <c r="N349" s="123">
        <f t="shared" si="88"/>
      </c>
      <c r="O349" s="119">
        <v>0</v>
      </c>
      <c r="P349" s="135">
        <f t="shared" si="120"/>
      </c>
      <c r="Q349" s="125">
        <f t="shared" si="150"/>
      </c>
      <c r="R349" s="125">
        <f t="shared" si="212"/>
      </c>
      <c r="S349" s="123" t="s">
        <v>224</v>
      </c>
    </row>
    <row customHeight="true" ht="23.703703703703702" r="350">
      <c r="A350" s="133">
        <v>45955</v>
      </c>
      <c r="B350" s="119" t="s">
        <v>211</v>
      </c>
      <c r="C350" s="119"/>
      <c r="D350" s="134" cm="1">
        <f t="array" ref="D350:D350">_xlfn.XLOOKUP(B350&amp;S350,'气-价格-毛利'!A:A&amp;'气-价格-毛利'!B:B,'气-价格-毛利'!D:D,0)</f>
      </c>
      <c r="E350" s="121">
        <f t="shared" si="58"/>
      </c>
      <c r="F350" s="120" cm="1">
        <f t="array" ref="F350:F350">_xlfn.XLOOKUP(B350&amp;S350,'气-价格-毛利'!A:A&amp;'气-价格-毛利'!B:B,'气-价格-毛利'!C:C,0)</f>
      </c>
      <c r="G350" s="121">
        <f>C350*10</f>
      </c>
      <c r="H350" s="119">
        <v>0</v>
      </c>
      <c r="I350" s="121">
        <f t="shared" si="244"/>
      </c>
      <c r="J350" s="121">
        <f t="shared" si="275"/>
      </c>
      <c r="K350" s="123">
        <f t="shared" si="336"/>
      </c>
      <c r="L350" s="121">
        <f t="shared" si="398"/>
      </c>
      <c r="M350" s="121">
        <f t="shared" si="26"/>
      </c>
      <c r="N350" s="123">
        <f t="shared" si="88"/>
      </c>
      <c r="O350" s="119">
        <v>0</v>
      </c>
      <c r="P350" s="135">
        <f t="shared" si="120"/>
      </c>
      <c r="Q350" s="125">
        <f t="shared" si="150"/>
      </c>
      <c r="R350" s="125">
        <f t="shared" si="212"/>
      </c>
      <c r="S350" s="123" t="s">
        <v>223</v>
      </c>
    </row>
    <row customHeight="true" ht="23.703703703703702" r="351">
      <c r="A351" s="133">
        <v>45955</v>
      </c>
      <c r="B351" s="119" t="s">
        <v>213</v>
      </c>
      <c r="C351" s="119">
        <v>1</v>
      </c>
      <c r="D351" s="134" cm="1">
        <f t="array" ref="D351:D351">_xlfn.XLOOKUP(B351&amp;S351,'气-价格-毛利'!A:A&amp;'气-价格-毛利'!B:B,'气-价格-毛利'!D:D,0)</f>
      </c>
      <c r="E351" s="121">
        <f t="shared" si="58"/>
      </c>
      <c r="F351" s="120" cm="1">
        <f t="array" ref="F351:F351">_xlfn.XLOOKUP(B351&amp;S351,'气-价格-毛利'!A:A&amp;'气-价格-毛利'!B:B,'气-价格-毛利'!C:C,0)</f>
      </c>
      <c r="G351" s="121">
        <f>C351*8</f>
      </c>
      <c r="H351" s="119">
        <v>3.28</v>
      </c>
      <c r="I351" s="121">
        <f t="shared" si="244"/>
      </c>
      <c r="J351" s="121">
        <f t="shared" si="275"/>
      </c>
      <c r="K351" s="123">
        <f t="shared" si="336"/>
      </c>
      <c r="L351" s="121">
        <f t="shared" si="398"/>
      </c>
      <c r="M351" s="121">
        <f t="shared" si="26"/>
      </c>
      <c r="N351" s="123">
        <f t="shared" si="88"/>
      </c>
      <c r="O351" s="119">
        <v>0</v>
      </c>
      <c r="P351" s="135">
        <f t="shared" si="120"/>
      </c>
      <c r="Q351" s="125">
        <f t="shared" si="150"/>
      </c>
      <c r="R351" s="125">
        <f t="shared" si="212"/>
      </c>
      <c r="S351" s="123" t="s">
        <v>224</v>
      </c>
    </row>
    <row customHeight="true" ht="23.703703703703702" r="352">
      <c r="A352" s="133">
        <v>45955</v>
      </c>
      <c r="B352" s="119" t="s">
        <v>213</v>
      </c>
      <c r="C352" s="119"/>
      <c r="D352" s="134" cm="1">
        <f t="array" ref="D352:D352">_xlfn.XLOOKUP(B352&amp;S352,'气-价格-毛利'!A:A&amp;'气-价格-毛利'!B:B,'气-价格-毛利'!D:D,0)</f>
      </c>
      <c r="E352" s="121">
        <f t="shared" si="58"/>
      </c>
      <c r="F352" s="120" cm="1">
        <f t="array" ref="F352:F352">_xlfn.XLOOKUP(B352&amp;S352,'气-价格-毛利'!A:A&amp;'气-价格-毛利'!B:B,'气-价格-毛利'!C:C,0)</f>
      </c>
      <c r="G352" s="121">
        <f>C352*10</f>
      </c>
      <c r="H352" s="119">
        <v>0</v>
      </c>
      <c r="I352" s="121">
        <f t="shared" si="244"/>
      </c>
      <c r="J352" s="121">
        <f t="shared" si="275"/>
      </c>
      <c r="K352" s="123">
        <f t="shared" si="336"/>
      </c>
      <c r="L352" s="121">
        <f t="shared" si="398"/>
      </c>
      <c r="M352" s="121">
        <f t="shared" si="26"/>
      </c>
      <c r="N352" s="123">
        <f t="shared" si="88"/>
      </c>
      <c r="O352" s="119">
        <v>0</v>
      </c>
      <c r="P352" s="135">
        <f t="shared" si="120"/>
      </c>
      <c r="Q352" s="125">
        <f t="shared" si="150"/>
      </c>
      <c r="R352" s="125">
        <f t="shared" si="212"/>
      </c>
      <c r="S352" s="123" t="s">
        <v>223</v>
      </c>
    </row>
    <row customHeight="true" ht="23.703703703703702" r="353">
      <c r="A353" s="133">
        <v>45955</v>
      </c>
      <c r="B353" s="119" t="s">
        <v>214</v>
      </c>
      <c r="C353" s="119"/>
      <c r="D353" s="134" cm="1">
        <f t="array" ref="D353:D353">_xlfn.XLOOKUP(B353&amp;S353,'气-价格-毛利'!A:A&amp;'气-价格-毛利'!B:B,'气-价格-毛利'!D:D,0)</f>
      </c>
      <c r="E353" s="121">
        <f t="shared" si="58"/>
      </c>
      <c r="F353" s="120" cm="1">
        <f t="array" ref="F353:F353">_xlfn.XLOOKUP(B353&amp;S353,'气-价格-毛利'!A:A&amp;'气-价格-毛利'!B:B,'气-价格-毛利'!C:C,0)</f>
      </c>
      <c r="G353" s="121">
        <f>C353*8</f>
      </c>
      <c r="H353" s="119">
        <v>0</v>
      </c>
      <c r="I353" s="121">
        <f t="shared" si="244"/>
      </c>
      <c r="J353" s="121">
        <f t="shared" si="275"/>
      </c>
      <c r="K353" s="123">
        <f t="shared" si="336"/>
      </c>
      <c r="L353" s="121">
        <f t="shared" si="398"/>
      </c>
      <c r="M353" s="121">
        <f t="shared" si="26"/>
      </c>
      <c r="N353" s="123">
        <f t="shared" si="88"/>
      </c>
      <c r="O353" s="119">
        <v>0</v>
      </c>
      <c r="P353" s="135">
        <f t="shared" si="120"/>
      </c>
      <c r="Q353" s="125">
        <f t="shared" si="150"/>
      </c>
      <c r="R353" s="125">
        <f t="shared" si="212"/>
      </c>
      <c r="S353" s="123" t="s">
        <v>224</v>
      </c>
    </row>
    <row customHeight="true" ht="23.703703703703702" r="354">
      <c r="A354" s="133">
        <v>45955</v>
      </c>
      <c r="B354" s="119" t="s">
        <v>214</v>
      </c>
      <c r="C354" s="119"/>
      <c r="D354" s="134" cm="1">
        <f t="array" ref="D354:D354">_xlfn.XLOOKUP(B354&amp;S354,'气-价格-毛利'!A:A&amp;'气-价格-毛利'!B:B,'气-价格-毛利'!D:D,0)</f>
      </c>
      <c r="E354" s="121">
        <f t="shared" si="58"/>
      </c>
      <c r="F354" s="120" cm="1">
        <f t="array" ref="F354:F354">_xlfn.XLOOKUP(B354&amp;S354,'气-价格-毛利'!A:A&amp;'气-价格-毛利'!B:B,'气-价格-毛利'!C:C,0)</f>
      </c>
      <c r="G354" s="121">
        <f>C354*10</f>
      </c>
      <c r="H354" s="119">
        <v>0</v>
      </c>
      <c r="I354" s="121">
        <f t="shared" si="244"/>
      </c>
      <c r="J354" s="121">
        <f t="shared" si="275"/>
      </c>
      <c r="K354" s="123">
        <f t="shared" si="336"/>
      </c>
      <c r="L354" s="121">
        <f t="shared" si="398"/>
      </c>
      <c r="M354" s="121">
        <f t="shared" si="26"/>
      </c>
      <c r="N354" s="123">
        <f t="shared" si="88"/>
      </c>
      <c r="O354" s="119">
        <v>0</v>
      </c>
      <c r="P354" s="135">
        <f t="shared" si="120"/>
      </c>
      <c r="Q354" s="125">
        <f t="shared" si="150"/>
      </c>
      <c r="R354" s="125">
        <f t="shared" si="212"/>
      </c>
      <c r="S354" s="123" t="s">
        <v>223</v>
      </c>
    </row>
    <row customHeight="true" ht="23.703703703703702" r="355">
      <c r="A355" s="133">
        <v>45955</v>
      </c>
      <c r="B355" s="119" t="s">
        <v>216</v>
      </c>
      <c r="C355" s="119"/>
      <c r="D355" s="134" cm="1">
        <f t="array" ref="D355:D355">_xlfn.XLOOKUP(B355&amp;S355,'气-价格-毛利'!A:A&amp;'气-价格-毛利'!B:B,'气-价格-毛利'!D:D,0)</f>
      </c>
      <c r="E355" s="121">
        <f t="shared" si="58"/>
      </c>
      <c r="F355" s="120" cm="1">
        <f t="array" ref="F355:F355">_xlfn.XLOOKUP(B355&amp;S355,'气-价格-毛利'!A:A&amp;'气-价格-毛利'!B:B,'气-价格-毛利'!C:C,0)</f>
      </c>
      <c r="G355" s="121">
        <f t="shared" ref="G355:G356" si="182">C355*8</f>
      </c>
      <c r="H355" s="119">
        <v>0</v>
      </c>
      <c r="I355" s="121">
        <f t="shared" si="244"/>
      </c>
      <c r="J355" s="121">
        <f t="shared" si="275"/>
      </c>
      <c r="K355" s="123">
        <f t="shared" si="336"/>
      </c>
      <c r="L355" s="121">
        <f t="shared" ref="L355:L356" si="305">J355*9</f>
      </c>
      <c r="M355" s="121">
        <f t="shared" ref="M355:M356" si="366">E355*9</f>
      </c>
      <c r="N355" s="123">
        <f t="shared" si="88"/>
      </c>
      <c r="O355" s="119">
        <v>0</v>
      </c>
      <c r="P355" s="135">
        <f t="shared" si="120"/>
      </c>
      <c r="Q355" s="125">
        <f t="shared" si="150"/>
      </c>
      <c r="R355" s="125">
        <f t="shared" si="212"/>
      </c>
      <c r="S355" s="125"/>
    </row>
    <row customHeight="true" ht="23.703703703703702" r="356">
      <c r="A356" s="133">
        <v>45955</v>
      </c>
      <c r="B356" s="119" t="s">
        <v>216</v>
      </c>
      <c r="C356" s="119"/>
      <c r="D356" s="134" cm="1">
        <f t="array" ref="D356:D356">_xlfn.XLOOKUP(B356&amp;S356,'气-价格-毛利'!A:A&amp;'气-价格-毛利'!B:B,'气-价格-毛利'!D:D,0)</f>
      </c>
      <c r="E356" s="121">
        <f t="shared" si="58"/>
      </c>
      <c r="F356" s="120" cm="1">
        <f t="array" ref="F356:F356">_xlfn.XLOOKUP(B356&amp;S356,'气-价格-毛利'!A:A&amp;'气-价格-毛利'!B:B,'气-价格-毛利'!C:C,0)</f>
      </c>
      <c r="G356" s="121">
        <f t="shared" si="182"/>
      </c>
      <c r="H356" s="119">
        <v>0</v>
      </c>
      <c r="I356" s="121">
        <f t="shared" si="244"/>
      </c>
      <c r="J356" s="121">
        <f t="shared" si="275"/>
      </c>
      <c r="K356" s="123">
        <f t="shared" si="336"/>
      </c>
      <c r="L356" s="121">
        <f t="shared" si="305"/>
      </c>
      <c r="M356" s="121">
        <f t="shared" si="366"/>
      </c>
      <c r="N356" s="123">
        <f t="shared" si="88"/>
      </c>
      <c r="O356" s="119">
        <v>0</v>
      </c>
      <c r="P356" s="135">
        <f t="shared" si="120"/>
      </c>
      <c r="Q356" s="125">
        <f t="shared" si="150"/>
      </c>
      <c r="R356" s="125">
        <f t="shared" si="212"/>
      </c>
      <c r="S356" s="125"/>
    </row>
    <row customHeight="true" ht="23.703703703703702" r="357">
      <c r="A357" s="133">
        <v>45955</v>
      </c>
      <c r="B357" s="119" t="s">
        <v>217</v>
      </c>
      <c r="C357" s="119"/>
      <c r="D357" s="134" cm="1">
        <f t="array" ref="D357:D357">_xlfn.XLOOKUP(B357&amp;S357,'气-价格-毛利'!A:A&amp;'气-价格-毛利'!B:B,'气-价格-毛利'!D:D,0)</f>
      </c>
      <c r="E357" s="121">
        <f t="shared" si="58"/>
      </c>
      <c r="F357" s="120" cm="1">
        <f t="array" ref="F357:F357">_xlfn.XLOOKUP(B357&amp;S357,'气-价格-毛利'!A:A&amp;'气-价格-毛利'!B:B,'气-价格-毛利'!C:C,0)</f>
      </c>
      <c r="G357" s="121"/>
      <c r="H357" s="119">
        <v>0</v>
      </c>
      <c r="I357" s="121">
        <f t="shared" si="244"/>
      </c>
      <c r="J357" s="121">
        <f>C357*F357-H357-I357</f>
      </c>
      <c r="K357" s="123">
        <f t="shared" si="336"/>
      </c>
      <c r="L357" s="121">
        <f>J357*7</f>
      </c>
      <c r="M357" s="121">
        <f>E357*7</f>
      </c>
      <c r="N357" s="123">
        <f t="shared" si="88"/>
      </c>
      <c r="O357" s="119">
        <v>0</v>
      </c>
      <c r="P357" s="124">
        <f t="shared" si="120"/>
      </c>
      <c r="Q357" s="125">
        <f t="shared" si="150"/>
      </c>
      <c r="R357" s="125"/>
      <c r="S357" s="137"/>
    </row>
    <row customHeight="true" ht="23.703703703703702" r="358">
      <c r="A358" s="133">
        <v>45955</v>
      </c>
      <c r="B358" s="119" t="s">
        <v>191</v>
      </c>
      <c r="C358" s="119">
        <f>SUM(C347:C357)</f>
      </c>
      <c r="D358" s="129"/>
      <c r="E358" s="121">
        <f>SUM(E347:E357)</f>
      </c>
      <c r="F358" s="122">
        <f>SUM(F347:F356)</f>
      </c>
      <c r="G358" s="121"/>
      <c r="H358" s="121"/>
      <c r="I358" s="121"/>
      <c r="J358" s="121">
        <f>SUM(J347:J357)</f>
      </c>
      <c r="K358" s="123">
        <f t="shared" si="336"/>
      </c>
      <c r="L358" s="121">
        <f>SUM(L347:L357)</f>
      </c>
      <c r="M358" s="121">
        <f>SUM(M347:M357)</f>
      </c>
      <c r="N358" s="123"/>
      <c r="O358" s="135">
        <f>SUM(O347:O356)</f>
      </c>
      <c r="P358" s="135">
        <f t="shared" si="120"/>
      </c>
      <c r="Q358" s="125">
        <f t="shared" si="150"/>
      </c>
      <c r="R358" s="125"/>
      <c r="S358" s="129"/>
    </row>
    <row customHeight="true" ht="23.703703703703702" r="359">
      <c r="B359" s="117" t="s">
        <v>218</v>
      </c>
    </row>
    <row customHeight="true" ht="23.703703703703702" r="360">
      <c r="A360" s="111" t="s">
        <v>219</v>
      </c>
      <c r="B360" s="112" t="s">
        <v>192</v>
      </c>
      <c r="C360" s="130" t="s">
        <v>193</v>
      </c>
      <c r="D360" s="112" t="s">
        <v>194</v>
      </c>
      <c r="E360" s="113" t="s">
        <v>195</v>
      </c>
      <c r="F360" s="114" t="s">
        <v>196</v>
      </c>
      <c r="G360" s="113" t="s">
        <v>197</v>
      </c>
      <c r="H360" s="131" t="s">
        <v>198</v>
      </c>
      <c r="I360" s="113" t="s">
        <v>199</v>
      </c>
      <c r="J360" s="113" t="s">
        <v>196</v>
      </c>
      <c r="K360" s="115" t="s">
        <v>200</v>
      </c>
      <c r="L360" s="113" t="s">
        <v>201</v>
      </c>
      <c r="M360" s="113" t="s">
        <v>202</v>
      </c>
      <c r="N360" s="112" t="s">
        <v>203</v>
      </c>
      <c r="O360" s="132" t="s">
        <v>204</v>
      </c>
      <c r="P360" s="116" t="s">
        <v>205</v>
      </c>
      <c r="Q360" s="115" t="s">
        <v>206</v>
      </c>
      <c r="R360" s="115" t="s">
        <v>207</v>
      </c>
      <c r="S360" s="115" t="s">
        <v>220</v>
      </c>
    </row>
    <row customHeight="true" ht="23.703703703703702" r="361">
      <c r="A361" s="133">
        <v>45956</v>
      </c>
      <c r="B361" s="119" t="s">
        <v>210</v>
      </c>
      <c r="C361" s="119"/>
      <c r="D361" s="134" cm="1">
        <f t="array" ref="D361:D361">_xlfn.XLOOKUP(B361&amp;S361,'气-价格-毛利'!A:A&amp;'气-价格-毛利'!B:B,'气-价格-毛利'!D:D,0)</f>
      </c>
      <c r="E361" s="121">
        <f t="shared" ref="E361:E371" si="59">C361*D361</f>
      </c>
      <c r="F361" s="120" cm="1">
        <f t="array" ref="F361:F361">_xlfn.XLOOKUP(B361&amp;S361,'气-价格-毛利'!A:A&amp;'气-价格-毛利'!B:B,'气-价格-毛利'!C:C,0)</f>
      </c>
      <c r="G361" s="121">
        <f>C361*8</f>
      </c>
      <c r="H361" s="119">
        <v>0</v>
      </c>
      <c r="I361" s="121">
        <f t="shared" ref="I361:I371" si="245">E361*0.025</f>
      </c>
      <c r="J361" s="121">
        <f t="shared" ref="J361:J370" si="276">F361*C361+G361-H361-I361</f>
      </c>
      <c r="K361" s="123">
        <f t="shared" ref="K361:K372" si="337">IFERROR(J361/E361,0)</f>
      </c>
      <c r="L361" s="121">
        <f t="shared" ref="L361:L368" si="399">J361*8</f>
      </c>
      <c r="M361" s="121">
        <f t="shared" ref="M361:M368" si="27">E361*8</f>
      </c>
      <c r="N361" s="123">
        <f t="shared" ref="N361:N371" si="89">IFERROR(H361/E361,0)</f>
      </c>
      <c r="O361" s="119">
        <v>0</v>
      </c>
      <c r="P361" s="135">
        <f t="shared" ref="P361:P372" si="121">C361-O361</f>
      </c>
      <c r="Q361" s="125">
        <f t="shared" ref="Q361:Q372" si="151">IFERROR(O361/C361,0)</f>
      </c>
      <c r="R361" s="125">
        <f t="shared" ref="R361:R370" si="213">IFERROR(H361/(E361*Q361),0)</f>
      </c>
      <c r="S361" s="123" t="s">
        <v>221</v>
      </c>
    </row>
    <row customHeight="true" ht="23.703703703703702" r="362">
      <c r="A362" s="133">
        <v>45956</v>
      </c>
      <c r="B362" s="119" t="s">
        <v>210</v>
      </c>
      <c r="C362" s="119"/>
      <c r="D362" s="134" cm="1">
        <f t="array" ref="D362:D362">_xlfn.XLOOKUP(B362&amp;S362,'气-价格-毛利'!A:A&amp;'气-价格-毛利'!B:B,'气-价格-毛利'!D:D,0)</f>
      </c>
      <c r="E362" s="121">
        <f t="shared" si="59"/>
      </c>
      <c r="F362" s="120" cm="1">
        <f t="array" ref="F362:F362">_xlfn.XLOOKUP(B362&amp;S362,'气-价格-毛利'!A:A&amp;'气-价格-毛利'!B:B,'气-价格-毛利'!C:C,0)</f>
      </c>
      <c r="G362" s="121">
        <f>C362*10</f>
      </c>
      <c r="H362" s="119">
        <v>0</v>
      </c>
      <c r="I362" s="121">
        <f t="shared" si="245"/>
      </c>
      <c r="J362" s="121">
        <f t="shared" si="276"/>
      </c>
      <c r="K362" s="123">
        <f t="shared" si="337"/>
      </c>
      <c r="L362" s="121">
        <f t="shared" si="399"/>
      </c>
      <c r="M362" s="121">
        <f t="shared" si="27"/>
      </c>
      <c r="N362" s="123">
        <f t="shared" si="89"/>
      </c>
      <c r="O362" s="119">
        <v>0</v>
      </c>
      <c r="P362" s="135">
        <f t="shared" si="121"/>
      </c>
      <c r="Q362" s="125">
        <f t="shared" si="151"/>
      </c>
      <c r="R362" s="125">
        <f t="shared" si="213"/>
      </c>
      <c r="S362" s="123" t="s">
        <v>223</v>
      </c>
    </row>
    <row customHeight="true" ht="23.703703703703702" r="363">
      <c r="A363" s="133">
        <v>45956</v>
      </c>
      <c r="B363" s="119" t="s">
        <v>211</v>
      </c>
      <c r="C363" s="119"/>
      <c r="D363" s="134" cm="1">
        <f t="array" ref="D363:D363">_xlfn.XLOOKUP(B363&amp;S363,'气-价格-毛利'!A:A&amp;'气-价格-毛利'!B:B,'气-价格-毛利'!D:D,0)</f>
      </c>
      <c r="E363" s="121">
        <f t="shared" si="59"/>
      </c>
      <c r="F363" s="120" cm="1">
        <f t="array" ref="F363:F363">_xlfn.XLOOKUP(B363&amp;S363,'气-价格-毛利'!A:A&amp;'气-价格-毛利'!B:B,'气-价格-毛利'!C:C,0)</f>
      </c>
      <c r="G363" s="121">
        <f>C363*8</f>
      </c>
      <c r="H363" s="119">
        <v>0</v>
      </c>
      <c r="I363" s="121">
        <f t="shared" si="245"/>
      </c>
      <c r="J363" s="121">
        <f t="shared" si="276"/>
      </c>
      <c r="K363" s="123">
        <f t="shared" si="337"/>
      </c>
      <c r="L363" s="121">
        <f t="shared" si="399"/>
      </c>
      <c r="M363" s="121">
        <f t="shared" si="27"/>
      </c>
      <c r="N363" s="123">
        <f t="shared" si="89"/>
      </c>
      <c r="O363" s="119">
        <v>0</v>
      </c>
      <c r="P363" s="135">
        <f t="shared" si="121"/>
      </c>
      <c r="Q363" s="125">
        <f t="shared" si="151"/>
      </c>
      <c r="R363" s="125">
        <f t="shared" si="213"/>
      </c>
      <c r="S363" s="123" t="s">
        <v>224</v>
      </c>
    </row>
    <row customHeight="true" ht="23.703703703703702" r="364">
      <c r="A364" s="133">
        <v>45956</v>
      </c>
      <c r="B364" s="119" t="s">
        <v>211</v>
      </c>
      <c r="C364" s="119"/>
      <c r="D364" s="134" cm="1">
        <f t="array" ref="D364:D364">_xlfn.XLOOKUP(B364&amp;S364,'气-价格-毛利'!A:A&amp;'气-价格-毛利'!B:B,'气-价格-毛利'!D:D,0)</f>
      </c>
      <c r="E364" s="121">
        <f t="shared" si="59"/>
      </c>
      <c r="F364" s="120" cm="1">
        <f t="array" ref="F364:F364">_xlfn.XLOOKUP(B364&amp;S364,'气-价格-毛利'!A:A&amp;'气-价格-毛利'!B:B,'气-价格-毛利'!C:C,0)</f>
      </c>
      <c r="G364" s="121">
        <f>C364*10</f>
      </c>
      <c r="H364" s="119">
        <v>0</v>
      </c>
      <c r="I364" s="121">
        <f t="shared" si="245"/>
      </c>
      <c r="J364" s="121">
        <f t="shared" si="276"/>
      </c>
      <c r="K364" s="123">
        <f t="shared" si="337"/>
      </c>
      <c r="L364" s="121">
        <f t="shared" si="399"/>
      </c>
      <c r="M364" s="121">
        <f t="shared" si="27"/>
      </c>
      <c r="N364" s="123">
        <f t="shared" si="89"/>
      </c>
      <c r="O364" s="119">
        <v>0</v>
      </c>
      <c r="P364" s="135">
        <f t="shared" si="121"/>
      </c>
      <c r="Q364" s="125">
        <f t="shared" si="151"/>
      </c>
      <c r="R364" s="125">
        <f t="shared" si="213"/>
      </c>
      <c r="S364" s="123" t="s">
        <v>223</v>
      </c>
    </row>
    <row customHeight="true" ht="23.703703703703702" r="365">
      <c r="A365" s="133">
        <v>45956</v>
      </c>
      <c r="B365" s="119" t="s">
        <v>213</v>
      </c>
      <c r="C365" s="119">
        <v>1</v>
      </c>
      <c r="D365" s="134" cm="1">
        <f t="array" ref="D365:D365">_xlfn.XLOOKUP(B365&amp;S365,'气-价格-毛利'!A:A&amp;'气-价格-毛利'!B:B,'气-价格-毛利'!D:D,0)</f>
      </c>
      <c r="E365" s="121">
        <f t="shared" si="59"/>
      </c>
      <c r="F365" s="120" cm="1">
        <f t="array" ref="F365:F365">_xlfn.XLOOKUP(B365&amp;S365,'气-价格-毛利'!A:A&amp;'气-价格-毛利'!B:B,'气-价格-毛利'!C:C,0)</f>
      </c>
      <c r="G365" s="121">
        <f>C365*8</f>
      </c>
      <c r="H365" s="119">
        <v>5.15</v>
      </c>
      <c r="I365" s="121">
        <f t="shared" si="245"/>
      </c>
      <c r="J365" s="121">
        <f t="shared" si="276"/>
      </c>
      <c r="K365" s="123">
        <f t="shared" si="337"/>
      </c>
      <c r="L365" s="121">
        <f t="shared" si="399"/>
      </c>
      <c r="M365" s="121">
        <f t="shared" si="27"/>
      </c>
      <c r="N365" s="123">
        <f t="shared" si="89"/>
      </c>
      <c r="O365" s="119">
        <v>0</v>
      </c>
      <c r="P365" s="135">
        <f t="shared" si="121"/>
      </c>
      <c r="Q365" s="125">
        <f t="shared" si="151"/>
      </c>
      <c r="R365" s="125">
        <f t="shared" si="213"/>
      </c>
      <c r="S365" s="123" t="s">
        <v>224</v>
      </c>
    </row>
    <row customHeight="true" ht="23.703703703703702" r="366">
      <c r="A366" s="133">
        <v>45956</v>
      </c>
      <c r="B366" s="119" t="s">
        <v>213</v>
      </c>
      <c r="C366" s="119"/>
      <c r="D366" s="134" cm="1">
        <f t="array" ref="D366:D366">_xlfn.XLOOKUP(B366&amp;S366,'气-价格-毛利'!A:A&amp;'气-价格-毛利'!B:B,'气-价格-毛利'!D:D,0)</f>
      </c>
      <c r="E366" s="121">
        <f t="shared" si="59"/>
      </c>
      <c r="F366" s="120" cm="1">
        <f t="array" ref="F366:F366">_xlfn.XLOOKUP(B366&amp;S366,'气-价格-毛利'!A:A&amp;'气-价格-毛利'!B:B,'气-价格-毛利'!C:C,0)</f>
      </c>
      <c r="G366" s="121">
        <f>C366*10</f>
      </c>
      <c r="H366" s="119">
        <v>0</v>
      </c>
      <c r="I366" s="121">
        <f t="shared" si="245"/>
      </c>
      <c r="J366" s="121">
        <f t="shared" si="276"/>
      </c>
      <c r="K366" s="123">
        <f t="shared" si="337"/>
      </c>
      <c r="L366" s="121">
        <f t="shared" si="399"/>
      </c>
      <c r="M366" s="121">
        <f t="shared" si="27"/>
      </c>
      <c r="N366" s="123">
        <f t="shared" si="89"/>
      </c>
      <c r="O366" s="119">
        <v>0</v>
      </c>
      <c r="P366" s="135">
        <f t="shared" si="121"/>
      </c>
      <c r="Q366" s="125">
        <f t="shared" si="151"/>
      </c>
      <c r="R366" s="125">
        <f t="shared" si="213"/>
      </c>
      <c r="S366" s="123" t="s">
        <v>223</v>
      </c>
    </row>
    <row customHeight="true" ht="23.703703703703702" r="367">
      <c r="A367" s="133">
        <v>45956</v>
      </c>
      <c r="B367" s="119" t="s">
        <v>214</v>
      </c>
      <c r="C367" s="119"/>
      <c r="D367" s="134" cm="1">
        <f t="array" ref="D367:D367">_xlfn.XLOOKUP(B367&amp;S367,'气-价格-毛利'!A:A&amp;'气-价格-毛利'!B:B,'气-价格-毛利'!D:D,0)</f>
      </c>
      <c r="E367" s="121">
        <f t="shared" si="59"/>
      </c>
      <c r="F367" s="120" cm="1">
        <f t="array" ref="F367:F367">_xlfn.XLOOKUP(B367&amp;S367,'气-价格-毛利'!A:A&amp;'气-价格-毛利'!B:B,'气-价格-毛利'!C:C,0)</f>
      </c>
      <c r="G367" s="121">
        <f>C367*8</f>
      </c>
      <c r="H367" s="119">
        <v>0</v>
      </c>
      <c r="I367" s="121">
        <f t="shared" si="245"/>
      </c>
      <c r="J367" s="121">
        <f t="shared" si="276"/>
      </c>
      <c r="K367" s="123">
        <f t="shared" si="337"/>
      </c>
      <c r="L367" s="121">
        <f t="shared" si="399"/>
      </c>
      <c r="M367" s="121">
        <f t="shared" si="27"/>
      </c>
      <c r="N367" s="123">
        <f t="shared" si="89"/>
      </c>
      <c r="O367" s="119">
        <v>0</v>
      </c>
      <c r="P367" s="135">
        <f t="shared" si="121"/>
      </c>
      <c r="Q367" s="125">
        <f t="shared" si="151"/>
      </c>
      <c r="R367" s="125">
        <f t="shared" si="213"/>
      </c>
      <c r="S367" s="123" t="s">
        <v>224</v>
      </c>
    </row>
    <row customHeight="true" ht="23.703703703703702" r="368">
      <c r="A368" s="133">
        <v>45956</v>
      </c>
      <c r="B368" s="119" t="s">
        <v>214</v>
      </c>
      <c r="C368" s="119"/>
      <c r="D368" s="134" cm="1">
        <f t="array" ref="D368:D368">_xlfn.XLOOKUP(B368&amp;S368,'气-价格-毛利'!A:A&amp;'气-价格-毛利'!B:B,'气-价格-毛利'!D:D,0)</f>
      </c>
      <c r="E368" s="121">
        <f t="shared" si="59"/>
      </c>
      <c r="F368" s="120" cm="1">
        <f t="array" ref="F368:F368">_xlfn.XLOOKUP(B368&amp;S368,'气-价格-毛利'!A:A&amp;'气-价格-毛利'!B:B,'气-价格-毛利'!C:C,0)</f>
      </c>
      <c r="G368" s="121">
        <f>C368*10</f>
      </c>
      <c r="H368" s="119">
        <v>0</v>
      </c>
      <c r="I368" s="121">
        <f t="shared" si="245"/>
      </c>
      <c r="J368" s="121">
        <f t="shared" si="276"/>
      </c>
      <c r="K368" s="123">
        <f t="shared" si="337"/>
      </c>
      <c r="L368" s="121">
        <f t="shared" si="399"/>
      </c>
      <c r="M368" s="121">
        <f t="shared" si="27"/>
      </c>
      <c r="N368" s="123">
        <f t="shared" si="89"/>
      </c>
      <c r="O368" s="119">
        <v>0</v>
      </c>
      <c r="P368" s="135">
        <f t="shared" si="121"/>
      </c>
      <c r="Q368" s="125">
        <f t="shared" si="151"/>
      </c>
      <c r="R368" s="125">
        <f t="shared" si="213"/>
      </c>
      <c r="S368" s="123" t="s">
        <v>223</v>
      </c>
    </row>
    <row customHeight="true" ht="23.703703703703702" r="369">
      <c r="A369" s="133">
        <v>45956</v>
      </c>
      <c r="B369" s="119" t="s">
        <v>216</v>
      </c>
      <c r="C369" s="119"/>
      <c r="D369" s="134" cm="1">
        <f t="array" ref="D369:D369">_xlfn.XLOOKUP(B369&amp;S369,'气-价格-毛利'!A:A&amp;'气-价格-毛利'!B:B,'气-价格-毛利'!D:D,0)</f>
      </c>
      <c r="E369" s="121">
        <f t="shared" si="59"/>
      </c>
      <c r="F369" s="120" cm="1">
        <f t="array" ref="F369:F369">_xlfn.XLOOKUP(B369&amp;S369,'气-价格-毛利'!A:A&amp;'气-价格-毛利'!B:B,'气-价格-毛利'!C:C,0)</f>
      </c>
      <c r="G369" s="121">
        <f t="shared" ref="G369:G370" si="183">C369*8</f>
      </c>
      <c r="H369" s="119">
        <v>0</v>
      </c>
      <c r="I369" s="121">
        <f t="shared" si="245"/>
      </c>
      <c r="J369" s="121">
        <f t="shared" si="276"/>
      </c>
      <c r="K369" s="123">
        <f t="shared" si="337"/>
      </c>
      <c r="L369" s="121">
        <f t="shared" ref="L369:L370" si="306">J369*9</f>
      </c>
      <c r="M369" s="121">
        <f t="shared" ref="M369:M370" si="367">E369*9</f>
      </c>
      <c r="N369" s="123">
        <f t="shared" si="89"/>
      </c>
      <c r="O369" s="119">
        <v>0</v>
      </c>
      <c r="P369" s="135">
        <f t="shared" si="121"/>
      </c>
      <c r="Q369" s="125">
        <f t="shared" si="151"/>
      </c>
      <c r="R369" s="125">
        <f t="shared" si="213"/>
      </c>
      <c r="S369" s="125"/>
    </row>
    <row customHeight="true" ht="23.703703703703702" r="370">
      <c r="A370" s="133">
        <v>45956</v>
      </c>
      <c r="B370" s="119" t="s">
        <v>216</v>
      </c>
      <c r="C370" s="119"/>
      <c r="D370" s="134" cm="1">
        <f t="array" ref="D370:D370">_xlfn.XLOOKUP(B370&amp;S370,'气-价格-毛利'!A:A&amp;'气-价格-毛利'!B:B,'气-价格-毛利'!D:D,0)</f>
      </c>
      <c r="E370" s="121">
        <f t="shared" si="59"/>
      </c>
      <c r="F370" s="120" cm="1">
        <f t="array" ref="F370:F370">_xlfn.XLOOKUP(B370&amp;S370,'气-价格-毛利'!A:A&amp;'气-价格-毛利'!B:B,'气-价格-毛利'!C:C,0)</f>
      </c>
      <c r="G370" s="121">
        <f t="shared" si="183"/>
      </c>
      <c r="H370" s="119">
        <v>0</v>
      </c>
      <c r="I370" s="121">
        <f t="shared" si="245"/>
      </c>
      <c r="J370" s="121">
        <f t="shared" si="276"/>
      </c>
      <c r="K370" s="123">
        <f t="shared" si="337"/>
      </c>
      <c r="L370" s="121">
        <f t="shared" si="306"/>
      </c>
      <c r="M370" s="121">
        <f t="shared" si="367"/>
      </c>
      <c r="N370" s="123">
        <f t="shared" si="89"/>
      </c>
      <c r="O370" s="119">
        <v>0</v>
      </c>
      <c r="P370" s="135">
        <f t="shared" si="121"/>
      </c>
      <c r="Q370" s="125">
        <f t="shared" si="151"/>
      </c>
      <c r="R370" s="125">
        <f t="shared" si="213"/>
      </c>
      <c r="S370" s="125"/>
    </row>
    <row customHeight="true" ht="23.703703703703702" r="371">
      <c r="A371" s="133">
        <v>45956</v>
      </c>
      <c r="B371" s="119" t="s">
        <v>217</v>
      </c>
      <c r="C371" s="119"/>
      <c r="D371" s="134" cm="1">
        <f t="array" ref="D371:D371">_xlfn.XLOOKUP(B371&amp;S371,'气-价格-毛利'!A:A&amp;'气-价格-毛利'!B:B,'气-价格-毛利'!D:D,0)</f>
      </c>
      <c r="E371" s="121">
        <f t="shared" si="59"/>
      </c>
      <c r="F371" s="120" cm="1">
        <f t="array" ref="F371:F371">_xlfn.XLOOKUP(B371&amp;S371,'气-价格-毛利'!A:A&amp;'气-价格-毛利'!B:B,'气-价格-毛利'!C:C,0)</f>
      </c>
      <c r="G371" s="121"/>
      <c r="H371" s="119">
        <v>0</v>
      </c>
      <c r="I371" s="121">
        <f t="shared" si="245"/>
      </c>
      <c r="J371" s="121">
        <f>C371*F371-H371-I371</f>
      </c>
      <c r="K371" s="123">
        <f t="shared" si="337"/>
      </c>
      <c r="L371" s="121">
        <f>J371*7</f>
      </c>
      <c r="M371" s="121">
        <f>E371*7</f>
      </c>
      <c r="N371" s="123">
        <f t="shared" si="89"/>
      </c>
      <c r="O371" s="119">
        <v>0</v>
      </c>
      <c r="P371" s="124">
        <f t="shared" si="121"/>
      </c>
      <c r="Q371" s="125">
        <f t="shared" si="151"/>
      </c>
      <c r="R371" s="125"/>
      <c r="S371" s="137"/>
    </row>
    <row customHeight="true" ht="23.703703703703702" r="372">
      <c r="A372" s="133">
        <v>45956</v>
      </c>
      <c r="B372" s="119" t="s">
        <v>191</v>
      </c>
      <c r="C372" s="119">
        <f>SUM(C361:C371)</f>
      </c>
      <c r="D372" s="129"/>
      <c r="E372" s="121">
        <f>SUM(E361:E371)</f>
      </c>
      <c r="F372" s="122">
        <f>SUM(F361:F370)</f>
      </c>
      <c r="G372" s="121"/>
      <c r="H372" s="121"/>
      <c r="I372" s="121"/>
      <c r="J372" s="121">
        <f>SUM(J361:J371)</f>
      </c>
      <c r="K372" s="123">
        <f t="shared" si="337"/>
      </c>
      <c r="L372" s="121">
        <f>SUM(L361:L371)</f>
      </c>
      <c r="M372" s="121">
        <f>SUM(M361:M371)</f>
      </c>
      <c r="N372" s="123"/>
      <c r="O372" s="135">
        <f>SUM(O361:O370)</f>
      </c>
      <c r="P372" s="135">
        <f t="shared" si="121"/>
      </c>
      <c r="Q372" s="125">
        <f t="shared" si="151"/>
      </c>
      <c r="R372" s="125"/>
      <c r="S372" s="129"/>
    </row>
    <row customHeight="true" ht="23.703703703703702" r="373">
      <c r="B373" s="117" t="s">
        <v>218</v>
      </c>
    </row>
    <row customHeight="true" ht="23.703703703703702" r="374">
      <c r="A374" s="111" t="s">
        <v>219</v>
      </c>
      <c r="B374" s="112" t="s">
        <v>192</v>
      </c>
      <c r="C374" s="130" t="s">
        <v>193</v>
      </c>
      <c r="D374" s="112" t="s">
        <v>194</v>
      </c>
      <c r="E374" s="113" t="s">
        <v>195</v>
      </c>
      <c r="F374" s="114" t="s">
        <v>196</v>
      </c>
      <c r="G374" s="113" t="s">
        <v>197</v>
      </c>
      <c r="H374" s="131" t="s">
        <v>198</v>
      </c>
      <c r="I374" s="113" t="s">
        <v>199</v>
      </c>
      <c r="J374" s="113" t="s">
        <v>196</v>
      </c>
      <c r="K374" s="115" t="s">
        <v>200</v>
      </c>
      <c r="L374" s="113" t="s">
        <v>201</v>
      </c>
      <c r="M374" s="113" t="s">
        <v>202</v>
      </c>
      <c r="N374" s="112" t="s">
        <v>203</v>
      </c>
      <c r="O374" s="132" t="s">
        <v>204</v>
      </c>
      <c r="P374" s="116" t="s">
        <v>205</v>
      </c>
      <c r="Q374" s="115" t="s">
        <v>206</v>
      </c>
      <c r="R374" s="115" t="s">
        <v>207</v>
      </c>
      <c r="S374" s="115" t="s">
        <v>220</v>
      </c>
    </row>
    <row customHeight="true" ht="23.703703703703702" r="375">
      <c r="A375" s="133">
        <v>45957</v>
      </c>
      <c r="B375" s="119" t="s">
        <v>210</v>
      </c>
      <c r="C375" s="119"/>
      <c r="D375" s="134" cm="1">
        <f t="array" ref="D375:D375">_xlfn.XLOOKUP(B375&amp;S375,'气-价格-毛利'!A:A&amp;'气-价格-毛利'!B:B,'气-价格-毛利'!D:D,0)</f>
      </c>
      <c r="E375" s="121">
        <f t="shared" ref="E375:E385" si="60">C375*D375</f>
      </c>
      <c r="F375" s="120" cm="1">
        <f t="array" ref="F375:F375">_xlfn.XLOOKUP(B375&amp;S375,'气-价格-毛利'!A:A&amp;'气-价格-毛利'!B:B,'气-价格-毛利'!C:C,0)</f>
      </c>
      <c r="G375" s="121">
        <f>C375*8</f>
      </c>
      <c r="H375" s="119">
        <v>0</v>
      </c>
      <c r="I375" s="121">
        <f t="shared" ref="I375:I385" si="246">E375*0.025</f>
      </c>
      <c r="J375" s="121">
        <f t="shared" ref="J375:J384" si="277">F375*C375+G375-H375-I375</f>
      </c>
      <c r="K375" s="123">
        <f t="shared" ref="K375:K386" si="338">IFERROR(J375/E375,0)</f>
      </c>
      <c r="L375" s="121">
        <f t="shared" ref="L375:L382" si="400">J375*8</f>
      </c>
      <c r="M375" s="121">
        <f t="shared" ref="M375:M382" si="28">E375*8</f>
      </c>
      <c r="N375" s="123">
        <f t="shared" ref="N375:N385" si="90">IFERROR(H375/E375,0)</f>
      </c>
      <c r="O375" s="119">
        <v>0</v>
      </c>
      <c r="P375" s="135">
        <f t="shared" ref="P375:P386" si="122">C375-O375</f>
      </c>
      <c r="Q375" s="125">
        <f t="shared" ref="Q375:Q386" si="152">IFERROR(O375/C375,0)</f>
      </c>
      <c r="R375" s="125">
        <f t="shared" ref="R375:R384" si="214">IFERROR(H375/(E375*Q375),0)</f>
      </c>
      <c r="S375" s="123" t="s">
        <v>221</v>
      </c>
    </row>
    <row customHeight="true" ht="23.703703703703702" r="376">
      <c r="A376" s="133">
        <v>45957</v>
      </c>
      <c r="B376" s="119" t="s">
        <v>210</v>
      </c>
      <c r="C376" s="119"/>
      <c r="D376" s="134" cm="1">
        <f t="array" ref="D376:D376">_xlfn.XLOOKUP(B376&amp;S376,'气-价格-毛利'!A:A&amp;'气-价格-毛利'!B:B,'气-价格-毛利'!D:D,0)</f>
      </c>
      <c r="E376" s="121">
        <f t="shared" si="60"/>
      </c>
      <c r="F376" s="120" cm="1">
        <f t="array" ref="F376:F376">_xlfn.XLOOKUP(B376&amp;S376,'气-价格-毛利'!A:A&amp;'气-价格-毛利'!B:B,'气-价格-毛利'!C:C,0)</f>
      </c>
      <c r="G376" s="121">
        <f>C376*10</f>
      </c>
      <c r="H376" s="119">
        <v>0</v>
      </c>
      <c r="I376" s="121">
        <f t="shared" si="246"/>
      </c>
      <c r="J376" s="121">
        <f t="shared" si="277"/>
      </c>
      <c r="K376" s="123">
        <f t="shared" si="338"/>
      </c>
      <c r="L376" s="121">
        <f t="shared" si="400"/>
      </c>
      <c r="M376" s="121">
        <f t="shared" si="28"/>
      </c>
      <c r="N376" s="123">
        <f t="shared" si="90"/>
      </c>
      <c r="O376" s="119">
        <v>0</v>
      </c>
      <c r="P376" s="135">
        <f t="shared" si="122"/>
      </c>
      <c r="Q376" s="125">
        <f t="shared" si="152"/>
      </c>
      <c r="R376" s="125">
        <f t="shared" si="214"/>
      </c>
      <c r="S376" s="123" t="s">
        <v>223</v>
      </c>
    </row>
    <row customHeight="true" ht="23.703703703703702" r="377">
      <c r="A377" s="133">
        <v>45957</v>
      </c>
      <c r="B377" s="119" t="s">
        <v>211</v>
      </c>
      <c r="C377" s="119"/>
      <c r="D377" s="134" cm="1">
        <f t="array" ref="D377:D377">_xlfn.XLOOKUP(B377&amp;S377,'气-价格-毛利'!A:A&amp;'气-价格-毛利'!B:B,'气-价格-毛利'!D:D,0)</f>
      </c>
      <c r="E377" s="121">
        <f t="shared" si="60"/>
      </c>
      <c r="F377" s="120" cm="1">
        <f t="array" ref="F377:F377">_xlfn.XLOOKUP(B377&amp;S377,'气-价格-毛利'!A:A&amp;'气-价格-毛利'!B:B,'气-价格-毛利'!C:C,0)</f>
      </c>
      <c r="G377" s="121">
        <f>C377*8</f>
      </c>
      <c r="H377" s="119">
        <v>0</v>
      </c>
      <c r="I377" s="121">
        <f t="shared" si="246"/>
      </c>
      <c r="J377" s="121">
        <f t="shared" si="277"/>
      </c>
      <c r="K377" s="123">
        <f t="shared" si="338"/>
      </c>
      <c r="L377" s="121">
        <f t="shared" si="400"/>
      </c>
      <c r="M377" s="121">
        <f t="shared" si="28"/>
      </c>
      <c r="N377" s="123">
        <f t="shared" si="90"/>
      </c>
      <c r="O377" s="119">
        <v>0</v>
      </c>
      <c r="P377" s="135">
        <f t="shared" si="122"/>
      </c>
      <c r="Q377" s="125">
        <f t="shared" si="152"/>
      </c>
      <c r="R377" s="125">
        <f t="shared" si="214"/>
      </c>
      <c r="S377" s="138" t="s">
        <v>225</v>
      </c>
    </row>
    <row customHeight="true" ht="23.703703703703702" r="378">
      <c r="A378" s="133">
        <v>45957</v>
      </c>
      <c r="B378" s="119" t="s">
        <v>211</v>
      </c>
      <c r="C378" s="119"/>
      <c r="D378" s="134" cm="1">
        <f t="array" ref="D378:D378">_xlfn.XLOOKUP(B378&amp;S378,'气-价格-毛利'!A:A&amp;'气-价格-毛利'!B:B,'气-价格-毛利'!D:D,0)</f>
      </c>
      <c r="E378" s="121">
        <f t="shared" si="60"/>
      </c>
      <c r="F378" s="120" cm="1">
        <f t="array" ref="F378:F378">_xlfn.XLOOKUP(B378&amp;S378,'气-价格-毛利'!A:A&amp;'气-价格-毛利'!B:B,'气-价格-毛利'!C:C,0)</f>
      </c>
      <c r="G378" s="121">
        <f>C378*10</f>
      </c>
      <c r="H378" s="119">
        <v>0</v>
      </c>
      <c r="I378" s="121">
        <f t="shared" si="246"/>
      </c>
      <c r="J378" s="121">
        <f t="shared" si="277"/>
      </c>
      <c r="K378" s="123">
        <f t="shared" si="338"/>
      </c>
      <c r="L378" s="121">
        <f t="shared" si="400"/>
      </c>
      <c r="M378" s="121">
        <f t="shared" si="28"/>
      </c>
      <c r="N378" s="123">
        <f t="shared" si="90"/>
      </c>
      <c r="O378" s="119">
        <v>0</v>
      </c>
      <c r="P378" s="135">
        <f t="shared" si="122"/>
      </c>
      <c r="Q378" s="125">
        <f t="shared" si="152"/>
      </c>
      <c r="R378" s="125">
        <f t="shared" si="214"/>
      </c>
      <c r="S378" s="123" t="s">
        <v>223</v>
      </c>
    </row>
    <row customHeight="true" ht="23.703703703703702" r="379">
      <c r="A379" s="133">
        <v>45957</v>
      </c>
      <c r="B379" s="119" t="s">
        <v>213</v>
      </c>
      <c r="C379" s="119">
        <v>3</v>
      </c>
      <c r="D379" s="134" cm="1">
        <f t="array" ref="D379:D379">_xlfn.XLOOKUP(B379&amp;S379,'气-价格-毛利'!A:A&amp;'气-价格-毛利'!B:B,'气-价格-毛利'!D:D,0)</f>
      </c>
      <c r="E379" s="121">
        <f t="shared" si="60"/>
      </c>
      <c r="F379" s="120" cm="1">
        <f t="array" ref="F379:F379">_xlfn.XLOOKUP(B379&amp;S379,'气-价格-毛利'!A:A&amp;'气-价格-毛利'!B:B,'气-价格-毛利'!C:C,0)</f>
      </c>
      <c r="G379" s="121">
        <f>C379*8</f>
      </c>
      <c r="H379" s="119">
        <v>5.15</v>
      </c>
      <c r="I379" s="121">
        <f t="shared" si="246"/>
      </c>
      <c r="J379" s="121">
        <f t="shared" si="277"/>
      </c>
      <c r="K379" s="123">
        <f t="shared" si="338"/>
      </c>
      <c r="L379" s="121">
        <f t="shared" si="400"/>
      </c>
      <c r="M379" s="121">
        <f t="shared" si="28"/>
      </c>
      <c r="N379" s="123">
        <f t="shared" si="90"/>
      </c>
      <c r="O379" s="119">
        <v>0</v>
      </c>
      <c r="P379" s="135">
        <f t="shared" si="122"/>
      </c>
      <c r="Q379" s="125">
        <f t="shared" si="152"/>
      </c>
      <c r="R379" s="125">
        <f t="shared" si="214"/>
      </c>
      <c r="S379" s="138" t="s">
        <v>225</v>
      </c>
    </row>
    <row customHeight="true" ht="23.703703703703702" r="380">
      <c r="A380" s="133">
        <v>45957</v>
      </c>
      <c r="B380" s="119" t="s">
        <v>213</v>
      </c>
      <c r="C380" s="119"/>
      <c r="D380" s="134" cm="1">
        <f t="array" ref="D380:D380">_xlfn.XLOOKUP(B380&amp;S380,'气-价格-毛利'!A:A&amp;'气-价格-毛利'!B:B,'气-价格-毛利'!D:D,0)</f>
      </c>
      <c r="E380" s="121">
        <f t="shared" si="60"/>
      </c>
      <c r="F380" s="120" cm="1">
        <f t="array" ref="F380:F380">_xlfn.XLOOKUP(B380&amp;S380,'气-价格-毛利'!A:A&amp;'气-价格-毛利'!B:B,'气-价格-毛利'!C:C,0)</f>
      </c>
      <c r="G380" s="121">
        <f>C380*10</f>
      </c>
      <c r="H380" s="119">
        <v>0</v>
      </c>
      <c r="I380" s="121">
        <f t="shared" si="246"/>
      </c>
      <c r="J380" s="121">
        <f t="shared" si="277"/>
      </c>
      <c r="K380" s="123">
        <f t="shared" si="338"/>
      </c>
      <c r="L380" s="121">
        <f t="shared" si="400"/>
      </c>
      <c r="M380" s="121">
        <f t="shared" si="28"/>
      </c>
      <c r="N380" s="123">
        <f t="shared" si="90"/>
      </c>
      <c r="O380" s="119">
        <v>0</v>
      </c>
      <c r="P380" s="135">
        <f t="shared" si="122"/>
      </c>
      <c r="Q380" s="125">
        <f t="shared" si="152"/>
      </c>
      <c r="R380" s="125">
        <f t="shared" si="214"/>
      </c>
      <c r="S380" s="123" t="s">
        <v>223</v>
      </c>
    </row>
    <row customHeight="true" ht="23.703703703703702" r="381">
      <c r="A381" s="133">
        <v>45957</v>
      </c>
      <c r="B381" s="119" t="s">
        <v>214</v>
      </c>
      <c r="C381" s="119">
        <v>1</v>
      </c>
      <c r="D381" s="134" cm="1">
        <f t="array" ref="D381:D381">_xlfn.XLOOKUP(B381&amp;S381,'气-价格-毛利'!A:A&amp;'气-价格-毛利'!B:B,'气-价格-毛利'!D:D,0)</f>
      </c>
      <c r="E381" s="121">
        <f t="shared" si="60"/>
      </c>
      <c r="F381" s="120" cm="1">
        <f t="array" ref="F381:F381">_xlfn.XLOOKUP(B381&amp;S381,'气-价格-毛利'!A:A&amp;'气-价格-毛利'!B:B,'气-价格-毛利'!C:C,0)</f>
      </c>
      <c r="G381" s="121">
        <f>C381*8</f>
      </c>
      <c r="H381" s="119">
        <v>0</v>
      </c>
      <c r="I381" s="121">
        <f t="shared" si="246"/>
      </c>
      <c r="J381" s="121">
        <f t="shared" si="277"/>
      </c>
      <c r="K381" s="123">
        <f t="shared" si="338"/>
      </c>
      <c r="L381" s="121">
        <f t="shared" si="400"/>
      </c>
      <c r="M381" s="121">
        <f t="shared" si="28"/>
      </c>
      <c r="N381" s="123">
        <f t="shared" si="90"/>
      </c>
      <c r="O381" s="119">
        <v>0</v>
      </c>
      <c r="P381" s="135">
        <f t="shared" si="122"/>
      </c>
      <c r="Q381" s="125">
        <f t="shared" si="152"/>
      </c>
      <c r="R381" s="125">
        <f t="shared" si="214"/>
      </c>
      <c r="S381" s="138" t="s">
        <v>225</v>
      </c>
    </row>
    <row customHeight="true" ht="23.703703703703702" r="382">
      <c r="A382" s="133">
        <v>45957</v>
      </c>
      <c r="B382" s="119" t="s">
        <v>214</v>
      </c>
      <c r="C382" s="119"/>
      <c r="D382" s="134" cm="1">
        <f t="array" ref="D382:D382">_xlfn.XLOOKUP(B382&amp;S382,'气-价格-毛利'!A:A&amp;'气-价格-毛利'!B:B,'气-价格-毛利'!D:D,0)</f>
      </c>
      <c r="E382" s="121">
        <f t="shared" si="60"/>
      </c>
      <c r="F382" s="120" cm="1">
        <f t="array" ref="F382:F382">_xlfn.XLOOKUP(B382&amp;S382,'气-价格-毛利'!A:A&amp;'气-价格-毛利'!B:B,'气-价格-毛利'!C:C,0)</f>
      </c>
      <c r="G382" s="121">
        <f>C382*10</f>
      </c>
      <c r="H382" s="119">
        <v>0</v>
      </c>
      <c r="I382" s="121">
        <f t="shared" si="246"/>
      </c>
      <c r="J382" s="121">
        <f t="shared" si="277"/>
      </c>
      <c r="K382" s="123">
        <f t="shared" si="338"/>
      </c>
      <c r="L382" s="121">
        <f t="shared" si="400"/>
      </c>
      <c r="M382" s="121">
        <f t="shared" si="28"/>
      </c>
      <c r="N382" s="123">
        <f t="shared" si="90"/>
      </c>
      <c r="O382" s="119">
        <v>0</v>
      </c>
      <c r="P382" s="135">
        <f t="shared" si="122"/>
      </c>
      <c r="Q382" s="125">
        <f t="shared" si="152"/>
      </c>
      <c r="R382" s="125">
        <f t="shared" si="214"/>
      </c>
      <c r="S382" s="123" t="s">
        <v>223</v>
      </c>
    </row>
    <row customHeight="true" ht="23.703703703703702" r="383">
      <c r="A383" s="133">
        <v>45957</v>
      </c>
      <c r="B383" s="119" t="s">
        <v>216</v>
      </c>
      <c r="C383" s="119"/>
      <c r="D383" s="134" cm="1">
        <f t="array" ref="D383:D383">_xlfn.XLOOKUP(B383&amp;S383,'气-价格-毛利'!A:A&amp;'气-价格-毛利'!B:B,'气-价格-毛利'!D:D,0)</f>
      </c>
      <c r="E383" s="121">
        <f t="shared" si="60"/>
      </c>
      <c r="F383" s="120" cm="1">
        <f t="array" ref="F383:F383">_xlfn.XLOOKUP(B383&amp;S383,'气-价格-毛利'!A:A&amp;'气-价格-毛利'!B:B,'气-价格-毛利'!C:C,0)</f>
      </c>
      <c r="G383" s="121">
        <f t="shared" ref="G383:G384" si="184">C383*8</f>
      </c>
      <c r="H383" s="119">
        <v>0</v>
      </c>
      <c r="I383" s="121">
        <f t="shared" si="246"/>
      </c>
      <c r="J383" s="121">
        <f t="shared" si="277"/>
      </c>
      <c r="K383" s="123">
        <f t="shared" si="338"/>
      </c>
      <c r="L383" s="121">
        <f t="shared" ref="L383:L384" si="307">J383*9</f>
      </c>
      <c r="M383" s="121">
        <f t="shared" ref="M383:M384" si="368">E383*9</f>
      </c>
      <c r="N383" s="123">
        <f t="shared" si="90"/>
      </c>
      <c r="O383" s="119">
        <v>0</v>
      </c>
      <c r="P383" s="135">
        <f t="shared" si="122"/>
      </c>
      <c r="Q383" s="125">
        <f t="shared" si="152"/>
      </c>
      <c r="R383" s="125">
        <f t="shared" si="214"/>
      </c>
      <c r="S383" s="125"/>
    </row>
    <row customHeight="true" ht="23.703703703703702" r="384">
      <c r="A384" s="133">
        <v>45957</v>
      </c>
      <c r="B384" s="119" t="s">
        <v>216</v>
      </c>
      <c r="C384" s="119"/>
      <c r="D384" s="134" cm="1">
        <f t="array" ref="D384:D384">_xlfn.XLOOKUP(B384&amp;S384,'气-价格-毛利'!A:A&amp;'气-价格-毛利'!B:B,'气-价格-毛利'!D:D,0)</f>
      </c>
      <c r="E384" s="121">
        <f t="shared" si="60"/>
      </c>
      <c r="F384" s="120" cm="1">
        <f t="array" ref="F384:F384">_xlfn.XLOOKUP(B384&amp;S384,'气-价格-毛利'!A:A&amp;'气-价格-毛利'!B:B,'气-价格-毛利'!C:C,0)</f>
      </c>
      <c r="G384" s="121">
        <f t="shared" si="184"/>
      </c>
      <c r="H384" s="119">
        <v>0</v>
      </c>
      <c r="I384" s="121">
        <f t="shared" si="246"/>
      </c>
      <c r="J384" s="121">
        <f t="shared" si="277"/>
      </c>
      <c r="K384" s="123">
        <f t="shared" si="338"/>
      </c>
      <c r="L384" s="121">
        <f t="shared" si="307"/>
      </c>
      <c r="M384" s="121">
        <f t="shared" si="368"/>
      </c>
      <c r="N384" s="123">
        <f t="shared" si="90"/>
      </c>
      <c r="O384" s="119">
        <v>0</v>
      </c>
      <c r="P384" s="135">
        <f t="shared" si="122"/>
      </c>
      <c r="Q384" s="125">
        <f t="shared" si="152"/>
      </c>
      <c r="R384" s="125">
        <f t="shared" si="214"/>
      </c>
      <c r="S384" s="125"/>
    </row>
    <row customHeight="true" ht="23.703703703703702" r="385">
      <c r="A385" s="133">
        <v>45957</v>
      </c>
      <c r="B385" s="119" t="s">
        <v>217</v>
      </c>
      <c r="C385" s="119"/>
      <c r="D385" s="134" cm="1">
        <f t="array" ref="D385:D385">_xlfn.XLOOKUP(B385&amp;S385,'气-价格-毛利'!A:A&amp;'气-价格-毛利'!B:B,'气-价格-毛利'!D:D,0)</f>
      </c>
      <c r="E385" s="121">
        <f t="shared" si="60"/>
      </c>
      <c r="F385" s="120" cm="1">
        <f t="array" ref="F385:F385">_xlfn.XLOOKUP(B385&amp;S385,'气-价格-毛利'!A:A&amp;'气-价格-毛利'!B:B,'气-价格-毛利'!C:C,0)</f>
      </c>
      <c r="G385" s="121"/>
      <c r="H385" s="119">
        <v>0</v>
      </c>
      <c r="I385" s="121">
        <f t="shared" si="246"/>
      </c>
      <c r="J385" s="121">
        <f>C385*F385-H385-I385</f>
      </c>
      <c r="K385" s="123">
        <f t="shared" si="338"/>
      </c>
      <c r="L385" s="121">
        <f>J385*7</f>
      </c>
      <c r="M385" s="121">
        <f>E385*7</f>
      </c>
      <c r="N385" s="123">
        <f t="shared" si="90"/>
      </c>
      <c r="O385" s="119">
        <v>0</v>
      </c>
      <c r="P385" s="124">
        <f t="shared" si="122"/>
      </c>
      <c r="Q385" s="125">
        <f t="shared" si="152"/>
      </c>
      <c r="R385" s="125"/>
      <c r="S385" s="137"/>
    </row>
    <row customHeight="true" ht="23.703703703703702" r="386">
      <c r="A386" s="133">
        <v>45957</v>
      </c>
      <c r="B386" s="119" t="s">
        <v>191</v>
      </c>
      <c r="C386" s="119">
        <f>SUM(C375:C385)</f>
      </c>
      <c r="D386" s="129"/>
      <c r="E386" s="121">
        <f>SUM(E375:E385)</f>
      </c>
      <c r="F386" s="122">
        <f>SUM(F375:F384)</f>
      </c>
      <c r="G386" s="121"/>
      <c r="H386" s="121"/>
      <c r="I386" s="121"/>
      <c r="J386" s="121">
        <f>SUM(J375:J385)</f>
      </c>
      <c r="K386" s="123">
        <f t="shared" si="338"/>
      </c>
      <c r="L386" s="121">
        <f>SUM(L375:L385)</f>
      </c>
      <c r="M386" s="121">
        <f>SUM(M375:M385)</f>
      </c>
      <c r="N386" s="123"/>
      <c r="O386" s="135">
        <f>SUM(O375:O384)</f>
      </c>
      <c r="P386" s="135">
        <f t="shared" si="122"/>
      </c>
      <c r="Q386" s="125">
        <f t="shared" si="152"/>
      </c>
      <c r="R386" s="125"/>
      <c r="S386" s="129"/>
    </row>
    <row customHeight="true" ht="23.703703703703702" r="387">
      <c r="B387" s="117" t="s">
        <v>218</v>
      </c>
    </row>
    <row customHeight="true" ht="23.703703703703702" r="388">
      <c r="A388" s="111" t="s">
        <v>219</v>
      </c>
      <c r="B388" s="112" t="s">
        <v>192</v>
      </c>
      <c r="C388" s="130" t="s">
        <v>193</v>
      </c>
      <c r="D388" s="112" t="s">
        <v>194</v>
      </c>
      <c r="E388" s="113" t="s">
        <v>195</v>
      </c>
      <c r="F388" s="114" t="s">
        <v>196</v>
      </c>
      <c r="G388" s="113" t="s">
        <v>197</v>
      </c>
      <c r="H388" s="131" t="s">
        <v>198</v>
      </c>
      <c r="I388" s="113" t="s">
        <v>199</v>
      </c>
      <c r="J388" s="113" t="s">
        <v>196</v>
      </c>
      <c r="K388" s="115" t="s">
        <v>200</v>
      </c>
      <c r="L388" s="113" t="s">
        <v>201</v>
      </c>
      <c r="M388" s="113" t="s">
        <v>202</v>
      </c>
      <c r="N388" s="112" t="s">
        <v>203</v>
      </c>
      <c r="O388" s="132" t="s">
        <v>204</v>
      </c>
      <c r="P388" s="116" t="s">
        <v>205</v>
      </c>
      <c r="Q388" s="115" t="s">
        <v>206</v>
      </c>
      <c r="R388" s="115" t="s">
        <v>207</v>
      </c>
      <c r="S388" s="115" t="s">
        <v>220</v>
      </c>
    </row>
    <row customHeight="true" ht="23.703703703703702" r="389">
      <c r="A389" s="133">
        <v>45958</v>
      </c>
      <c r="B389" s="119" t="s">
        <v>210</v>
      </c>
      <c r="C389" s="119"/>
      <c r="D389" s="134" cm="1">
        <f t="array" ref="D389:D389">_xlfn.XLOOKUP(B389&amp;S389,'气-价格-毛利'!A:A&amp;'气-价格-毛利'!B:B,'气-价格-毛利'!D:D,0)</f>
      </c>
      <c r="E389" s="121">
        <f t="shared" ref="E389:E399" si="61">C389*D389</f>
      </c>
      <c r="F389" s="120" cm="1">
        <f t="array" ref="F389:F389">_xlfn.XLOOKUP(B389&amp;S389,'气-价格-毛利'!A:A&amp;'气-价格-毛利'!B:B,'气-价格-毛利'!C:C,0)</f>
      </c>
      <c r="G389" s="121">
        <f>C389*8</f>
      </c>
      <c r="H389" s="119"/>
      <c r="I389" s="121">
        <f t="shared" ref="I389:I399" si="247">E389*0.025</f>
      </c>
      <c r="J389" s="121">
        <f t="shared" ref="J389:J398" si="278">F389*C389+G389-H389-I389</f>
      </c>
      <c r="K389" s="123">
        <f t="shared" ref="K389:K400" si="339">IFERROR(J389/E389,0)</f>
      </c>
      <c r="L389" s="121">
        <f t="shared" ref="L389:L396" si="401">J389*8</f>
      </c>
      <c r="M389" s="121">
        <f t="shared" ref="M389:M396" si="29">E389*8</f>
      </c>
      <c r="N389" s="123">
        <f t="shared" ref="N389:N399" si="91">IFERROR(H389/E389,0)</f>
      </c>
      <c r="O389" s="119">
        <v>0</v>
      </c>
      <c r="P389" s="135">
        <f t="shared" ref="P389:P400" si="123">C389-O389</f>
      </c>
      <c r="Q389" s="125">
        <f t="shared" ref="Q389:Q400" si="153">IFERROR(O389/C389,0)</f>
      </c>
      <c r="R389" s="125">
        <f t="shared" ref="R389:R398" si="215">IFERROR(H389/(E389*Q389),0)</f>
      </c>
      <c r="S389" s="123" t="s">
        <v>221</v>
      </c>
    </row>
    <row customHeight="true" ht="23.703703703703702" r="390">
      <c r="A390" s="133">
        <v>45958</v>
      </c>
      <c r="B390" s="119" t="s">
        <v>210</v>
      </c>
      <c r="C390" s="119"/>
      <c r="D390" s="134" cm="1">
        <f t="array" ref="D390:D390">_xlfn.XLOOKUP(B390&amp;S390,'气-价格-毛利'!A:A&amp;'气-价格-毛利'!B:B,'气-价格-毛利'!D:D,0)</f>
      </c>
      <c r="E390" s="121">
        <f t="shared" si="61"/>
      </c>
      <c r="F390" s="120" cm="1">
        <f t="array" ref="F390:F390">_xlfn.XLOOKUP(B390&amp;S390,'气-价格-毛利'!A:A&amp;'气-价格-毛利'!B:B,'气-价格-毛利'!C:C,0)</f>
      </c>
      <c r="G390" s="121">
        <f>C390*10</f>
      </c>
      <c r="H390" s="119"/>
      <c r="I390" s="121">
        <f t="shared" si="247"/>
      </c>
      <c r="J390" s="121">
        <f t="shared" si="278"/>
      </c>
      <c r="K390" s="123">
        <f t="shared" si="339"/>
      </c>
      <c r="L390" s="121">
        <f t="shared" si="401"/>
      </c>
      <c r="M390" s="121">
        <f t="shared" si="29"/>
      </c>
      <c r="N390" s="123">
        <f t="shared" si="91"/>
      </c>
      <c r="O390" s="119">
        <v>0</v>
      </c>
      <c r="P390" s="135">
        <f t="shared" si="123"/>
      </c>
      <c r="Q390" s="125">
        <f t="shared" si="153"/>
      </c>
      <c r="R390" s="125">
        <f t="shared" si="215"/>
      </c>
      <c r="S390" s="123" t="s">
        <v>223</v>
      </c>
    </row>
    <row customHeight="true" ht="23.703703703703702" r="391">
      <c r="A391" s="133">
        <v>45958</v>
      </c>
      <c r="B391" s="119" t="s">
        <v>211</v>
      </c>
      <c r="C391" s="119"/>
      <c r="D391" s="134" cm="1">
        <f t="array" ref="D391:D391">_xlfn.XLOOKUP(B391&amp;S391,'气-价格-毛利'!A:A&amp;'气-价格-毛利'!B:B,'气-价格-毛利'!D:D,0)</f>
      </c>
      <c r="E391" s="121">
        <f t="shared" si="61"/>
      </c>
      <c r="F391" s="120" cm="1">
        <f t="array" ref="F391:F391">_xlfn.XLOOKUP(B391&amp;S391,'气-价格-毛利'!A:A&amp;'气-价格-毛利'!B:B,'气-价格-毛利'!C:C,0)</f>
      </c>
      <c r="G391" s="121">
        <f>C391*8</f>
      </c>
      <c r="H391" s="119"/>
      <c r="I391" s="121">
        <f t="shared" si="247"/>
      </c>
      <c r="J391" s="121">
        <f t="shared" si="278"/>
      </c>
      <c r="K391" s="123">
        <f t="shared" si="339"/>
      </c>
      <c r="L391" s="121">
        <f t="shared" si="401"/>
      </c>
      <c r="M391" s="121">
        <f t="shared" si="29"/>
      </c>
      <c r="N391" s="123">
        <f t="shared" si="91"/>
      </c>
      <c r="O391" s="119">
        <v>0</v>
      </c>
      <c r="P391" s="135">
        <f t="shared" si="123"/>
      </c>
      <c r="Q391" s="125">
        <f t="shared" si="153"/>
      </c>
      <c r="R391" s="125">
        <f t="shared" si="215"/>
      </c>
      <c r="S391" s="138" t="s">
        <v>225</v>
      </c>
    </row>
    <row customHeight="true" ht="23.703703703703702" r="392">
      <c r="A392" s="133">
        <v>45958</v>
      </c>
      <c r="B392" s="119" t="s">
        <v>211</v>
      </c>
      <c r="C392" s="119"/>
      <c r="D392" s="134" cm="1">
        <f t="array" ref="D392:D392">_xlfn.XLOOKUP(B392&amp;S392,'气-价格-毛利'!A:A&amp;'气-价格-毛利'!B:B,'气-价格-毛利'!D:D,0)</f>
      </c>
      <c r="E392" s="121">
        <f t="shared" si="61"/>
      </c>
      <c r="F392" s="120" cm="1">
        <f t="array" ref="F392:F392">_xlfn.XLOOKUP(B392&amp;S392,'气-价格-毛利'!A:A&amp;'气-价格-毛利'!B:B,'气-价格-毛利'!C:C,0)</f>
      </c>
      <c r="G392" s="121">
        <f>C392*10</f>
      </c>
      <c r="H392" s="119"/>
      <c r="I392" s="121">
        <f t="shared" si="247"/>
      </c>
      <c r="J392" s="121">
        <f t="shared" si="278"/>
      </c>
      <c r="K392" s="123">
        <f t="shared" si="339"/>
      </c>
      <c r="L392" s="121">
        <f t="shared" si="401"/>
      </c>
      <c r="M392" s="121">
        <f t="shared" si="29"/>
      </c>
      <c r="N392" s="123">
        <f t="shared" si="91"/>
      </c>
      <c r="O392" s="119">
        <v>0</v>
      </c>
      <c r="P392" s="135">
        <f t="shared" si="123"/>
      </c>
      <c r="Q392" s="125">
        <f t="shared" si="153"/>
      </c>
      <c r="R392" s="125">
        <f t="shared" si="215"/>
      </c>
      <c r="S392" s="123" t="s">
        <v>223</v>
      </c>
    </row>
    <row customHeight="true" ht="23.703703703703702" r="393">
      <c r="A393" s="133">
        <v>45958</v>
      </c>
      <c r="B393" s="119" t="s">
        <v>213</v>
      </c>
      <c r="C393" s="119">
        <v>2</v>
      </c>
      <c r="D393" s="134" cm="1">
        <f t="array" ref="D393:D393">_xlfn.XLOOKUP(B393&amp;S393,'气-价格-毛利'!A:A&amp;'气-价格-毛利'!B:B,'气-价格-毛利'!D:D,0)</f>
      </c>
      <c r="E393" s="121">
        <f t="shared" si="61"/>
      </c>
      <c r="F393" s="120" cm="1">
        <f t="array" ref="F393:F393">_xlfn.XLOOKUP(B393&amp;S393,'气-价格-毛利'!A:A&amp;'气-价格-毛利'!B:B,'气-价格-毛利'!C:C,0)</f>
      </c>
      <c r="G393" s="121">
        <f>C393*8</f>
      </c>
      <c r="H393" s="119"/>
      <c r="I393" s="121">
        <f t="shared" si="247"/>
      </c>
      <c r="J393" s="121">
        <f t="shared" si="278"/>
      </c>
      <c r="K393" s="123">
        <f t="shared" si="339"/>
      </c>
      <c r="L393" s="121">
        <f t="shared" si="401"/>
      </c>
      <c r="M393" s="121">
        <f t="shared" si="29"/>
      </c>
      <c r="N393" s="123">
        <f t="shared" si="91"/>
      </c>
      <c r="O393" s="119">
        <v>0</v>
      </c>
      <c r="P393" s="135">
        <f t="shared" si="123"/>
      </c>
      <c r="Q393" s="125">
        <f t="shared" si="153"/>
      </c>
      <c r="R393" s="125">
        <f t="shared" si="215"/>
      </c>
      <c r="S393" s="138" t="s">
        <v>225</v>
      </c>
    </row>
    <row customHeight="true" ht="23.703703703703702" r="394">
      <c r="A394" s="133">
        <v>45958</v>
      </c>
      <c r="B394" s="119" t="s">
        <v>213</v>
      </c>
      <c r="C394" s="119"/>
      <c r="D394" s="134" cm="1">
        <f t="array" ref="D394:D394">_xlfn.XLOOKUP(B394&amp;S394,'气-价格-毛利'!A:A&amp;'气-价格-毛利'!B:B,'气-价格-毛利'!D:D,0)</f>
      </c>
      <c r="E394" s="121">
        <f t="shared" si="61"/>
      </c>
      <c r="F394" s="120" cm="1">
        <f t="array" ref="F394:F394">_xlfn.XLOOKUP(B394&amp;S394,'气-价格-毛利'!A:A&amp;'气-价格-毛利'!B:B,'气-价格-毛利'!C:C,0)</f>
      </c>
      <c r="G394" s="121">
        <f>C394*10</f>
      </c>
      <c r="H394" s="119"/>
      <c r="I394" s="121">
        <f t="shared" si="247"/>
      </c>
      <c r="J394" s="121">
        <f t="shared" si="278"/>
      </c>
      <c r="K394" s="123">
        <f t="shared" si="339"/>
      </c>
      <c r="L394" s="121">
        <f t="shared" si="401"/>
      </c>
      <c r="M394" s="121">
        <f t="shared" si="29"/>
      </c>
      <c r="N394" s="123">
        <f t="shared" si="91"/>
      </c>
      <c r="O394" s="119">
        <v>0</v>
      </c>
      <c r="P394" s="135">
        <f t="shared" si="123"/>
      </c>
      <c r="Q394" s="125">
        <f t="shared" si="153"/>
      </c>
      <c r="R394" s="125">
        <f t="shared" si="215"/>
      </c>
      <c r="S394" s="123" t="s">
        <v>223</v>
      </c>
    </row>
    <row customHeight="true" ht="23.703703703703702" r="395">
      <c r="A395" s="133">
        <v>45958</v>
      </c>
      <c r="B395" s="119" t="s">
        <v>214</v>
      </c>
      <c r="C395" s="119">
        <v>1</v>
      </c>
      <c r="D395" s="134" cm="1">
        <f t="array" ref="D395:D395">_xlfn.XLOOKUP(B395&amp;S395,'气-价格-毛利'!A:A&amp;'气-价格-毛利'!B:B,'气-价格-毛利'!D:D,0)</f>
      </c>
      <c r="E395" s="121">
        <f t="shared" si="61"/>
      </c>
      <c r="F395" s="120" cm="1">
        <f t="array" ref="F395:F395">_xlfn.XLOOKUP(B395&amp;S395,'气-价格-毛利'!A:A&amp;'气-价格-毛利'!B:B,'气-价格-毛利'!C:C,0)</f>
      </c>
      <c r="G395" s="121">
        <f>C395*8</f>
      </c>
      <c r="H395" s="119"/>
      <c r="I395" s="121">
        <f t="shared" si="247"/>
      </c>
      <c r="J395" s="121">
        <f t="shared" si="278"/>
      </c>
      <c r="K395" s="123">
        <f t="shared" si="339"/>
      </c>
      <c r="L395" s="121">
        <f t="shared" si="401"/>
      </c>
      <c r="M395" s="121">
        <f t="shared" si="29"/>
      </c>
      <c r="N395" s="123">
        <f t="shared" si="91"/>
      </c>
      <c r="O395" s="119">
        <v>0</v>
      </c>
      <c r="P395" s="135">
        <f t="shared" si="123"/>
      </c>
      <c r="Q395" s="125">
        <f t="shared" si="153"/>
      </c>
      <c r="R395" s="125">
        <f t="shared" si="215"/>
      </c>
      <c r="S395" s="138" t="s">
        <v>225</v>
      </c>
    </row>
    <row customHeight="true" ht="23.703703703703702" r="396">
      <c r="A396" s="133">
        <v>45958</v>
      </c>
      <c r="B396" s="119" t="s">
        <v>214</v>
      </c>
      <c r="C396" s="119"/>
      <c r="D396" s="134" cm="1">
        <f t="array" ref="D396:D396">_xlfn.XLOOKUP(B396&amp;S396,'气-价格-毛利'!A:A&amp;'气-价格-毛利'!B:B,'气-价格-毛利'!D:D,0)</f>
      </c>
      <c r="E396" s="121">
        <f t="shared" si="61"/>
      </c>
      <c r="F396" s="120" cm="1">
        <f t="array" ref="F396:F396">_xlfn.XLOOKUP(B396&amp;S396,'气-价格-毛利'!A:A&amp;'气-价格-毛利'!B:B,'气-价格-毛利'!C:C,0)</f>
      </c>
      <c r="G396" s="121">
        <f>C396*10</f>
      </c>
      <c r="H396" s="119"/>
      <c r="I396" s="121">
        <f t="shared" si="247"/>
      </c>
      <c r="J396" s="121">
        <f t="shared" si="278"/>
      </c>
      <c r="K396" s="123">
        <f t="shared" si="339"/>
      </c>
      <c r="L396" s="121">
        <f t="shared" si="401"/>
      </c>
      <c r="M396" s="121">
        <f t="shared" si="29"/>
      </c>
      <c r="N396" s="123">
        <f t="shared" si="91"/>
      </c>
      <c r="O396" s="119">
        <v>0</v>
      </c>
      <c r="P396" s="135">
        <f t="shared" si="123"/>
      </c>
      <c r="Q396" s="125">
        <f t="shared" si="153"/>
      </c>
      <c r="R396" s="125">
        <f t="shared" si="215"/>
      </c>
      <c r="S396" s="123" t="s">
        <v>223</v>
      </c>
    </row>
    <row customHeight="true" ht="23.703703703703702" r="397">
      <c r="A397" s="133">
        <v>45958</v>
      </c>
      <c r="B397" s="119" t="s">
        <v>216</v>
      </c>
      <c r="C397" s="119"/>
      <c r="D397" s="134" cm="1">
        <f t="array" ref="D397:D397">_xlfn.XLOOKUP(B397&amp;S397,'气-价格-毛利'!A:A&amp;'气-价格-毛利'!B:B,'气-价格-毛利'!D:D,0)</f>
      </c>
      <c r="E397" s="121">
        <f t="shared" si="61"/>
      </c>
      <c r="F397" s="120" cm="1">
        <f t="array" ref="F397:F397">_xlfn.XLOOKUP(B397&amp;S397,'气-价格-毛利'!A:A&amp;'气-价格-毛利'!B:B,'气-价格-毛利'!C:C,0)</f>
      </c>
      <c r="G397" s="121">
        <f t="shared" ref="G397:G398" si="185">C397*8</f>
      </c>
      <c r="H397" s="119"/>
      <c r="I397" s="121">
        <f t="shared" si="247"/>
      </c>
      <c r="J397" s="121">
        <f t="shared" si="278"/>
      </c>
      <c r="K397" s="123">
        <f t="shared" si="339"/>
      </c>
      <c r="L397" s="121">
        <f t="shared" ref="L397:L398" si="308">J397*9</f>
      </c>
      <c r="M397" s="121">
        <f t="shared" ref="M397:M398" si="369">E397*9</f>
      </c>
      <c r="N397" s="123">
        <f t="shared" si="91"/>
      </c>
      <c r="O397" s="119">
        <v>0</v>
      </c>
      <c r="P397" s="135">
        <f t="shared" si="123"/>
      </c>
      <c r="Q397" s="125">
        <f t="shared" si="153"/>
      </c>
      <c r="R397" s="125">
        <f t="shared" si="215"/>
      </c>
      <c r="S397" s="125"/>
    </row>
    <row customHeight="true" ht="23.703703703703702" r="398">
      <c r="A398" s="133">
        <v>45958</v>
      </c>
      <c r="B398" s="119" t="s">
        <v>216</v>
      </c>
      <c r="C398" s="119"/>
      <c r="D398" s="134" cm="1">
        <f t="array" ref="D398:D398">_xlfn.XLOOKUP(B398&amp;S398,'气-价格-毛利'!A:A&amp;'气-价格-毛利'!B:B,'气-价格-毛利'!D:D,0)</f>
      </c>
      <c r="E398" s="121">
        <f t="shared" si="61"/>
      </c>
      <c r="F398" s="120" cm="1">
        <f t="array" ref="F398:F398">_xlfn.XLOOKUP(B398&amp;S398,'气-价格-毛利'!A:A&amp;'气-价格-毛利'!B:B,'气-价格-毛利'!C:C,0)</f>
      </c>
      <c r="G398" s="121">
        <f t="shared" si="185"/>
      </c>
      <c r="H398" s="119"/>
      <c r="I398" s="121">
        <f t="shared" si="247"/>
      </c>
      <c r="J398" s="121">
        <f t="shared" si="278"/>
      </c>
      <c r="K398" s="123">
        <f t="shared" si="339"/>
      </c>
      <c r="L398" s="121">
        <f t="shared" si="308"/>
      </c>
      <c r="M398" s="121">
        <f t="shared" si="369"/>
      </c>
      <c r="N398" s="123">
        <f t="shared" si="91"/>
      </c>
      <c r="O398" s="119">
        <v>0</v>
      </c>
      <c r="P398" s="135">
        <f t="shared" si="123"/>
      </c>
      <c r="Q398" s="125">
        <f t="shared" si="153"/>
      </c>
      <c r="R398" s="125">
        <f t="shared" si="215"/>
      </c>
      <c r="S398" s="125"/>
    </row>
    <row customHeight="true" ht="23.703703703703702" r="399">
      <c r="A399" s="133">
        <v>45958</v>
      </c>
      <c r="B399" s="119" t="s">
        <v>217</v>
      </c>
      <c r="C399" s="119"/>
      <c r="D399" s="134" cm="1">
        <f t="array" ref="D399:D399">_xlfn.XLOOKUP(B399&amp;S399,'气-价格-毛利'!A:A&amp;'气-价格-毛利'!B:B,'气-价格-毛利'!D:D,0)</f>
      </c>
      <c r="E399" s="121">
        <f t="shared" si="61"/>
      </c>
      <c r="F399" s="120" cm="1">
        <f t="array" ref="F399:F399">_xlfn.XLOOKUP(B399&amp;S399,'气-价格-毛利'!A:A&amp;'气-价格-毛利'!B:B,'气-价格-毛利'!C:C,0)</f>
      </c>
      <c r="G399" s="121"/>
      <c r="H399" s="119"/>
      <c r="I399" s="121">
        <f t="shared" si="247"/>
      </c>
      <c r="J399" s="121">
        <f>C399*F399-H399-I399</f>
      </c>
      <c r="K399" s="123">
        <f t="shared" si="339"/>
      </c>
      <c r="L399" s="121">
        <f>J399*7</f>
      </c>
      <c r="M399" s="121">
        <f>E399*7</f>
      </c>
      <c r="N399" s="123">
        <f t="shared" si="91"/>
      </c>
      <c r="O399" s="119">
        <v>0</v>
      </c>
      <c r="P399" s="124">
        <f t="shared" si="123"/>
      </c>
      <c r="Q399" s="125">
        <f t="shared" si="153"/>
      </c>
      <c r="R399" s="125"/>
      <c r="S399" s="137"/>
    </row>
    <row customHeight="true" ht="23.703703703703702" r="400">
      <c r="A400" s="133">
        <v>45958</v>
      </c>
      <c r="B400" s="119" t="s">
        <v>191</v>
      </c>
      <c r="C400" s="119">
        <f>SUM(C389:C399)</f>
      </c>
      <c r="D400" s="129"/>
      <c r="E400" s="121">
        <f>SUM(E389:E399)</f>
      </c>
      <c r="F400" s="122">
        <f>SUM(F389:F398)</f>
      </c>
      <c r="G400" s="121"/>
      <c r="H400" s="121"/>
      <c r="I400" s="121"/>
      <c r="J400" s="121">
        <f>SUM(J389:J399)</f>
      </c>
      <c r="K400" s="123">
        <f t="shared" si="339"/>
      </c>
      <c r="L400" s="121">
        <f>SUM(L389:L399)</f>
      </c>
      <c r="M400" s="121">
        <f>SUM(M389:M399)</f>
      </c>
      <c r="N400" s="123"/>
      <c r="O400" s="135">
        <f>SUM(O389:O398)</f>
      </c>
      <c r="P400" s="135">
        <f t="shared" si="123"/>
      </c>
      <c r="Q400" s="125">
        <f t="shared" si="153"/>
      </c>
      <c r="R400" s="125"/>
      <c r="S400" s="129"/>
    </row>
    <row customHeight="true" ht="23.703703703703702" r="401">
      <c r="B401" s="117" t="s">
        <v>218</v>
      </c>
    </row>
    <row customHeight="true" ht="23.703703703703702" r="402">
      <c r="A402" s="111" t="s">
        <v>219</v>
      </c>
      <c r="B402" s="112" t="s">
        <v>192</v>
      </c>
      <c r="C402" s="130" t="s">
        <v>193</v>
      </c>
      <c r="D402" s="112" t="s">
        <v>194</v>
      </c>
      <c r="E402" s="113" t="s">
        <v>195</v>
      </c>
      <c r="F402" s="114" t="s">
        <v>196</v>
      </c>
      <c r="G402" s="113" t="s">
        <v>197</v>
      </c>
      <c r="H402" s="131" t="s">
        <v>198</v>
      </c>
      <c r="I402" s="113" t="s">
        <v>199</v>
      </c>
      <c r="J402" s="113" t="s">
        <v>196</v>
      </c>
      <c r="K402" s="115" t="s">
        <v>200</v>
      </c>
      <c r="L402" s="113" t="s">
        <v>201</v>
      </c>
      <c r="M402" s="113" t="s">
        <v>202</v>
      </c>
      <c r="N402" s="112" t="s">
        <v>203</v>
      </c>
      <c r="O402" s="132" t="s">
        <v>204</v>
      </c>
      <c r="P402" s="116" t="s">
        <v>205</v>
      </c>
      <c r="Q402" s="115" t="s">
        <v>206</v>
      </c>
      <c r="R402" s="115" t="s">
        <v>207</v>
      </c>
      <c r="S402" s="115" t="s">
        <v>220</v>
      </c>
    </row>
    <row customHeight="true" ht="23.703703703703702" r="403">
      <c r="A403" s="133">
        <v>45959</v>
      </c>
      <c r="B403" s="119" t="s">
        <v>210</v>
      </c>
      <c r="C403" s="119"/>
      <c r="D403" s="134" cm="1">
        <f t="array" ref="D403:D403">_xlfn.XLOOKUP(B403&amp;S403,'气-价格-毛利'!A:A&amp;'气-价格-毛利'!B:B,'气-价格-毛利'!D:D,0)</f>
      </c>
      <c r="E403" s="121">
        <f t="shared" ref="E403:E413" si="62">C403*D403</f>
      </c>
      <c r="F403" s="120" cm="1">
        <f t="array" ref="F403:F403">_xlfn.XLOOKUP(B403&amp;S403,'气-价格-毛利'!A:A&amp;'气-价格-毛利'!B:B,'气-价格-毛利'!C:C,0)</f>
      </c>
      <c r="G403" s="121">
        <f>C403*8</f>
      </c>
      <c r="H403" s="119"/>
      <c r="I403" s="121">
        <f t="shared" ref="I403:I413" si="248">E403*0.025</f>
      </c>
      <c r="J403" s="121">
        <f t="shared" ref="J403:J412" si="279">F403*C403+G403-H403-I403</f>
      </c>
      <c r="K403" s="123">
        <f t="shared" ref="K403:K414" si="340">IFERROR(J403/E403,0)</f>
      </c>
      <c r="L403" s="121">
        <f t="shared" ref="L403:L410" si="402">J403*8</f>
      </c>
      <c r="M403" s="121">
        <f t="shared" ref="M403:M410" si="30">E403*8</f>
      </c>
      <c r="N403" s="123">
        <f t="shared" ref="N403:N413" si="92">IFERROR(H403/E403,0)</f>
      </c>
      <c r="O403" s="119">
        <v>0</v>
      </c>
      <c r="P403" s="135">
        <f t="shared" ref="P403:P414" si="124">C403-O403</f>
      </c>
      <c r="Q403" s="125">
        <f t="shared" ref="Q403:Q414" si="154">IFERROR(O403/C403,0)</f>
      </c>
      <c r="R403" s="125">
        <f t="shared" ref="R403:R412" si="216">IFERROR(H403/(E403*Q403),0)</f>
      </c>
      <c r="S403" s="123" t="s">
        <v>221</v>
      </c>
    </row>
    <row customHeight="true" ht="23.703703703703702" r="404">
      <c r="A404" s="133">
        <v>45959</v>
      </c>
      <c r="B404" s="119" t="s">
        <v>210</v>
      </c>
      <c r="C404" s="119"/>
      <c r="D404" s="134" cm="1">
        <f t="array" ref="D404:D404">_xlfn.XLOOKUP(B404&amp;S404,'气-价格-毛利'!A:A&amp;'气-价格-毛利'!B:B,'气-价格-毛利'!D:D,0)</f>
      </c>
      <c r="E404" s="121">
        <f t="shared" si="62"/>
      </c>
      <c r="F404" s="120" cm="1">
        <f t="array" ref="F404:F404">_xlfn.XLOOKUP(B404&amp;S404,'气-价格-毛利'!A:A&amp;'气-价格-毛利'!B:B,'气-价格-毛利'!C:C,0)</f>
      </c>
      <c r="G404" s="121">
        <f>C404*10</f>
      </c>
      <c r="H404" s="119"/>
      <c r="I404" s="121">
        <f t="shared" si="248"/>
      </c>
      <c r="J404" s="121">
        <f t="shared" si="279"/>
      </c>
      <c r="K404" s="123">
        <f t="shared" si="340"/>
      </c>
      <c r="L404" s="121">
        <f t="shared" si="402"/>
      </c>
      <c r="M404" s="121">
        <f t="shared" si="30"/>
      </c>
      <c r="N404" s="123">
        <f t="shared" si="92"/>
      </c>
      <c r="O404" s="119">
        <v>0</v>
      </c>
      <c r="P404" s="135">
        <f t="shared" si="124"/>
      </c>
      <c r="Q404" s="125">
        <f t="shared" si="154"/>
      </c>
      <c r="R404" s="125">
        <f t="shared" si="216"/>
      </c>
      <c r="S404" s="123" t="s">
        <v>223</v>
      </c>
    </row>
    <row customHeight="true" ht="23.703703703703702" r="405">
      <c r="A405" s="133">
        <v>45959</v>
      </c>
      <c r="B405" s="119" t="s">
        <v>211</v>
      </c>
      <c r="C405" s="119"/>
      <c r="D405" s="134" cm="1">
        <f t="array" ref="D405:D405">_xlfn.XLOOKUP(B405&amp;S405,'气-价格-毛利'!A:A&amp;'气-价格-毛利'!B:B,'气-价格-毛利'!D:D,0)</f>
      </c>
      <c r="E405" s="121">
        <f t="shared" si="62"/>
      </c>
      <c r="F405" s="120" cm="1">
        <f t="array" ref="F405:F405">_xlfn.XLOOKUP(B405&amp;S405,'气-价格-毛利'!A:A&amp;'气-价格-毛利'!B:B,'气-价格-毛利'!C:C,0)</f>
      </c>
      <c r="G405" s="121">
        <f>C405*8</f>
      </c>
      <c r="H405" s="119"/>
      <c r="I405" s="121">
        <f t="shared" si="248"/>
      </c>
      <c r="J405" s="121">
        <f t="shared" si="279"/>
      </c>
      <c r="K405" s="123">
        <f t="shared" si="340"/>
      </c>
      <c r="L405" s="121">
        <f t="shared" si="402"/>
      </c>
      <c r="M405" s="121">
        <f t="shared" si="30"/>
      </c>
      <c r="N405" s="123">
        <f t="shared" si="92"/>
      </c>
      <c r="O405" s="119">
        <v>0</v>
      </c>
      <c r="P405" s="135">
        <f t="shared" si="124"/>
      </c>
      <c r="Q405" s="125">
        <f t="shared" si="154"/>
      </c>
      <c r="R405" s="125">
        <f t="shared" si="216"/>
      </c>
      <c r="S405" s="138" t="s">
        <v>225</v>
      </c>
    </row>
    <row customHeight="true" ht="23.703703703703702" r="406">
      <c r="A406" s="133">
        <v>45959</v>
      </c>
      <c r="B406" s="119" t="s">
        <v>211</v>
      </c>
      <c r="C406" s="119"/>
      <c r="D406" s="134" cm="1">
        <f t="array" ref="D406:D406">_xlfn.XLOOKUP(B406&amp;S406,'气-价格-毛利'!A:A&amp;'气-价格-毛利'!B:B,'气-价格-毛利'!D:D,0)</f>
      </c>
      <c r="E406" s="121">
        <f t="shared" si="62"/>
      </c>
      <c r="F406" s="120" cm="1">
        <f t="array" ref="F406:F406">_xlfn.XLOOKUP(B406&amp;S406,'气-价格-毛利'!A:A&amp;'气-价格-毛利'!B:B,'气-价格-毛利'!C:C,0)</f>
      </c>
      <c r="G406" s="121">
        <f>C406*10</f>
      </c>
      <c r="H406" s="119"/>
      <c r="I406" s="121">
        <f t="shared" si="248"/>
      </c>
      <c r="J406" s="121">
        <f t="shared" si="279"/>
      </c>
      <c r="K406" s="123">
        <f t="shared" si="340"/>
      </c>
      <c r="L406" s="121">
        <f t="shared" si="402"/>
      </c>
      <c r="M406" s="121">
        <f t="shared" si="30"/>
      </c>
      <c r="N406" s="123">
        <f t="shared" si="92"/>
      </c>
      <c r="O406" s="119">
        <v>0</v>
      </c>
      <c r="P406" s="135">
        <f t="shared" si="124"/>
      </c>
      <c r="Q406" s="125">
        <f t="shared" si="154"/>
      </c>
      <c r="R406" s="125">
        <f t="shared" si="216"/>
      </c>
      <c r="S406" s="123" t="s">
        <v>223</v>
      </c>
    </row>
    <row customHeight="true" ht="23.703703703703702" r="407">
      <c r="A407" s="133">
        <v>45959</v>
      </c>
      <c r="B407" s="119" t="s">
        <v>213</v>
      </c>
      <c r="C407" s="119">
        <v>4</v>
      </c>
      <c r="D407" s="134" cm="1">
        <f t="array" ref="D407:D407">_xlfn.XLOOKUP(B407&amp;S407,'气-价格-毛利'!A:A&amp;'气-价格-毛利'!B:B,'气-价格-毛利'!D:D,0)</f>
      </c>
      <c r="E407" s="121">
        <f t="shared" si="62"/>
      </c>
      <c r="F407" s="120" cm="1">
        <f t="array" ref="F407:F407">_xlfn.XLOOKUP(B407&amp;S407,'气-价格-毛利'!A:A&amp;'气-价格-毛利'!B:B,'气-价格-毛利'!C:C,0)</f>
      </c>
      <c r="G407" s="121">
        <f>C407*8</f>
      </c>
      <c r="H407" s="119"/>
      <c r="I407" s="121">
        <f t="shared" si="248"/>
      </c>
      <c r="J407" s="121">
        <f t="shared" si="279"/>
      </c>
      <c r="K407" s="123">
        <f t="shared" si="340"/>
      </c>
      <c r="L407" s="121">
        <f t="shared" si="402"/>
      </c>
      <c r="M407" s="121">
        <f t="shared" si="30"/>
      </c>
      <c r="N407" s="123">
        <f t="shared" si="92"/>
      </c>
      <c r="O407" s="119">
        <v>0</v>
      </c>
      <c r="P407" s="135">
        <f t="shared" si="124"/>
      </c>
      <c r="Q407" s="125">
        <f t="shared" si="154"/>
      </c>
      <c r="R407" s="125">
        <f t="shared" si="216"/>
      </c>
      <c r="S407" s="138" t="s">
        <v>225</v>
      </c>
    </row>
    <row customHeight="true" ht="23.703703703703702" r="408">
      <c r="A408" s="133">
        <v>45959</v>
      </c>
      <c r="B408" s="119" t="s">
        <v>213</v>
      </c>
      <c r="C408" s="119"/>
      <c r="D408" s="134" cm="1">
        <f t="array" ref="D408:D408">_xlfn.XLOOKUP(B408&amp;S408,'气-价格-毛利'!A:A&amp;'气-价格-毛利'!B:B,'气-价格-毛利'!D:D,0)</f>
      </c>
      <c r="E408" s="121">
        <f t="shared" si="62"/>
      </c>
      <c r="F408" s="120" cm="1">
        <f t="array" ref="F408:F408">_xlfn.XLOOKUP(B408&amp;S408,'气-价格-毛利'!A:A&amp;'气-价格-毛利'!B:B,'气-价格-毛利'!C:C,0)</f>
      </c>
      <c r="G408" s="121">
        <f>C408*10</f>
      </c>
      <c r="H408" s="119"/>
      <c r="I408" s="121">
        <f t="shared" si="248"/>
      </c>
      <c r="J408" s="121">
        <f t="shared" si="279"/>
      </c>
      <c r="K408" s="123">
        <f t="shared" si="340"/>
      </c>
      <c r="L408" s="121">
        <f t="shared" si="402"/>
      </c>
      <c r="M408" s="121">
        <f t="shared" si="30"/>
      </c>
      <c r="N408" s="123">
        <f t="shared" si="92"/>
      </c>
      <c r="O408" s="119">
        <v>0</v>
      </c>
      <c r="P408" s="135">
        <f t="shared" si="124"/>
      </c>
      <c r="Q408" s="125">
        <f t="shared" si="154"/>
      </c>
      <c r="R408" s="125">
        <f t="shared" si="216"/>
      </c>
      <c r="S408" s="123" t="s">
        <v>223</v>
      </c>
    </row>
    <row customHeight="true" ht="23.703703703703702" r="409">
      <c r="A409" s="133">
        <v>45959</v>
      </c>
      <c r="B409" s="119" t="s">
        <v>214</v>
      </c>
      <c r="C409" s="119"/>
      <c r="D409" s="134" cm="1">
        <f t="array" ref="D409:D409">_xlfn.XLOOKUP(B409&amp;S409,'气-价格-毛利'!A:A&amp;'气-价格-毛利'!B:B,'气-价格-毛利'!D:D,0)</f>
      </c>
      <c r="E409" s="121">
        <f t="shared" si="62"/>
      </c>
      <c r="F409" s="120" cm="1">
        <f t="array" ref="F409:F409">_xlfn.XLOOKUP(B409&amp;S409,'气-价格-毛利'!A:A&amp;'气-价格-毛利'!B:B,'气-价格-毛利'!C:C,0)</f>
      </c>
      <c r="G409" s="121">
        <f>C409*8</f>
      </c>
      <c r="H409" s="119"/>
      <c r="I409" s="121">
        <f t="shared" si="248"/>
      </c>
      <c r="J409" s="121">
        <f t="shared" si="279"/>
      </c>
      <c r="K409" s="123">
        <f t="shared" si="340"/>
      </c>
      <c r="L409" s="121">
        <f t="shared" si="402"/>
      </c>
      <c r="M409" s="121">
        <f t="shared" si="30"/>
      </c>
      <c r="N409" s="123">
        <f t="shared" si="92"/>
      </c>
      <c r="O409" s="119">
        <v>0</v>
      </c>
      <c r="P409" s="135">
        <f t="shared" si="124"/>
      </c>
      <c r="Q409" s="125">
        <f t="shared" si="154"/>
      </c>
      <c r="R409" s="125">
        <f t="shared" si="216"/>
      </c>
      <c r="S409" s="138" t="s">
        <v>225</v>
      </c>
    </row>
    <row customHeight="true" ht="23.703703703703702" r="410">
      <c r="A410" s="133">
        <v>45959</v>
      </c>
      <c r="B410" s="119" t="s">
        <v>214</v>
      </c>
      <c r="C410" s="119"/>
      <c r="D410" s="134" cm="1">
        <f t="array" ref="D410:D410">_xlfn.XLOOKUP(B410&amp;S410,'气-价格-毛利'!A:A&amp;'气-价格-毛利'!B:B,'气-价格-毛利'!D:D,0)</f>
      </c>
      <c r="E410" s="121">
        <f t="shared" si="62"/>
      </c>
      <c r="F410" s="120" cm="1">
        <f t="array" ref="F410:F410">_xlfn.XLOOKUP(B410&amp;S410,'气-价格-毛利'!A:A&amp;'气-价格-毛利'!B:B,'气-价格-毛利'!C:C,0)</f>
      </c>
      <c r="G410" s="121">
        <f>C410*10</f>
      </c>
      <c r="H410" s="119"/>
      <c r="I410" s="121">
        <f t="shared" si="248"/>
      </c>
      <c r="J410" s="121">
        <f t="shared" si="279"/>
      </c>
      <c r="K410" s="123">
        <f t="shared" si="340"/>
      </c>
      <c r="L410" s="121">
        <f t="shared" si="402"/>
      </c>
      <c r="M410" s="121">
        <f t="shared" si="30"/>
      </c>
      <c r="N410" s="123">
        <f t="shared" si="92"/>
      </c>
      <c r="O410" s="119">
        <v>0</v>
      </c>
      <c r="P410" s="135">
        <f t="shared" si="124"/>
      </c>
      <c r="Q410" s="125">
        <f t="shared" si="154"/>
      </c>
      <c r="R410" s="125">
        <f t="shared" si="216"/>
      </c>
      <c r="S410" s="123" t="s">
        <v>223</v>
      </c>
    </row>
    <row customHeight="true" ht="23.703703703703702" r="411">
      <c r="A411" s="133">
        <v>45959</v>
      </c>
      <c r="B411" s="119" t="s">
        <v>216</v>
      </c>
      <c r="C411" s="119"/>
      <c r="D411" s="134" cm="1">
        <f t="array" ref="D411:D411">_xlfn.XLOOKUP(B411&amp;S411,'气-价格-毛利'!A:A&amp;'气-价格-毛利'!B:B,'气-价格-毛利'!D:D,0)</f>
      </c>
      <c r="E411" s="121">
        <f t="shared" si="62"/>
      </c>
      <c r="F411" s="120" cm="1">
        <f t="array" ref="F411:F411">_xlfn.XLOOKUP(B411&amp;S411,'气-价格-毛利'!A:A&amp;'气-价格-毛利'!B:B,'气-价格-毛利'!C:C,0)</f>
      </c>
      <c r="G411" s="121">
        <f t="shared" ref="G411:G412" si="186">C411*8</f>
      </c>
      <c r="H411" s="119"/>
      <c r="I411" s="121">
        <f t="shared" si="248"/>
      </c>
      <c r="J411" s="121">
        <f t="shared" si="279"/>
      </c>
      <c r="K411" s="123">
        <f t="shared" si="340"/>
      </c>
      <c r="L411" s="121">
        <f t="shared" ref="L411:L412" si="309">J411*9</f>
      </c>
      <c r="M411" s="121">
        <f t="shared" ref="M411:M412" si="370">E411*9</f>
      </c>
      <c r="N411" s="123">
        <f t="shared" si="92"/>
      </c>
      <c r="O411" s="119">
        <v>0</v>
      </c>
      <c r="P411" s="135">
        <f t="shared" si="124"/>
      </c>
      <c r="Q411" s="125">
        <f t="shared" si="154"/>
      </c>
      <c r="R411" s="125">
        <f t="shared" si="216"/>
      </c>
      <c r="S411" s="125"/>
    </row>
    <row customHeight="true" ht="23.703703703703702" r="412">
      <c r="A412" s="133">
        <v>45959</v>
      </c>
      <c r="B412" s="119" t="s">
        <v>216</v>
      </c>
      <c r="C412" s="119"/>
      <c r="D412" s="134" cm="1">
        <f t="array" ref="D412:D412">_xlfn.XLOOKUP(B412&amp;S412,'气-价格-毛利'!A:A&amp;'气-价格-毛利'!B:B,'气-价格-毛利'!D:D,0)</f>
      </c>
      <c r="E412" s="121">
        <f t="shared" si="62"/>
      </c>
      <c r="F412" s="120" cm="1">
        <f t="array" ref="F412:F412">_xlfn.XLOOKUP(B412&amp;S412,'气-价格-毛利'!A:A&amp;'气-价格-毛利'!B:B,'气-价格-毛利'!C:C,0)</f>
      </c>
      <c r="G412" s="121">
        <f t="shared" si="186"/>
      </c>
      <c r="H412" s="119"/>
      <c r="I412" s="121">
        <f t="shared" si="248"/>
      </c>
      <c r="J412" s="121">
        <f t="shared" si="279"/>
      </c>
      <c r="K412" s="123">
        <f t="shared" si="340"/>
      </c>
      <c r="L412" s="121">
        <f t="shared" si="309"/>
      </c>
      <c r="M412" s="121">
        <f t="shared" si="370"/>
      </c>
      <c r="N412" s="123">
        <f t="shared" si="92"/>
      </c>
      <c r="O412" s="119">
        <v>0</v>
      </c>
      <c r="P412" s="135">
        <f t="shared" si="124"/>
      </c>
      <c r="Q412" s="125">
        <f t="shared" si="154"/>
      </c>
      <c r="R412" s="125">
        <f t="shared" si="216"/>
      </c>
      <c r="S412" s="125"/>
    </row>
    <row customHeight="true" ht="23.703703703703702" r="413">
      <c r="A413" s="133">
        <v>45959</v>
      </c>
      <c r="B413" s="119" t="s">
        <v>217</v>
      </c>
      <c r="C413" s="119"/>
      <c r="D413" s="134" cm="1">
        <f t="array" ref="D413:D413">_xlfn.XLOOKUP(B413&amp;S413,'气-价格-毛利'!A:A&amp;'气-价格-毛利'!B:B,'气-价格-毛利'!D:D,0)</f>
      </c>
      <c r="E413" s="121">
        <f t="shared" si="62"/>
      </c>
      <c r="F413" s="120" cm="1">
        <f t="array" ref="F413:F413">_xlfn.XLOOKUP(B413&amp;S413,'气-价格-毛利'!A:A&amp;'气-价格-毛利'!B:B,'气-价格-毛利'!C:C,0)</f>
      </c>
      <c r="G413" s="121"/>
      <c r="H413" s="119"/>
      <c r="I413" s="121">
        <f t="shared" si="248"/>
      </c>
      <c r="J413" s="121">
        <f>C413*F413-H413-I413</f>
      </c>
      <c r="K413" s="123">
        <f t="shared" si="340"/>
      </c>
      <c r="L413" s="121">
        <f>J413*7</f>
      </c>
      <c r="M413" s="121">
        <f>E413*7</f>
      </c>
      <c r="N413" s="123">
        <f t="shared" si="92"/>
      </c>
      <c r="O413" s="119">
        <v>0</v>
      </c>
      <c r="P413" s="124">
        <f t="shared" si="124"/>
      </c>
      <c r="Q413" s="125">
        <f t="shared" si="154"/>
      </c>
      <c r="R413" s="125"/>
      <c r="S413" s="137"/>
    </row>
    <row customHeight="true" ht="23.703703703703702" r="414">
      <c r="A414" s="133">
        <v>45959</v>
      </c>
      <c r="B414" s="119" t="s">
        <v>191</v>
      </c>
      <c r="C414" s="119">
        <f>SUM(C403:C413)</f>
      </c>
      <c r="D414" s="129"/>
      <c r="E414" s="121">
        <f>SUM(E403:E413)</f>
      </c>
      <c r="F414" s="122">
        <f>SUM(F403:F412)</f>
      </c>
      <c r="G414" s="121"/>
      <c r="H414" s="121"/>
      <c r="I414" s="121"/>
      <c r="J414" s="121">
        <f>SUM(J403:J413)</f>
      </c>
      <c r="K414" s="123">
        <f t="shared" si="340"/>
      </c>
      <c r="L414" s="121">
        <f>SUM(L403:L413)</f>
      </c>
      <c r="M414" s="121">
        <f>SUM(M403:M413)</f>
      </c>
      <c r="N414" s="123"/>
      <c r="O414" s="135">
        <f>SUM(O403:O412)</f>
      </c>
      <c r="P414" s="135">
        <f t="shared" si="124"/>
      </c>
      <c r="Q414" s="125">
        <f t="shared" si="154"/>
      </c>
      <c r="R414" s="125"/>
      <c r="S414" s="129"/>
    </row>
    <row customHeight="true" ht="23.703703703703702" r="415">
      <c r="B415" s="117" t="s">
        <v>218</v>
      </c>
    </row>
    <row customHeight="true" ht="23.703703703703702" r="416">
      <c r="A416" s="111" t="s">
        <v>219</v>
      </c>
      <c r="B416" s="112" t="s">
        <v>192</v>
      </c>
      <c r="C416" s="130" t="s">
        <v>193</v>
      </c>
      <c r="D416" s="112" t="s">
        <v>194</v>
      </c>
      <c r="E416" s="113" t="s">
        <v>195</v>
      </c>
      <c r="F416" s="114" t="s">
        <v>196</v>
      </c>
      <c r="G416" s="113" t="s">
        <v>197</v>
      </c>
      <c r="H416" s="131" t="s">
        <v>198</v>
      </c>
      <c r="I416" s="113" t="s">
        <v>199</v>
      </c>
      <c r="J416" s="113" t="s">
        <v>196</v>
      </c>
      <c r="K416" s="115" t="s">
        <v>200</v>
      </c>
      <c r="L416" s="113" t="s">
        <v>201</v>
      </c>
      <c r="M416" s="113" t="s">
        <v>202</v>
      </c>
      <c r="N416" s="112" t="s">
        <v>203</v>
      </c>
      <c r="O416" s="132" t="s">
        <v>204</v>
      </c>
      <c r="P416" s="116" t="s">
        <v>205</v>
      </c>
      <c r="Q416" s="115" t="s">
        <v>206</v>
      </c>
      <c r="R416" s="115" t="s">
        <v>207</v>
      </c>
      <c r="S416" s="115" t="s">
        <v>220</v>
      </c>
    </row>
    <row customHeight="true" ht="23.703703703703702" r="417">
      <c r="A417" s="133">
        <v>45960</v>
      </c>
      <c r="B417" s="119" t="s">
        <v>210</v>
      </c>
      <c r="C417" s="119"/>
      <c r="D417" s="134" cm="1">
        <f t="array" ref="D417:D417">_xlfn.XLOOKUP(B417&amp;S417,'气-价格-毛利'!A:A&amp;'气-价格-毛利'!B:B,'气-价格-毛利'!D:D,0)</f>
      </c>
      <c r="E417" s="121">
        <f t="shared" ref="E417:E427" si="63">C417*D417</f>
      </c>
      <c r="F417" s="120" cm="1">
        <f t="array" ref="F417:F417">_xlfn.XLOOKUP(B417&amp;S417,'气-价格-毛利'!A:A&amp;'气-价格-毛利'!B:B,'气-价格-毛利'!C:C,0)</f>
      </c>
      <c r="G417" s="121">
        <f>C417*8</f>
      </c>
      <c r="H417" s="119"/>
      <c r="I417" s="121">
        <f t="shared" ref="I417:I427" si="249">E417*0.025</f>
      </c>
      <c r="J417" s="121">
        <f t="shared" ref="J417:J426" si="280">F417*C417+G417-H417-I417</f>
      </c>
      <c r="K417" s="123">
        <f t="shared" ref="K417:K428" si="341">IFERROR(J417/E417,0)</f>
      </c>
      <c r="L417" s="121">
        <f t="shared" ref="L417:L424" si="403">J417*8</f>
      </c>
      <c r="M417" s="121">
        <f t="shared" ref="M417:M424" si="31">E417*8</f>
      </c>
      <c r="N417" s="123">
        <f t="shared" ref="N417:N427" si="93">IFERROR(H417/E417,0)</f>
      </c>
      <c r="O417" s="119">
        <v>0</v>
      </c>
      <c r="P417" s="135">
        <f t="shared" ref="P417:P428" si="125">C417-O417</f>
      </c>
      <c r="Q417" s="125">
        <f t="shared" ref="Q417:Q428" si="155">IFERROR(O417/C417,0)</f>
      </c>
      <c r="R417" s="125">
        <f t="shared" ref="R417:R426" si="217">IFERROR(H417/(E417*Q417),0)</f>
      </c>
      <c r="S417" s="123" t="s">
        <v>221</v>
      </c>
    </row>
    <row customHeight="true" ht="23.703703703703702" r="418">
      <c r="A418" s="133">
        <v>45960</v>
      </c>
      <c r="B418" s="119" t="s">
        <v>210</v>
      </c>
      <c r="C418" s="119"/>
      <c r="D418" s="134" cm="1">
        <f t="array" ref="D418:D418">_xlfn.XLOOKUP(B418&amp;S418,'气-价格-毛利'!A:A&amp;'气-价格-毛利'!B:B,'气-价格-毛利'!D:D,0)</f>
      </c>
      <c r="E418" s="121">
        <f t="shared" si="63"/>
      </c>
      <c r="F418" s="120" cm="1">
        <f t="array" ref="F418:F418">_xlfn.XLOOKUP(B418&amp;S418,'气-价格-毛利'!A:A&amp;'气-价格-毛利'!B:B,'气-价格-毛利'!C:C,0)</f>
      </c>
      <c r="G418" s="121">
        <f>C418*10</f>
      </c>
      <c r="H418" s="119"/>
      <c r="I418" s="121">
        <f t="shared" si="249"/>
      </c>
      <c r="J418" s="121">
        <f t="shared" si="280"/>
      </c>
      <c r="K418" s="123">
        <f t="shared" si="341"/>
      </c>
      <c r="L418" s="121">
        <f t="shared" si="403"/>
      </c>
      <c r="M418" s="121">
        <f t="shared" si="31"/>
      </c>
      <c r="N418" s="123">
        <f t="shared" si="93"/>
      </c>
      <c r="O418" s="119">
        <v>0</v>
      </c>
      <c r="P418" s="135">
        <f t="shared" si="125"/>
      </c>
      <c r="Q418" s="125">
        <f t="shared" si="155"/>
      </c>
      <c r="R418" s="125">
        <f t="shared" si="217"/>
      </c>
      <c r="S418" s="138" t="s">
        <v>226</v>
      </c>
    </row>
    <row customHeight="true" ht="23.703703703703702" r="419">
      <c r="A419" s="133">
        <v>45960</v>
      </c>
      <c r="B419" s="119" t="s">
        <v>211</v>
      </c>
      <c r="C419" s="119"/>
      <c r="D419" s="134" cm="1">
        <f t="array" ref="D419:D419">_xlfn.XLOOKUP(B419&amp;S419,'气-价格-毛利'!A:A&amp;'气-价格-毛利'!B:B,'气-价格-毛利'!D:D,0)</f>
      </c>
      <c r="E419" s="121">
        <f t="shared" si="63"/>
      </c>
      <c r="F419" s="120" cm="1">
        <f t="array" ref="F419:F419">_xlfn.XLOOKUP(B419&amp;S419,'气-价格-毛利'!A:A&amp;'气-价格-毛利'!B:B,'气-价格-毛利'!C:C,0)</f>
      </c>
      <c r="G419" s="121">
        <f>C419*8</f>
      </c>
      <c r="H419" s="119"/>
      <c r="I419" s="121">
        <f t="shared" si="249"/>
      </c>
      <c r="J419" s="121">
        <f t="shared" si="280"/>
      </c>
      <c r="K419" s="123">
        <f t="shared" si="341"/>
      </c>
      <c r="L419" s="121">
        <f t="shared" si="403"/>
      </c>
      <c r="M419" s="121">
        <f t="shared" si="31"/>
      </c>
      <c r="N419" s="123">
        <f t="shared" si="93"/>
      </c>
      <c r="O419" s="119">
        <v>0</v>
      </c>
      <c r="P419" s="135">
        <f t="shared" si="125"/>
      </c>
      <c r="Q419" s="125">
        <f t="shared" si="155"/>
      </c>
      <c r="R419" s="125">
        <f t="shared" si="217"/>
      </c>
      <c r="S419" s="138" t="s">
        <v>225</v>
      </c>
    </row>
    <row customHeight="true" ht="23.703703703703702" r="420">
      <c r="A420" s="133">
        <v>45960</v>
      </c>
      <c r="B420" s="119" t="s">
        <v>211</v>
      </c>
      <c r="C420" s="119"/>
      <c r="D420" s="134" cm="1">
        <f t="array" ref="D420:D420">_xlfn.XLOOKUP(B420&amp;S420,'气-价格-毛利'!A:A&amp;'气-价格-毛利'!B:B,'气-价格-毛利'!D:D,0)</f>
      </c>
      <c r="E420" s="121">
        <f t="shared" si="63"/>
      </c>
      <c r="F420" s="120" cm="1">
        <f t="array" ref="F420:F420">_xlfn.XLOOKUP(B420&amp;S420,'气-价格-毛利'!A:A&amp;'气-价格-毛利'!B:B,'气-价格-毛利'!C:C,0)</f>
      </c>
      <c r="G420" s="121">
        <f>C420*10</f>
      </c>
      <c r="H420" s="119"/>
      <c r="I420" s="121">
        <f t="shared" si="249"/>
      </c>
      <c r="J420" s="121">
        <f t="shared" si="280"/>
      </c>
      <c r="K420" s="123">
        <f t="shared" si="341"/>
      </c>
      <c r="L420" s="121">
        <f t="shared" si="403"/>
      </c>
      <c r="M420" s="121">
        <f t="shared" si="31"/>
      </c>
      <c r="N420" s="123">
        <f t="shared" si="93"/>
      </c>
      <c r="O420" s="119">
        <v>0</v>
      </c>
      <c r="P420" s="135">
        <f t="shared" si="125"/>
      </c>
      <c r="Q420" s="125">
        <f t="shared" si="155"/>
      </c>
      <c r="R420" s="125">
        <f t="shared" si="217"/>
      </c>
      <c r="S420" s="138" t="s">
        <v>226</v>
      </c>
    </row>
    <row customHeight="true" ht="23.703703703703702" r="421">
      <c r="A421" s="133">
        <v>45960</v>
      </c>
      <c r="B421" s="119" t="s">
        <v>213</v>
      </c>
      <c r="C421" s="119">
        <v>1</v>
      </c>
      <c r="D421" s="134" cm="1">
        <f t="array" ref="D421:D421">_xlfn.XLOOKUP(B421&amp;S421,'气-价格-毛利'!A:A&amp;'气-价格-毛利'!B:B,'气-价格-毛利'!D:D,0)</f>
      </c>
      <c r="E421" s="121">
        <f t="shared" si="63"/>
      </c>
      <c r="F421" s="120" cm="1">
        <f t="array" ref="F421:F421">_xlfn.XLOOKUP(B421&amp;S421,'气-价格-毛利'!A:A&amp;'气-价格-毛利'!B:B,'气-价格-毛利'!C:C,0)</f>
      </c>
      <c r="G421" s="121">
        <f>C421*8</f>
      </c>
      <c r="H421" s="119"/>
      <c r="I421" s="121">
        <f t="shared" si="249"/>
      </c>
      <c r="J421" s="121">
        <f t="shared" si="280"/>
      </c>
      <c r="K421" s="123">
        <f t="shared" si="341"/>
      </c>
      <c r="L421" s="121">
        <f t="shared" si="403"/>
      </c>
      <c r="M421" s="121">
        <f t="shared" si="31"/>
      </c>
      <c r="N421" s="123">
        <f t="shared" si="93"/>
      </c>
      <c r="O421" s="119">
        <v>0</v>
      </c>
      <c r="P421" s="135">
        <f t="shared" si="125"/>
      </c>
      <c r="Q421" s="125">
        <f t="shared" si="155"/>
      </c>
      <c r="R421" s="125">
        <f t="shared" si="217"/>
      </c>
      <c r="S421" s="138" t="s">
        <v>225</v>
      </c>
    </row>
    <row customHeight="true" ht="23.703703703703702" r="422">
      <c r="A422" s="133">
        <v>45960</v>
      </c>
      <c r="B422" s="119" t="s">
        <v>213</v>
      </c>
      <c r="C422" s="119"/>
      <c r="D422" s="134" cm="1">
        <f t="array" ref="D422:D422">_xlfn.XLOOKUP(B422&amp;S422,'气-价格-毛利'!A:A&amp;'气-价格-毛利'!B:B,'气-价格-毛利'!D:D,0)</f>
      </c>
      <c r="E422" s="121">
        <f t="shared" si="63"/>
      </c>
      <c r="F422" s="120" cm="1">
        <f t="array" ref="F422:F422">_xlfn.XLOOKUP(B422&amp;S422,'气-价格-毛利'!A:A&amp;'气-价格-毛利'!B:B,'气-价格-毛利'!C:C,0)</f>
      </c>
      <c r="G422" s="121">
        <f>C422*10</f>
      </c>
      <c r="H422" s="119"/>
      <c r="I422" s="121">
        <f t="shared" si="249"/>
      </c>
      <c r="J422" s="121">
        <f t="shared" si="280"/>
      </c>
      <c r="K422" s="123">
        <f t="shared" si="341"/>
      </c>
      <c r="L422" s="121">
        <f t="shared" si="403"/>
      </c>
      <c r="M422" s="121">
        <f t="shared" si="31"/>
      </c>
      <c r="N422" s="123">
        <f t="shared" si="93"/>
      </c>
      <c r="O422" s="119">
        <v>0</v>
      </c>
      <c r="P422" s="135">
        <f t="shared" si="125"/>
      </c>
      <c r="Q422" s="125">
        <f t="shared" si="155"/>
      </c>
      <c r="R422" s="125">
        <f t="shared" si="217"/>
      </c>
      <c r="S422" s="123" t="s">
        <v>223</v>
      </c>
    </row>
    <row customHeight="true" ht="23.703703703703702" r="423">
      <c r="A423" s="133">
        <v>45960</v>
      </c>
      <c r="B423" s="119" t="s">
        <v>214</v>
      </c>
      <c r="C423" s="119">
        <v>7</v>
      </c>
      <c r="D423" s="134" cm="1">
        <f t="array" ref="D423:D423">_xlfn.XLOOKUP(B423&amp;S423,'气-价格-毛利'!A:A&amp;'气-价格-毛利'!B:B,'气-价格-毛利'!D:D,0)</f>
      </c>
      <c r="E423" s="121">
        <f t="shared" si="63"/>
      </c>
      <c r="F423" s="120" cm="1">
        <f t="array" ref="F423:F423">_xlfn.XLOOKUP(B423&amp;S423,'气-价格-毛利'!A:A&amp;'气-价格-毛利'!B:B,'气-价格-毛利'!C:C,0)</f>
      </c>
      <c r="G423" s="121">
        <f>C423*8</f>
      </c>
      <c r="H423" s="119"/>
      <c r="I423" s="121">
        <f t="shared" si="249"/>
      </c>
      <c r="J423" s="121">
        <f t="shared" si="280"/>
      </c>
      <c r="K423" s="123">
        <f t="shared" si="341"/>
      </c>
      <c r="L423" s="121">
        <f t="shared" si="403"/>
      </c>
      <c r="M423" s="121">
        <f t="shared" si="31"/>
      </c>
      <c r="N423" s="123">
        <f t="shared" si="93"/>
      </c>
      <c r="O423" s="119">
        <v>0</v>
      </c>
      <c r="P423" s="135">
        <f t="shared" si="125"/>
      </c>
      <c r="Q423" s="125">
        <f t="shared" si="155"/>
      </c>
      <c r="R423" s="125">
        <f t="shared" si="217"/>
      </c>
      <c r="S423" s="138" t="s">
        <v>225</v>
      </c>
    </row>
    <row customHeight="true" ht="23.703703703703702" r="424">
      <c r="A424" s="133">
        <v>45960</v>
      </c>
      <c r="B424" s="119" t="s">
        <v>214</v>
      </c>
      <c r="C424" s="119">
        <v>1</v>
      </c>
      <c r="D424" s="134" cm="1">
        <f t="array" ref="D424:D424">_xlfn.XLOOKUP(B424&amp;S424,'气-价格-毛利'!A:A&amp;'气-价格-毛利'!B:B,'气-价格-毛利'!D:D,0)</f>
      </c>
      <c r="E424" s="121">
        <f t="shared" si="63"/>
      </c>
      <c r="F424" s="120" cm="1">
        <f t="array" ref="F424:F424">_xlfn.XLOOKUP(B424&amp;S424,'气-价格-毛利'!A:A&amp;'气-价格-毛利'!B:B,'气-价格-毛利'!C:C,0)</f>
      </c>
      <c r="G424" s="121">
        <f>C424*10</f>
      </c>
      <c r="H424" s="119"/>
      <c r="I424" s="121">
        <f t="shared" si="249"/>
      </c>
      <c r="J424" s="121">
        <f t="shared" si="280"/>
      </c>
      <c r="K424" s="123">
        <f t="shared" si="341"/>
      </c>
      <c r="L424" s="121">
        <f t="shared" si="403"/>
      </c>
      <c r="M424" s="121">
        <f t="shared" si="31"/>
      </c>
      <c r="N424" s="123">
        <f t="shared" si="93"/>
      </c>
      <c r="O424" s="119">
        <v>0</v>
      </c>
      <c r="P424" s="135">
        <f t="shared" si="125"/>
      </c>
      <c r="Q424" s="125">
        <f t="shared" si="155"/>
      </c>
      <c r="R424" s="125">
        <f t="shared" si="217"/>
      </c>
      <c r="S424" s="138" t="s">
        <v>226</v>
      </c>
    </row>
    <row customHeight="true" ht="23.703703703703702" r="425">
      <c r="A425" s="133">
        <v>45960</v>
      </c>
      <c r="B425" s="119" t="s">
        <v>216</v>
      </c>
      <c r="C425" s="119"/>
      <c r="D425" s="134" cm="1">
        <f t="array" ref="D425:D425">_xlfn.XLOOKUP(B425&amp;S425,'气-价格-毛利'!A:A&amp;'气-价格-毛利'!B:B,'气-价格-毛利'!D:D,0)</f>
      </c>
      <c r="E425" s="121">
        <f t="shared" si="63"/>
      </c>
      <c r="F425" s="120" cm="1">
        <f t="array" ref="F425:F425">_xlfn.XLOOKUP(B425&amp;S425,'气-价格-毛利'!A:A&amp;'气-价格-毛利'!B:B,'气-价格-毛利'!C:C,0)</f>
      </c>
      <c r="G425" s="121">
        <f t="shared" ref="G425:G426" si="187">C425*8</f>
      </c>
      <c r="H425" s="119"/>
      <c r="I425" s="121">
        <f t="shared" si="249"/>
      </c>
      <c r="J425" s="121">
        <f t="shared" si="280"/>
      </c>
      <c r="K425" s="123">
        <f t="shared" si="341"/>
      </c>
      <c r="L425" s="121">
        <f t="shared" ref="L425:L426" si="310">J425*9</f>
      </c>
      <c r="M425" s="121">
        <f t="shared" ref="M425:M426" si="371">E425*9</f>
      </c>
      <c r="N425" s="123">
        <f t="shared" si="93"/>
      </c>
      <c r="O425" s="119">
        <v>0</v>
      </c>
      <c r="P425" s="135">
        <f t="shared" si="125"/>
      </c>
      <c r="Q425" s="125">
        <f t="shared" si="155"/>
      </c>
      <c r="R425" s="125">
        <f t="shared" si="217"/>
      </c>
      <c r="S425" s="125"/>
    </row>
    <row customHeight="true" ht="23.703703703703702" r="426">
      <c r="A426" s="133">
        <v>45960</v>
      </c>
      <c r="B426" s="119" t="s">
        <v>216</v>
      </c>
      <c r="C426" s="119"/>
      <c r="D426" s="134" cm="1">
        <f t="array" ref="D426:D426">_xlfn.XLOOKUP(B426&amp;S426,'气-价格-毛利'!A:A&amp;'气-价格-毛利'!B:B,'气-价格-毛利'!D:D,0)</f>
      </c>
      <c r="E426" s="121">
        <f t="shared" si="63"/>
      </c>
      <c r="F426" s="120" cm="1">
        <f t="array" ref="F426:F426">_xlfn.XLOOKUP(B426&amp;S426,'气-价格-毛利'!A:A&amp;'气-价格-毛利'!B:B,'气-价格-毛利'!C:C,0)</f>
      </c>
      <c r="G426" s="121">
        <f t="shared" si="187"/>
      </c>
      <c r="H426" s="119"/>
      <c r="I426" s="121">
        <f t="shared" si="249"/>
      </c>
      <c r="J426" s="121">
        <f t="shared" si="280"/>
      </c>
      <c r="K426" s="123">
        <f t="shared" si="341"/>
      </c>
      <c r="L426" s="121">
        <f t="shared" si="310"/>
      </c>
      <c r="M426" s="121">
        <f t="shared" si="371"/>
      </c>
      <c r="N426" s="123">
        <f t="shared" si="93"/>
      </c>
      <c r="O426" s="119">
        <v>0</v>
      </c>
      <c r="P426" s="135">
        <f t="shared" si="125"/>
      </c>
      <c r="Q426" s="125">
        <f t="shared" si="155"/>
      </c>
      <c r="R426" s="125">
        <f t="shared" si="217"/>
      </c>
      <c r="S426" s="125"/>
    </row>
    <row customHeight="true" ht="23.703703703703702" r="427">
      <c r="A427" s="133">
        <v>45960</v>
      </c>
      <c r="B427" s="119" t="s">
        <v>217</v>
      </c>
      <c r="C427" s="119"/>
      <c r="D427" s="134" cm="1">
        <f t="array" ref="D427:D427">_xlfn.XLOOKUP(B427&amp;S427,'气-价格-毛利'!A:A&amp;'气-价格-毛利'!B:B,'气-价格-毛利'!D:D,0)</f>
      </c>
      <c r="E427" s="121">
        <f t="shared" si="63"/>
      </c>
      <c r="F427" s="120" cm="1">
        <f t="array" ref="F427:F427">_xlfn.XLOOKUP(B427&amp;S427,'气-价格-毛利'!A:A&amp;'气-价格-毛利'!B:B,'气-价格-毛利'!C:C,0)</f>
      </c>
      <c r="G427" s="121"/>
      <c r="H427" s="119"/>
      <c r="I427" s="121">
        <f t="shared" si="249"/>
      </c>
      <c r="J427" s="121">
        <f>C427*F427-H427-I427</f>
      </c>
      <c r="K427" s="123">
        <f t="shared" si="341"/>
      </c>
      <c r="L427" s="121">
        <f>J427*7</f>
      </c>
      <c r="M427" s="121">
        <f>E427*7</f>
      </c>
      <c r="N427" s="123">
        <f t="shared" si="93"/>
      </c>
      <c r="O427" s="119">
        <v>0</v>
      </c>
      <c r="P427" s="124">
        <f t="shared" si="125"/>
      </c>
      <c r="Q427" s="125">
        <f t="shared" si="155"/>
      </c>
      <c r="R427" s="125"/>
      <c r="S427" s="137"/>
    </row>
    <row customHeight="true" ht="23.703703703703702" r="428">
      <c r="A428" s="133">
        <v>45960</v>
      </c>
      <c r="B428" s="119" t="s">
        <v>191</v>
      </c>
      <c r="C428" s="119">
        <f>SUM(C417:C427)</f>
      </c>
      <c r="D428" s="129"/>
      <c r="E428" s="121">
        <f>SUM(E417:E427)</f>
      </c>
      <c r="F428" s="122">
        <f>SUM(F417:F426)</f>
      </c>
      <c r="G428" s="121"/>
      <c r="H428" s="121"/>
      <c r="I428" s="121"/>
      <c r="J428" s="121">
        <f>SUM(J417:J427)</f>
      </c>
      <c r="K428" s="123">
        <f t="shared" si="341"/>
      </c>
      <c r="L428" s="121">
        <f>SUM(L417:L427)</f>
      </c>
      <c r="M428" s="121">
        <f>SUM(M417:M427)</f>
      </c>
      <c r="N428" s="123"/>
      <c r="O428" s="135">
        <f>SUM(O417:O426)</f>
      </c>
      <c r="P428" s="135">
        <f t="shared" si="125"/>
      </c>
      <c r="Q428" s="125">
        <f t="shared" si="155"/>
      </c>
      <c r="R428" s="125"/>
      <c r="S428" s="129"/>
    </row>
    <row customHeight="true" ht="23.703703703703702" r="429">
      <c r="B429" s="117" t="s">
        <v>218</v>
      </c>
    </row>
  </sheetData>
  <autoFilter ref="A1:T429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9.266666666666667"/>
    <col collapsed="false" customWidth="true" hidden="false" max="8" min="8" style="0" width="9.266666666666667"/>
    <col collapsed="false" customWidth="true" hidden="false" max="12" min="12" style="0" width="9.266666666666667"/>
    <col collapsed="false" customWidth="true" hidden="false" max="16" min="16" style="0" width="9.266666666666667"/>
    <col collapsed="false" customWidth="true" hidden="false" max="20" min="20" style="0" width="9.266666666666667"/>
    <col collapsed="false" customWidth="true" hidden="false" max="3" min="3" style="0" width="9.266666666666667"/>
    <col collapsed="false" customWidth="true" hidden="false" max="7" min="7" style="0" width="9.266666666666667"/>
    <col collapsed="false" customWidth="true" hidden="false" max="11" min="11" style="0" width="9.266666666666667"/>
    <col collapsed="false" customWidth="true" hidden="false" max="15" min="15" style="0" width="9.266666666666667"/>
    <col collapsed="false" customWidth="true" hidden="false" max="19" min="19" style="0" width="9.266666666666667"/>
    <col collapsed="false" customWidth="true" hidden="false" max="2" min="2" style="0" width="15.266666666666667"/>
    <col collapsed="false" customWidth="true" hidden="false" max="6" min="6" style="0" width="9.266666666666667"/>
    <col collapsed="false" customWidth="true" hidden="false" max="10" min="10" style="0" width="9.266666666666667"/>
    <col collapsed="false" customWidth="true" hidden="false" max="14" min="14" style="0" width="9.266666666666667"/>
    <col collapsed="false" customWidth="true" hidden="false" max="18" min="18" style="0" width="9.266666666666667"/>
    <col collapsed="false" customWidth="true" hidden="false" max="1" min="1" style="0" width="9.266666666666667"/>
    <col collapsed="false" customWidth="true" hidden="false" max="5" min="5" style="0" width="9.266666666666667"/>
    <col collapsed="false" customWidth="true" hidden="false" max="9" min="9" style="0" width="9.266666666666667"/>
    <col collapsed="false" customWidth="true" hidden="false" max="13" min="13" style="0" width="9.266666666666667"/>
    <col collapsed="false" customWidth="true" hidden="false" max="17" min="17" style="0" width="9.266666666666667"/>
  </cols>
  <sheetData>
    <row customHeight="true" ht="16.296296296296294" r="1">
      <c r="A1" s="139" t="s">
        <v>227</v>
      </c>
      <c r="B1" s="139" t="s">
        <v>228</v>
      </c>
      <c r="C1" s="140" t="s">
        <v>229</v>
      </c>
      <c r="D1" s="140" t="s">
        <v>230</v>
      </c>
      <c r="E1" s="140" t="s">
        <v>231</v>
      </c>
    </row>
    <row customHeight="true" ht="16.296296296296294" r="2">
      <c r="A2" s="141" t="s">
        <v>232</v>
      </c>
      <c r="B2" s="142" t="s">
        <v>233</v>
      </c>
      <c r="C2" s="143">
        <v>20.05</v>
      </c>
      <c r="D2" s="144">
        <v>65</v>
      </c>
      <c r="E2" s="144">
        <v>94.99</v>
      </c>
    </row>
    <row customHeight="true" ht="16.296296296296294" r="3">
      <c r="A3" s="141" t="s">
        <v>232</v>
      </c>
      <c r="B3" s="142" t="s">
        <v>234</v>
      </c>
      <c r="C3" s="143"/>
      <c r="D3" s="144">
        <v>65</v>
      </c>
      <c r="E3" s="144">
        <f>E2*0.95</f>
      </c>
    </row>
    <row customHeight="true" ht="16.296296296296294" r="4">
      <c r="A4" s="141" t="s">
        <v>232</v>
      </c>
      <c r="B4" s="142" t="s">
        <v>235</v>
      </c>
      <c r="C4" s="143">
        <v>10.55</v>
      </c>
      <c r="D4" s="144">
        <v>65</v>
      </c>
      <c r="E4" s="144">
        <f>E2*0.9</f>
      </c>
    </row>
    <row customHeight="true" ht="16.296296296296294" r="5">
      <c r="A5" s="141" t="s">
        <v>232</v>
      </c>
      <c r="B5" s="142" t="s">
        <v>236</v>
      </c>
      <c r="C5" s="143">
        <v>5.8</v>
      </c>
      <c r="D5" s="144">
        <v>65</v>
      </c>
      <c r="E5" s="144">
        <f>E2*0.85</f>
      </c>
    </row>
    <row customHeight="true" ht="16.296296296296294" r="6">
      <c r="A6" s="141" t="s">
        <v>232</v>
      </c>
      <c r="B6" s="145" t="s">
        <v>237</v>
      </c>
      <c r="C6" s="143">
        <v>19.28</v>
      </c>
      <c r="D6" s="144">
        <f>E6</f>
      </c>
      <c r="E6" s="144">
        <v>94.99</v>
      </c>
    </row>
    <row customHeight="true" ht="16.296296296296294" r="7">
      <c r="A7" s="141" t="s">
        <v>232</v>
      </c>
      <c r="B7" s="145" t="s">
        <v>238</v>
      </c>
      <c r="C7" s="143">
        <v>13.49</v>
      </c>
      <c r="D7" s="144">
        <f>E7*0.9</f>
      </c>
      <c r="E7" s="144">
        <v>94.99</v>
      </c>
    </row>
    <row customHeight="true" ht="16.296296296296294" r="8">
      <c r="A8" s="141" t="s">
        <v>232</v>
      </c>
      <c r="B8" s="145" t="s">
        <v>239</v>
      </c>
      <c r="C8" s="143">
        <v>12.33</v>
      </c>
      <c r="D8" s="144">
        <f>E8*0.88</f>
      </c>
      <c r="E8" s="144">
        <v>94.99</v>
      </c>
    </row>
    <row customHeight="true" ht="16.296296296296294" r="9">
      <c r="A9" s="141" t="s">
        <v>232</v>
      </c>
      <c r="B9" s="145" t="s">
        <v>240</v>
      </c>
      <c r="C9" s="143">
        <v>10.59</v>
      </c>
      <c r="D9" s="144">
        <f>E9*0.85</f>
      </c>
      <c r="E9" s="144">
        <v>94.99</v>
      </c>
    </row>
    <row customHeight="true" ht="16.296296296296294" r="10">
      <c r="A10" s="141" t="s">
        <v>241</v>
      </c>
      <c r="B10" s="142" t="s">
        <v>233</v>
      </c>
      <c r="C10" s="143">
        <v>17.66</v>
      </c>
      <c r="D10" s="144">
        <v>65</v>
      </c>
      <c r="E10" s="144">
        <v>94.99</v>
      </c>
    </row>
    <row customHeight="true" ht="16.296296296296294" r="11">
      <c r="A11" s="141" t="s">
        <v>241</v>
      </c>
      <c r="B11" s="142" t="s">
        <v>234</v>
      </c>
      <c r="C11" s="143"/>
      <c r="D11" s="144">
        <v>65</v>
      </c>
      <c r="E11" s="144">
        <f>E10*0.95</f>
      </c>
    </row>
    <row customHeight="true" ht="16.296296296296294" r="12">
      <c r="A12" s="141" t="s">
        <v>241</v>
      </c>
      <c r="B12" s="142" t="s">
        <v>235</v>
      </c>
      <c r="C12" s="143">
        <v>8.16</v>
      </c>
      <c r="D12" s="144">
        <v>65</v>
      </c>
      <c r="E12" s="144">
        <f>E10*0.9</f>
      </c>
    </row>
    <row customHeight="true" ht="16.296296296296294" r="13">
      <c r="A13" s="141" t="s">
        <v>241</v>
      </c>
      <c r="B13" s="142" t="s">
        <v>236</v>
      </c>
      <c r="C13" s="143">
        <v>3.41</v>
      </c>
      <c r="D13" s="144">
        <v>65</v>
      </c>
      <c r="E13" s="144">
        <f>E10*0.85</f>
      </c>
    </row>
    <row customHeight="true" ht="16.296296296296294" r="14">
      <c r="A14" s="141" t="s">
        <v>241</v>
      </c>
      <c r="B14" s="145" t="s">
        <v>237</v>
      </c>
      <c r="C14" s="143">
        <v>17.44</v>
      </c>
      <c r="D14" s="144">
        <f>E14</f>
      </c>
      <c r="E14" s="144">
        <v>94.99</v>
      </c>
    </row>
    <row customHeight="true" ht="16.296296296296294" r="15">
      <c r="A15" s="141" t="s">
        <v>241</v>
      </c>
      <c r="B15" s="145" t="s">
        <v>238</v>
      </c>
      <c r="C15" s="143">
        <v>11.65</v>
      </c>
      <c r="D15" s="144">
        <f>E15*0.9</f>
      </c>
      <c r="E15" s="144">
        <v>94.99</v>
      </c>
    </row>
    <row customHeight="true" ht="16.296296296296294" r="16">
      <c r="A16" s="141" t="s">
        <v>241</v>
      </c>
      <c r="B16" s="145" t="s">
        <v>239</v>
      </c>
      <c r="C16" s="143">
        <v>10.49</v>
      </c>
      <c r="D16" s="144">
        <f>E16*0.88</f>
      </c>
      <c r="E16" s="144">
        <v>94.99</v>
      </c>
    </row>
    <row customHeight="true" ht="16.296296296296294" r="17">
      <c r="A17" s="141" t="s">
        <v>241</v>
      </c>
      <c r="B17" s="145" t="s">
        <v>240</v>
      </c>
      <c r="C17" s="143">
        <v>8.75</v>
      </c>
      <c r="D17" s="144">
        <f>E17*0.85</f>
      </c>
      <c r="E17" s="144">
        <v>94.99</v>
      </c>
    </row>
    <row customHeight="true" ht="16.296296296296294" r="18">
      <c r="A18" s="141" t="s">
        <v>242</v>
      </c>
      <c r="B18" s="142" t="s">
        <v>233</v>
      </c>
      <c r="C18" s="143">
        <v>18.45</v>
      </c>
      <c r="D18" s="144">
        <v>65</v>
      </c>
      <c r="E18" s="144">
        <v>94.99</v>
      </c>
    </row>
    <row customHeight="true" ht="16.296296296296294" r="19">
      <c r="A19" s="141" t="s">
        <v>242</v>
      </c>
      <c r="B19" s="142" t="s">
        <v>234</v>
      </c>
      <c r="C19" s="143"/>
      <c r="D19" s="144">
        <v>65</v>
      </c>
      <c r="E19" s="144">
        <f>E18*0.95</f>
      </c>
    </row>
    <row customHeight="true" ht="16.296296296296294" r="20">
      <c r="A20" s="141" t="s">
        <v>242</v>
      </c>
      <c r="B20" s="142" t="s">
        <v>235</v>
      </c>
      <c r="C20" s="143">
        <v>8.95</v>
      </c>
      <c r="D20" s="144">
        <v>65</v>
      </c>
      <c r="E20" s="144">
        <f>E18*0.9</f>
      </c>
    </row>
    <row customHeight="true" ht="16.296296296296294" r="21">
      <c r="A21" s="141" t="s">
        <v>242</v>
      </c>
      <c r="B21" s="142" t="s">
        <v>243</v>
      </c>
      <c r="C21" s="143"/>
      <c r="D21" s="144">
        <v>65</v>
      </c>
      <c r="E21" s="144">
        <f>E18*0.88</f>
      </c>
    </row>
    <row customHeight="true" ht="16.296296296296294" r="22">
      <c r="A22" s="141" t="s">
        <v>242</v>
      </c>
      <c r="B22" s="142" t="s">
        <v>236</v>
      </c>
      <c r="C22" s="143">
        <v>4.2</v>
      </c>
      <c r="D22" s="144">
        <v>65</v>
      </c>
      <c r="E22" s="144">
        <f>E18*0.85</f>
      </c>
    </row>
    <row customHeight="true" ht="16.296296296296294" r="23">
      <c r="A23" s="141" t="s">
        <v>242</v>
      </c>
      <c r="B23" s="145" t="s">
        <v>237</v>
      </c>
      <c r="C23" s="143">
        <v>17.8</v>
      </c>
      <c r="D23" s="144">
        <f>E23</f>
      </c>
      <c r="E23" s="144">
        <v>94.99</v>
      </c>
    </row>
    <row customHeight="true" ht="16.296296296296294" r="24">
      <c r="A24" s="141" t="s">
        <v>242</v>
      </c>
      <c r="B24" s="145" t="s">
        <v>238</v>
      </c>
      <c r="C24" s="143">
        <v>12.01</v>
      </c>
      <c r="D24" s="144">
        <f>E24*0.9</f>
      </c>
      <c r="E24" s="144">
        <v>94.99</v>
      </c>
    </row>
    <row customHeight="true" ht="16.296296296296294" r="25">
      <c r="A25" s="141" t="s">
        <v>242</v>
      </c>
      <c r="B25" s="145" t="s">
        <v>239</v>
      </c>
      <c r="C25" s="143">
        <v>10.5</v>
      </c>
      <c r="D25" s="144">
        <f>E25*0.88</f>
      </c>
      <c r="E25" s="144">
        <v>94.99</v>
      </c>
    </row>
    <row customHeight="true" ht="16.296296296296294" r="26">
      <c r="A26" s="141" t="s">
        <v>242</v>
      </c>
      <c r="B26" s="145" t="s">
        <v>240</v>
      </c>
      <c r="C26" s="143">
        <v>9.11</v>
      </c>
      <c r="D26" s="144">
        <f>E26*0.85</f>
      </c>
      <c r="E26" s="144">
        <v>94.99</v>
      </c>
    </row>
    <row customHeight="true" ht="16.296296296296294" r="27">
      <c r="A27" s="141" t="s">
        <v>244</v>
      </c>
      <c r="B27" s="142" t="s">
        <v>233</v>
      </c>
      <c r="C27" s="143">
        <v>19.41</v>
      </c>
      <c r="D27" s="144">
        <v>65</v>
      </c>
      <c r="E27" s="144">
        <v>94.99</v>
      </c>
    </row>
    <row customHeight="true" ht="16.296296296296294" r="28">
      <c r="A28" s="141" t="s">
        <v>244</v>
      </c>
      <c r="B28" s="142" t="s">
        <v>234</v>
      </c>
      <c r="C28" s="143"/>
      <c r="D28" s="144">
        <v>65</v>
      </c>
      <c r="E28" s="144">
        <f>E27*0.95</f>
      </c>
    </row>
    <row customHeight="true" ht="16.296296296296294" r="29">
      <c r="A29" s="141" t="s">
        <v>244</v>
      </c>
      <c r="B29" s="142" t="s">
        <v>235</v>
      </c>
      <c r="C29" s="143">
        <v>9.91</v>
      </c>
      <c r="D29" s="144">
        <v>65</v>
      </c>
      <c r="E29" s="144">
        <f>E27*0.9</f>
      </c>
    </row>
    <row customHeight="true" ht="16.296296296296294" r="30">
      <c r="A30" s="141" t="s">
        <v>244</v>
      </c>
      <c r="B30" s="142" t="s">
        <v>243</v>
      </c>
      <c r="C30" s="143"/>
      <c r="D30" s="144">
        <v>65</v>
      </c>
      <c r="E30" s="144">
        <f>E27*0.88</f>
      </c>
    </row>
    <row customHeight="true" ht="16.296296296296294" r="31">
      <c r="A31" s="141" t="s">
        <v>244</v>
      </c>
      <c r="B31" s="142" t="s">
        <v>236</v>
      </c>
      <c r="C31" s="143">
        <v>5.16</v>
      </c>
      <c r="D31" s="144">
        <v>65</v>
      </c>
      <c r="E31" s="144">
        <f>E27*0.85</f>
      </c>
    </row>
    <row customHeight="true" ht="16.296296296296294" r="32">
      <c r="A32" s="141" t="s">
        <v>244</v>
      </c>
      <c r="B32" s="145" t="s">
        <v>237</v>
      </c>
      <c r="C32" s="143">
        <v>19.1</v>
      </c>
      <c r="D32" s="144">
        <f>E32</f>
      </c>
      <c r="E32" s="144">
        <v>94.99</v>
      </c>
    </row>
    <row customHeight="true" ht="16.296296296296294" r="33">
      <c r="A33" s="141" t="s">
        <v>244</v>
      </c>
      <c r="B33" s="145" t="s">
        <v>238</v>
      </c>
      <c r="C33" s="143">
        <v>13.31</v>
      </c>
      <c r="D33" s="144">
        <f>E33*0.9</f>
      </c>
      <c r="E33" s="144">
        <v>94.99</v>
      </c>
    </row>
    <row customHeight="true" ht="16.296296296296294" r="34">
      <c r="A34" s="141" t="s">
        <v>244</v>
      </c>
      <c r="B34" s="145" t="s">
        <v>239</v>
      </c>
      <c r="C34" s="143">
        <v>12.15</v>
      </c>
      <c r="D34" s="144">
        <f>E34*0.88</f>
      </c>
      <c r="E34" s="144">
        <v>94.99</v>
      </c>
    </row>
    <row customHeight="true" ht="16.296296296296294" r="35">
      <c r="A35" s="141" t="s">
        <v>244</v>
      </c>
      <c r="B35" s="142" t="s">
        <v>240</v>
      </c>
      <c r="C35" s="143">
        <v>8.75</v>
      </c>
      <c r="D35" s="144">
        <f>E35*0.85</f>
      </c>
      <c r="E35" s="144">
        <v>94.99</v>
      </c>
    </row>
    <row customHeight="true" ht="16.296296296296294" r="36">
      <c r="A36" s="141" t="s">
        <v>244</v>
      </c>
      <c r="B36" s="142" t="s">
        <v>245</v>
      </c>
      <c r="C36" s="143">
        <v>4.88</v>
      </c>
      <c r="D36" s="144">
        <v>56.5</v>
      </c>
      <c r="E36" s="144">
        <f t="shared" ref="E36:E38" si="0">81.99*0.9</f>
      </c>
    </row>
    <row customHeight="true" ht="16.296296296296294" r="37">
      <c r="A37" s="141" t="s">
        <v>242</v>
      </c>
      <c r="B37" s="142" t="s">
        <v>245</v>
      </c>
      <c r="C37" s="143">
        <v>3.4</v>
      </c>
      <c r="D37" s="144">
        <v>56.5</v>
      </c>
      <c r="E37" s="144">
        <f t="shared" si="0"/>
      </c>
    </row>
    <row customHeight="true" ht="16.296296296296294" r="38">
      <c r="A38" s="141" t="s">
        <v>241</v>
      </c>
      <c r="B38" s="142" t="s">
        <v>245</v>
      </c>
      <c r="C38" s="143">
        <v>2.73</v>
      </c>
      <c r="D38" s="144">
        <v>56.5</v>
      </c>
      <c r="E38" s="144">
        <f t="shared" si="0"/>
      </c>
    </row>
    <row customHeight="true" ht="16.296296296296294" r="39">
      <c r="A39" s="141" t="s">
        <v>244</v>
      </c>
      <c r="B39" s="145" t="s">
        <v>246</v>
      </c>
      <c r="C39" s="143">
        <v>6.52</v>
      </c>
      <c r="D39" s="144">
        <f t="shared" ref="D39:D40" si="1">E39*0.9</f>
      </c>
      <c r="E39" s="144">
        <v>84.99</v>
      </c>
    </row>
    <row customHeight="true" ht="16.296296296296294" r="40">
      <c r="A40" s="141" t="s">
        <v>241</v>
      </c>
      <c r="B40" s="142" t="s">
        <v>246</v>
      </c>
      <c r="C40" s="143">
        <v>6.16</v>
      </c>
      <c r="D40" s="144">
        <f t="shared" si="1"/>
      </c>
      <c r="E40" s="144">
        <v>84.99</v>
      </c>
    </row>
    <row customHeight="true" ht="16.296296296296294" r="41">
      <c r="A41" s="141" t="s">
        <v>232</v>
      </c>
      <c r="B41" s="142" t="s">
        <v>246</v>
      </c>
      <c r="C41" s="143">
        <v>6.96</v>
      </c>
      <c r="D41" s="144">
        <f>E41*0.88</f>
      </c>
      <c r="E41" s="144">
        <v>84.99</v>
      </c>
    </row>
  </sheetData>
  <autoFilter ref="A1:E4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13.533333333333333"/>
    <col collapsed="false" customWidth="true" hidden="false" max="13" min="13" style="0" width="9.266666666666667"/>
    <col collapsed="false" customWidth="true" hidden="false" max="18" min="18" style="0" width="9.266666666666667"/>
    <col collapsed="false" customWidth="true" hidden="false" max="1" min="1" style="0" width="13.533333333333333"/>
    <col collapsed="false" customWidth="true" hidden="false" max="5" min="5" style="0" width="13.533333333333333"/>
    <col collapsed="false" customWidth="true" hidden="false" max="12" min="12" style="0" width="9.266666666666667"/>
    <col collapsed="false" customWidth="true" hidden="false" max="16" min="16" style="0" width="9.266666666666667"/>
    <col collapsed="false" customWidth="true" hidden="false" max="17" min="17" style="0" width="9.266666666666667"/>
    <col collapsed="false" customWidth="true" hidden="false" max="4" min="4" style="0" width="14.733333333333333"/>
    <col collapsed="false" customWidth="true" hidden="false" max="8" min="8" style="0" width="13.533333333333333"/>
    <col collapsed="false" customWidth="true" hidden="false" max="11" min="11" style="0" width="9.266666666666667"/>
    <col collapsed="false" customWidth="true" hidden="false" max="15" min="15" style="0" width="9.266666666666667"/>
    <col collapsed="false" customWidth="true" hidden="false" max="20" min="20" style="0" width="9.266666666666667"/>
    <col collapsed="false" customWidth="true" hidden="false" max="3" min="3" style="0" width="9.266666666666667"/>
    <col collapsed="false" customWidth="true" hidden="false" max="7" min="7" style="0" width="9.266666666666667"/>
    <col collapsed="false" customWidth="true" hidden="false" max="10" min="10" style="0" width="9.266666666666667"/>
    <col collapsed="false" customWidth="true" hidden="false" max="14" min="14" style="0" width="9.266666666666667"/>
    <col collapsed="false" customWidth="true" hidden="false" max="19" min="19" style="0" width="9.266666666666667"/>
    <col collapsed="false" customWidth="true" hidden="false" max="2" min="2" style="0" width="13.533333333333333"/>
    <col collapsed="false" customWidth="true" hidden="false" max="6" min="6" style="0" width="13.533333333333333"/>
  </cols>
  <sheetData>
    <row customHeight="true" ht="16.296296296296294" r="1"/>
    <row customHeight="true" ht="16.296296296296294" r="2">
      <c r="A2" s="146">
        <v>79.99</v>
      </c>
      <c r="B2" s="146">
        <v>55.38</v>
      </c>
      <c r="C2" s="147">
        <v>0.1</v>
      </c>
      <c r="D2" s="146">
        <v>79.99</v>
      </c>
      <c r="E2" s="146">
        <v>55.38</v>
      </c>
      <c r="F2" s="146">
        <f>D2*C2</f>
      </c>
      <c r="G2" s="147">
        <v>0.15</v>
      </c>
      <c r="H2" s="146">
        <v>79.99</v>
      </c>
      <c r="I2" s="146">
        <v>55.38</v>
      </c>
      <c r="J2" s="146">
        <f>H2*G2</f>
      </c>
    </row>
    <row customHeight="true" ht="16.296296296296294" r="3">
      <c r="A3" s="146">
        <f>A2/1.2</f>
      </c>
      <c r="D3" s="146">
        <f>D2*(1-C2)/1.2</f>
      </c>
      <c r="H3" s="146">
        <f>H2*(1-G2)/1.2</f>
      </c>
    </row>
    <row customHeight="true" ht="16.296296296296294" r="4">
      <c r="A4" s="146">
        <f>A3-B2</f>
      </c>
      <c r="D4" s="146">
        <f>D3-E2</f>
      </c>
      <c r="H4" s="146">
        <f>H3-I2</f>
      </c>
    </row>
    <row customHeight="true" ht="16.296296296296294" r="5">
      <c r="B5" s="146">
        <f>(A4+15.7%*B2)/A3</f>
      </c>
      <c r="E5" s="146">
        <f>(D4+15.7%*E2+F2)/D3</f>
      </c>
      <c r="I5" s="146">
        <f>(H4+15.7%*I2+J2)/H3</f>
      </c>
    </row>
    <row customHeight="true" ht="16.296296296296294" r="6"/>
    <row customHeight="true" ht="16.296296296296294" r="7"/>
    <row customHeight="true" ht="16.296296296296294" r="8"/>
    <row customHeight="true" ht="16.296296296296294" r="9">
      <c r="H9" s="146" t="s">
        <v>247</v>
      </c>
    </row>
    <row customHeight="true" ht="16.296296296296294" r="10">
      <c r="H10" s="146">
        <f>(67.99/1.19-55.85+12+15.7%*55.85)/(67.99/1.19)</f>
      </c>
    </row>
    <row customHeight="true" ht="16.296296296296294" r="11"/>
    <row customHeight="true" ht="16.296296296296294" r="12"/>
    <row customHeight="true" ht="16.296296296296294" r="13"/>
    <row customHeight="true" ht="16.296296296296294" r="14"/>
    <row customHeight="true" ht="16.296296296296294" r="15"/>
    <row customHeight="true" ht="16.296296296296294" r="16"/>
    <row customHeight="true" ht="16.296296296296294" r="17"/>
    <row customHeight="true" ht="16.296296296296294" r="18"/>
    <row customHeight="true" ht="16.296296296296294" r="19"/>
    <row customHeight="true" ht="16.296296296296294" r="20"/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9.266666666666667"/>
    <col collapsed="false" customWidth="true" hidden="false" max="7" min="7" style="0" width="9.266666666666667"/>
    <col collapsed="false" customWidth="true" hidden="false" max="11" min="11" style="0" width="9.266666666666667"/>
    <col collapsed="false" customWidth="true" hidden="false" max="15" min="15" style="0" width="9.266666666666667"/>
    <col collapsed="false" customWidth="true" hidden="false" max="19" min="19" style="0" width="9.266666666666667"/>
    <col collapsed="false" customWidth="true" hidden="false" max="4" min="4" style="0" width="9.266666666666667"/>
    <col collapsed="false" customWidth="true" hidden="false" max="8" min="8" style="0" width="9.266666666666667"/>
    <col collapsed="false" customWidth="true" hidden="false" max="12" min="12" style="0" width="9.266666666666667"/>
    <col collapsed="false" customWidth="true" hidden="false" max="16" min="16" style="0" width="9.266666666666667"/>
    <col collapsed="false" customWidth="true" hidden="false" max="20" min="20" style="0" width="9.266666666666667"/>
    <col collapsed="false" customWidth="true" hidden="false" max="1" min="1" style="0" width="9.266666666666667"/>
    <col collapsed="false" customWidth="true" hidden="false" max="5" min="5" style="0" width="9.266666666666667"/>
    <col collapsed="false" customWidth="true" hidden="false" max="9" min="9" style="0" width="9.266666666666667"/>
    <col collapsed="false" customWidth="true" hidden="false" max="13" min="13" style="0" width="9.266666666666667"/>
    <col collapsed="false" customWidth="true" hidden="false" max="17" min="17" style="0" width="9.266666666666667"/>
    <col collapsed="false" customWidth="true" hidden="false" max="2" min="2" style="0" width="9.266666666666667"/>
    <col collapsed="false" customWidth="true" hidden="false" max="6" min="6" style="0" width="9.266666666666667"/>
    <col collapsed="false" customWidth="true" hidden="false" max="10" min="10" style="0" width="9.266666666666667"/>
    <col collapsed="false" customWidth="true" hidden="false" max="14" min="14" style="0" width="9.266666666666667"/>
    <col collapsed="false" customWidth="true" hidden="false" max="18" min="18" style="0" width="9.266666666666667"/>
  </cols>
  <sheetData>
    <row customHeight="true" ht="16.296296296296294" r="1"/>
    <row customHeight="true" ht="16.296296296296294" r="2"/>
    <row customHeight="true" ht="16.296296296296294" r="3">
      <c r="L3" s="148" t="s">
        <v>248</v>
      </c>
    </row>
    <row customHeight="true" ht="16.296296296296294" r="4"/>
    <row customHeight="true" ht="16.296296296296294" r="5"/>
    <row customHeight="true" ht="16.296296296296294" r="6">
      <c r="L6" s="148" t="s">
        <v>249</v>
      </c>
    </row>
    <row customHeight="true" ht="17.777777777777775" r="7">
      <c r="C7" s="149"/>
    </row>
    <row customHeight="true" ht="17.777777777777775" r="8">
      <c r="C8" s="149"/>
    </row>
    <row customHeight="true" ht="17.777777777777775" r="9">
      <c r="C9" s="149"/>
    </row>
    <row customHeight="true" ht="17.777777777777775" r="10">
      <c r="C10" s="149"/>
    </row>
    <row customHeight="true" ht="17.777777777777775" r="11">
      <c r="C11" s="149"/>
      <c r="L11" s="148" t="s">
        <v>250</v>
      </c>
    </row>
    <row customHeight="true" ht="17.777777777777775" r="12">
      <c r="C12" s="149"/>
    </row>
    <row customHeight="true" ht="17.777777777777775" r="13">
      <c r="C13" s="149"/>
    </row>
    <row customHeight="true" ht="17.777777777777775" r="14">
      <c r="C14" s="149"/>
    </row>
    <row customHeight="true" ht="17.777777777777775" r="15">
      <c r="C15" s="149"/>
    </row>
    <row customHeight="true" ht="17.777777777777775" r="16">
      <c r="C16" s="149"/>
      <c r="L16" s="148" t="s">
        <v>251</v>
      </c>
    </row>
    <row customHeight="true" ht="17.777777777777775" r="17">
      <c r="C17" s="149"/>
    </row>
    <row customHeight="true" ht="17.777777777777775" r="18">
      <c r="C18" s="149"/>
    </row>
    <row customHeight="true" ht="17.777777777777775" r="19">
      <c r="C19" s="149"/>
      <c r="L19" s="148" t="s">
        <v>252</v>
      </c>
    </row>
    <row customHeight="true" ht="17.777777777777775" r="20">
      <c r="C20" s="149"/>
    </row>
    <row customHeight="true" ht="17.777777777777775" r="21">
      <c r="C21" s="149"/>
    </row>
    <row customHeight="true" ht="17.777777777777775" r="22">
      <c r="C22" s="149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